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ocuments\My_Repos\mustaquim-portfolio\business\Sonchoy\"/>
    </mc:Choice>
  </mc:AlternateContent>
  <xr:revisionPtr revIDLastSave="0" documentId="13_ncr:1_{2637440A-3096-415A-B9AF-E2111B5CF9C7}" xr6:coauthVersionLast="47" xr6:coauthVersionMax="47" xr10:uidLastSave="{00000000-0000-0000-0000-000000000000}"/>
  <workbookProtection workbookAlgorithmName="SHA-512" workbookHashValue="kXK80hGhIp2lLap9ovWi0wRFQSNjMgIPlwNTjJNk77LQf4kbp0k3dNkpzNXHLEM1BNL6ngZCg891JWmYftoG1A==" workbookSaltValue="WT+dR0s5+GOL2/0nDnfEig==" workbookSpinCount="100000" lockStructure="1"/>
  <bookViews>
    <workbookView xWindow="-120" yWindow="-120" windowWidth="29040" windowHeight="15720" tabRatio="832" activeTab="4" xr2:uid="{00000000-000D-0000-FFFF-FFFF00000000}"/>
  </bookViews>
  <sheets>
    <sheet name="Guide" sheetId="1" r:id="rId1"/>
    <sheet name="Dashboard" sheetId="2" r:id="rId2"/>
    <sheet name="Transactions" sheetId="3" r:id="rId3"/>
    <sheet name="Budget" sheetId="4" r:id="rId4"/>
    <sheet name="Annual Matrix" sheetId="5" r:id="rId5"/>
    <sheet name="Monthly Summary" sheetId="6" r:id="rId6"/>
    <sheet name="Savings Goals" sheetId="7" r:id="rId7"/>
    <sheet name="Debt &amp; Loans" sheetId="8" r:id="rId8"/>
    <sheet name="Investments" sheetId="9" r:id="rId9"/>
    <sheet name="Net Worth" sheetId="10" r:id="rId10"/>
    <sheet name="Income Tax" sheetId="11" r:id="rId11"/>
    <sheet name="Zakat" sheetId="12" r:id="rId12"/>
    <sheet name="Festivals" sheetId="13" r:id="rId13"/>
    <sheet name="Bills" sheetId="14" r:id="rId14"/>
    <sheet name="Quick Tools" sheetId="15" r:id="rId15"/>
    <sheet name="Settings" sheetId="16" r:id="rId16"/>
  </sheets>
  <definedNames>
    <definedName name="_xlnm._FilterDatabase" localSheetId="2" hidden="1">Transactions!$A$5:$L$2005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4" l="1"/>
  <c r="B33" i="16"/>
  <c r="B11" i="16"/>
  <c r="B44" i="15"/>
  <c r="B43" i="15"/>
  <c r="B35" i="15"/>
  <c r="B30" i="15"/>
  <c r="B29" i="15"/>
  <c r="B28" i="15"/>
  <c r="B22" i="15"/>
  <c r="B23" i="15" s="1"/>
  <c r="B24" i="15" s="1"/>
  <c r="B15" i="15"/>
  <c r="B13" i="15"/>
  <c r="B14" i="15" s="1"/>
  <c r="B8" i="15"/>
  <c r="E31" i="14"/>
  <c r="J30" i="14"/>
  <c r="K30" i="14" s="1"/>
  <c r="H30" i="14"/>
  <c r="I30" i="14" s="1"/>
  <c r="J29" i="14"/>
  <c r="K29" i="14" s="1"/>
  <c r="H29" i="14"/>
  <c r="I29" i="14" s="1"/>
  <c r="J28" i="14"/>
  <c r="K28" i="14" s="1"/>
  <c r="H28" i="14"/>
  <c r="I28" i="14" s="1"/>
  <c r="J27" i="14"/>
  <c r="K27" i="14" s="1"/>
  <c r="H27" i="14"/>
  <c r="I27" i="14" s="1"/>
  <c r="J26" i="14"/>
  <c r="K26" i="14" s="1"/>
  <c r="H26" i="14"/>
  <c r="I26" i="14" s="1"/>
  <c r="J25" i="14"/>
  <c r="K25" i="14" s="1"/>
  <c r="H25" i="14"/>
  <c r="I25" i="14" s="1"/>
  <c r="J24" i="14"/>
  <c r="K24" i="14" s="1"/>
  <c r="H24" i="14"/>
  <c r="I24" i="14" s="1"/>
  <c r="J23" i="14"/>
  <c r="K23" i="14" s="1"/>
  <c r="H23" i="14"/>
  <c r="I23" i="14" s="1"/>
  <c r="J22" i="14"/>
  <c r="K22" i="14" s="1"/>
  <c r="H22" i="14"/>
  <c r="I22" i="14" s="1"/>
  <c r="J21" i="14"/>
  <c r="K21" i="14" s="1"/>
  <c r="H21" i="14"/>
  <c r="I21" i="14" s="1"/>
  <c r="J20" i="14"/>
  <c r="K20" i="14" s="1"/>
  <c r="H20" i="14"/>
  <c r="I20" i="14" s="1"/>
  <c r="J19" i="14"/>
  <c r="K19" i="14" s="1"/>
  <c r="H19" i="14"/>
  <c r="I19" i="14" s="1"/>
  <c r="J18" i="14"/>
  <c r="K18" i="14" s="1"/>
  <c r="H18" i="14"/>
  <c r="I18" i="14" s="1"/>
  <c r="J17" i="14"/>
  <c r="K17" i="14" s="1"/>
  <c r="H17" i="14"/>
  <c r="I17" i="14" s="1"/>
  <c r="J16" i="14"/>
  <c r="K16" i="14" s="1"/>
  <c r="H16" i="14"/>
  <c r="I16" i="14" s="1"/>
  <c r="J15" i="14"/>
  <c r="K15" i="14" s="1"/>
  <c r="H15" i="14"/>
  <c r="I15" i="14" s="1"/>
  <c r="J14" i="14"/>
  <c r="K14" i="14" s="1"/>
  <c r="H14" i="14"/>
  <c r="I14" i="14" s="1"/>
  <c r="J13" i="14"/>
  <c r="K13" i="14" s="1"/>
  <c r="H13" i="14"/>
  <c r="I13" i="14" s="1"/>
  <c r="J12" i="14"/>
  <c r="K12" i="14" s="1"/>
  <c r="H12" i="14"/>
  <c r="I12" i="14" s="1"/>
  <c r="J11" i="14"/>
  <c r="K11" i="14" s="1"/>
  <c r="H11" i="14"/>
  <c r="I11" i="14" s="1"/>
  <c r="J10" i="14"/>
  <c r="K10" i="14" s="1"/>
  <c r="H10" i="14"/>
  <c r="I10" i="14" s="1"/>
  <c r="J9" i="14"/>
  <c r="K9" i="14" s="1"/>
  <c r="H9" i="14"/>
  <c r="I9" i="14" s="1"/>
  <c r="J8" i="14"/>
  <c r="K8" i="14" s="1"/>
  <c r="H8" i="14"/>
  <c r="I8" i="14" s="1"/>
  <c r="J7" i="14"/>
  <c r="K7" i="14" s="1"/>
  <c r="H7" i="14"/>
  <c r="I7" i="14" s="1"/>
  <c r="J6" i="14"/>
  <c r="K6" i="14" s="1"/>
  <c r="H6" i="14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C35" i="13"/>
  <c r="E35" i="13" s="1"/>
  <c r="E32" i="13"/>
  <c r="E31" i="13"/>
  <c r="E30" i="13"/>
  <c r="E29" i="13"/>
  <c r="E28" i="13"/>
  <c r="B22" i="13"/>
  <c r="C34" i="13" s="1"/>
  <c r="B17" i="13"/>
  <c r="C33" i="13" s="1"/>
  <c r="H11" i="13"/>
  <c r="F10" i="13"/>
  <c r="D10" i="13"/>
  <c r="C10" i="13"/>
  <c r="F9" i="13"/>
  <c r="D9" i="13"/>
  <c r="C9" i="13"/>
  <c r="F8" i="13"/>
  <c r="D8" i="13"/>
  <c r="C8" i="13"/>
  <c r="F7" i="13"/>
  <c r="D7" i="13"/>
  <c r="F6" i="13"/>
  <c r="D6" i="13"/>
  <c r="D11" i="13" s="1"/>
  <c r="B26" i="12"/>
  <c r="B28" i="12" s="1"/>
  <c r="B17" i="12"/>
  <c r="B16" i="12"/>
  <c r="B15" i="12"/>
  <c r="B12" i="12"/>
  <c r="B8" i="12"/>
  <c r="B27" i="12" s="1"/>
  <c r="B7" i="12"/>
  <c r="B9" i="12" s="1"/>
  <c r="B6" i="12"/>
  <c r="B19" i="12" s="1"/>
  <c r="B22" i="12" s="1"/>
  <c r="B44" i="11"/>
  <c r="D31" i="11"/>
  <c r="C31" i="11"/>
  <c r="A31" i="11"/>
  <c r="D30" i="11"/>
  <c r="C30" i="11"/>
  <c r="A30" i="11"/>
  <c r="D29" i="11"/>
  <c r="C29" i="11"/>
  <c r="A29" i="11"/>
  <c r="D28" i="11"/>
  <c r="C28" i="11"/>
  <c r="A28" i="11"/>
  <c r="D27" i="11"/>
  <c r="C27" i="11"/>
  <c r="A27" i="11"/>
  <c r="B24" i="11"/>
  <c r="C26" i="11" s="1"/>
  <c r="B27" i="11" s="1"/>
  <c r="B28" i="11" s="1"/>
  <c r="B29" i="11" s="1"/>
  <c r="B30" i="11" s="1"/>
  <c r="B31" i="11" s="1"/>
  <c r="B16" i="11"/>
  <c r="C43" i="10"/>
  <c r="A43" i="10"/>
  <c r="C42" i="10"/>
  <c r="A42" i="10"/>
  <c r="C41" i="10"/>
  <c r="A41" i="10"/>
  <c r="C40" i="10"/>
  <c r="A40" i="10"/>
  <c r="C39" i="10"/>
  <c r="A39" i="10"/>
  <c r="C38" i="10"/>
  <c r="A38" i="10"/>
  <c r="C37" i="10"/>
  <c r="A37" i="10"/>
  <c r="C36" i="10"/>
  <c r="A36" i="10"/>
  <c r="C35" i="10"/>
  <c r="A35" i="10"/>
  <c r="C34" i="10"/>
  <c r="A34" i="10"/>
  <c r="C33" i="10"/>
  <c r="A33" i="10"/>
  <c r="C32" i="10"/>
  <c r="A32" i="10"/>
  <c r="C26" i="10"/>
  <c r="C18" i="10"/>
  <c r="C14" i="10"/>
  <c r="R17" i="9"/>
  <c r="P17" i="9"/>
  <c r="L17" i="9"/>
  <c r="K17" i="9"/>
  <c r="Q17" i="9" s="1"/>
  <c r="R16" i="9"/>
  <c r="P16" i="9"/>
  <c r="L16" i="9"/>
  <c r="K16" i="9"/>
  <c r="Q16" i="9" s="1"/>
  <c r="R15" i="9"/>
  <c r="P15" i="9"/>
  <c r="L15" i="9"/>
  <c r="K15" i="9"/>
  <c r="Q15" i="9" s="1"/>
  <c r="R14" i="9"/>
  <c r="P14" i="9"/>
  <c r="L14" i="9"/>
  <c r="K14" i="9"/>
  <c r="Q14" i="9" s="1"/>
  <c r="R13" i="9"/>
  <c r="P13" i="9"/>
  <c r="L13" i="9"/>
  <c r="K13" i="9"/>
  <c r="Q13" i="9" s="1"/>
  <c r="R12" i="9"/>
  <c r="P12" i="9"/>
  <c r="L12" i="9"/>
  <c r="K12" i="9"/>
  <c r="Q12" i="9" s="1"/>
  <c r="R11" i="9"/>
  <c r="P11" i="9"/>
  <c r="L11" i="9"/>
  <c r="K11" i="9"/>
  <c r="Q11" i="9" s="1"/>
  <c r="R10" i="9"/>
  <c r="P10" i="9"/>
  <c r="L10" i="9"/>
  <c r="K10" i="9"/>
  <c r="Q10" i="9" s="1"/>
  <c r="R9" i="9"/>
  <c r="P9" i="9"/>
  <c r="L9" i="9"/>
  <c r="K9" i="9"/>
  <c r="Q9" i="9" s="1"/>
  <c r="P8" i="9"/>
  <c r="L8" i="9"/>
  <c r="K8" i="9"/>
  <c r="J8" i="9"/>
  <c r="R8" i="9" s="1"/>
  <c r="P7" i="9"/>
  <c r="L7" i="9"/>
  <c r="K7" i="9"/>
  <c r="J7" i="9"/>
  <c r="R7" i="9" s="1"/>
  <c r="P6" i="9"/>
  <c r="L6" i="9"/>
  <c r="K6" i="9"/>
  <c r="J6" i="9"/>
  <c r="R6" i="9" s="1"/>
  <c r="C22" i="8"/>
  <c r="C16" i="8"/>
  <c r="L15" i="8"/>
  <c r="H15" i="8"/>
  <c r="G15" i="8"/>
  <c r="L14" i="8"/>
  <c r="H14" i="8"/>
  <c r="G14" i="8"/>
  <c r="L13" i="8"/>
  <c r="H13" i="8"/>
  <c r="G13" i="8"/>
  <c r="L12" i="8"/>
  <c r="H12" i="8"/>
  <c r="G12" i="8"/>
  <c r="L11" i="8"/>
  <c r="H11" i="8"/>
  <c r="G11" i="8"/>
  <c r="L10" i="8"/>
  <c r="H10" i="8"/>
  <c r="G10" i="8"/>
  <c r="L9" i="8"/>
  <c r="H9" i="8"/>
  <c r="G9" i="8"/>
  <c r="L8" i="8"/>
  <c r="H8" i="8"/>
  <c r="G8" i="8"/>
  <c r="L7" i="8"/>
  <c r="H7" i="8"/>
  <c r="G7" i="8"/>
  <c r="L6" i="8"/>
  <c r="C24" i="8" s="1"/>
  <c r="H6" i="8"/>
  <c r="G6" i="8"/>
  <c r="G18" i="7"/>
  <c r="N17" i="7"/>
  <c r="L17" i="7"/>
  <c r="M17" i="7" s="1"/>
  <c r="K17" i="7"/>
  <c r="J17" i="7"/>
  <c r="I17" i="7"/>
  <c r="H17" i="7"/>
  <c r="N16" i="7"/>
  <c r="L16" i="7"/>
  <c r="M16" i="7" s="1"/>
  <c r="K16" i="7"/>
  <c r="J16" i="7"/>
  <c r="I16" i="7"/>
  <c r="H16" i="7"/>
  <c r="N15" i="7"/>
  <c r="L15" i="7"/>
  <c r="M15" i="7" s="1"/>
  <c r="K15" i="7"/>
  <c r="J15" i="7"/>
  <c r="I15" i="7"/>
  <c r="H15" i="7"/>
  <c r="N14" i="7"/>
  <c r="L14" i="7"/>
  <c r="M14" i="7" s="1"/>
  <c r="K14" i="7"/>
  <c r="J14" i="7"/>
  <c r="I14" i="7"/>
  <c r="H14" i="7"/>
  <c r="J13" i="7"/>
  <c r="K13" i="7" s="1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D6" i="7"/>
  <c r="D18" i="7" s="1"/>
  <c r="L17" i="6"/>
  <c r="L16" i="6"/>
  <c r="A16" i="6"/>
  <c r="L15" i="6"/>
  <c r="A15" i="6"/>
  <c r="L14" i="6"/>
  <c r="A14" i="6"/>
  <c r="L13" i="6"/>
  <c r="A13" i="6"/>
  <c r="L12" i="6"/>
  <c r="A12" i="6"/>
  <c r="L11" i="6"/>
  <c r="A11" i="6"/>
  <c r="L10" i="6"/>
  <c r="A10" i="6"/>
  <c r="L9" i="6"/>
  <c r="A9" i="6"/>
  <c r="L8" i="6"/>
  <c r="A8" i="6"/>
  <c r="L7" i="6"/>
  <c r="A7" i="6"/>
  <c r="L6" i="6"/>
  <c r="A6" i="6"/>
  <c r="L5" i="6"/>
  <c r="A5" i="6"/>
  <c r="P61" i="5"/>
  <c r="B61" i="5"/>
  <c r="A61" i="5"/>
  <c r="P60" i="5"/>
  <c r="B60" i="5"/>
  <c r="A60" i="5"/>
  <c r="P59" i="5"/>
  <c r="B59" i="5"/>
  <c r="A59" i="5"/>
  <c r="P58" i="5"/>
  <c r="D58" i="5"/>
  <c r="B58" i="5"/>
  <c r="A58" i="5"/>
  <c r="P57" i="5"/>
  <c r="B57" i="5"/>
  <c r="A57" i="5"/>
  <c r="P56" i="5"/>
  <c r="B56" i="5"/>
  <c r="A56" i="5"/>
  <c r="P55" i="5"/>
  <c r="B55" i="5"/>
  <c r="A55" i="5"/>
  <c r="P54" i="5"/>
  <c r="B54" i="5"/>
  <c r="A54" i="5"/>
  <c r="P53" i="5"/>
  <c r="B53" i="5"/>
  <c r="A53" i="5"/>
  <c r="P52" i="5"/>
  <c r="B52" i="5"/>
  <c r="A52" i="5"/>
  <c r="P51" i="5"/>
  <c r="B51" i="5"/>
  <c r="A51" i="5"/>
  <c r="P50" i="5"/>
  <c r="B50" i="5"/>
  <c r="A50" i="5"/>
  <c r="P49" i="5"/>
  <c r="B49" i="5"/>
  <c r="A49" i="5"/>
  <c r="P48" i="5"/>
  <c r="B48" i="5"/>
  <c r="A48" i="5"/>
  <c r="P47" i="5"/>
  <c r="B47" i="5"/>
  <c r="A47" i="5"/>
  <c r="P46" i="5"/>
  <c r="B46" i="5"/>
  <c r="A46" i="5"/>
  <c r="P45" i="5"/>
  <c r="B45" i="5"/>
  <c r="A45" i="5"/>
  <c r="P44" i="5"/>
  <c r="B44" i="5"/>
  <c r="A44" i="5"/>
  <c r="P43" i="5"/>
  <c r="B43" i="5"/>
  <c r="A43" i="5"/>
  <c r="P42" i="5"/>
  <c r="B42" i="5"/>
  <c r="A42" i="5"/>
  <c r="P41" i="5"/>
  <c r="B41" i="5"/>
  <c r="A41" i="5"/>
  <c r="P40" i="5"/>
  <c r="B40" i="5"/>
  <c r="A40" i="5"/>
  <c r="P39" i="5"/>
  <c r="G39" i="5"/>
  <c r="B39" i="5"/>
  <c r="A39" i="5"/>
  <c r="P38" i="5"/>
  <c r="B38" i="5"/>
  <c r="A38" i="5"/>
  <c r="P37" i="5"/>
  <c r="B37" i="5"/>
  <c r="A37" i="5"/>
  <c r="P36" i="5"/>
  <c r="B36" i="5"/>
  <c r="A36" i="5"/>
  <c r="P35" i="5"/>
  <c r="B35" i="5"/>
  <c r="A35" i="5"/>
  <c r="P34" i="5"/>
  <c r="B34" i="5"/>
  <c r="A34" i="5"/>
  <c r="P33" i="5"/>
  <c r="B33" i="5"/>
  <c r="A33" i="5"/>
  <c r="P32" i="5"/>
  <c r="B32" i="5"/>
  <c r="A32" i="5"/>
  <c r="P31" i="5"/>
  <c r="B31" i="5"/>
  <c r="A31" i="5"/>
  <c r="P30" i="5"/>
  <c r="B30" i="5"/>
  <c r="A30" i="5"/>
  <c r="P29" i="5"/>
  <c r="E29" i="5"/>
  <c r="B29" i="5"/>
  <c r="A29" i="5"/>
  <c r="P28" i="5"/>
  <c r="B28" i="5"/>
  <c r="A28" i="5"/>
  <c r="P27" i="5"/>
  <c r="B27" i="5"/>
  <c r="A27" i="5"/>
  <c r="P26" i="5"/>
  <c r="B26" i="5"/>
  <c r="A26" i="5"/>
  <c r="P25" i="5"/>
  <c r="H25" i="5"/>
  <c r="B25" i="5"/>
  <c r="A25" i="5"/>
  <c r="P24" i="5"/>
  <c r="B24" i="5"/>
  <c r="A24" i="5"/>
  <c r="P23" i="5"/>
  <c r="B23" i="5"/>
  <c r="A23" i="5"/>
  <c r="P22" i="5"/>
  <c r="B22" i="5"/>
  <c r="A22" i="5"/>
  <c r="P21" i="5"/>
  <c r="B21" i="5"/>
  <c r="A21" i="5"/>
  <c r="A17" i="5"/>
  <c r="A16" i="5"/>
  <c r="A15" i="5"/>
  <c r="A14" i="5"/>
  <c r="A13" i="5"/>
  <c r="A12" i="5"/>
  <c r="A11" i="5"/>
  <c r="A10" i="5"/>
  <c r="A9" i="5"/>
  <c r="A8" i="5"/>
  <c r="A7" i="5"/>
  <c r="A6" i="5"/>
  <c r="E61" i="4"/>
  <c r="E60" i="4"/>
  <c r="E59" i="4"/>
  <c r="D47" i="4"/>
  <c r="J46" i="4"/>
  <c r="I46" i="4"/>
  <c r="C46" i="4"/>
  <c r="B46" i="4"/>
  <c r="A46" i="4"/>
  <c r="J45" i="4"/>
  <c r="I45" i="4"/>
  <c r="G45" i="4"/>
  <c r="C45" i="4"/>
  <c r="B45" i="4"/>
  <c r="A45" i="4"/>
  <c r="J44" i="4"/>
  <c r="I44" i="4"/>
  <c r="C44" i="4"/>
  <c r="B44" i="4"/>
  <c r="A44" i="4"/>
  <c r="J43" i="4"/>
  <c r="I43" i="4"/>
  <c r="G43" i="4"/>
  <c r="C43" i="4"/>
  <c r="B43" i="4"/>
  <c r="A43" i="4"/>
  <c r="J42" i="4"/>
  <c r="I42" i="4"/>
  <c r="C42" i="4"/>
  <c r="B42" i="4"/>
  <c r="A42" i="4"/>
  <c r="J41" i="4"/>
  <c r="I41" i="4"/>
  <c r="G41" i="4"/>
  <c r="C41" i="4"/>
  <c r="B41" i="4"/>
  <c r="A41" i="4"/>
  <c r="J40" i="4"/>
  <c r="I40" i="4"/>
  <c r="C40" i="4"/>
  <c r="B40" i="4"/>
  <c r="A40" i="4"/>
  <c r="J39" i="4"/>
  <c r="I39" i="4"/>
  <c r="C39" i="4"/>
  <c r="B39" i="4"/>
  <c r="A39" i="4"/>
  <c r="J38" i="4"/>
  <c r="I38" i="4"/>
  <c r="C38" i="4"/>
  <c r="B38" i="4"/>
  <c r="A38" i="4"/>
  <c r="J37" i="4"/>
  <c r="I37" i="4"/>
  <c r="C37" i="4"/>
  <c r="B37" i="4"/>
  <c r="A37" i="4"/>
  <c r="J36" i="4"/>
  <c r="I36" i="4"/>
  <c r="C36" i="4"/>
  <c r="B36" i="4"/>
  <c r="A36" i="4"/>
  <c r="J35" i="4"/>
  <c r="I35" i="4"/>
  <c r="C35" i="4"/>
  <c r="B35" i="4"/>
  <c r="A35" i="4"/>
  <c r="J34" i="4"/>
  <c r="I34" i="4"/>
  <c r="C34" i="4"/>
  <c r="B34" i="4"/>
  <c r="A34" i="4"/>
  <c r="J33" i="4"/>
  <c r="I33" i="4"/>
  <c r="C33" i="4"/>
  <c r="B33" i="4"/>
  <c r="A33" i="4"/>
  <c r="J32" i="4"/>
  <c r="I32" i="4"/>
  <c r="C32" i="4"/>
  <c r="B32" i="4"/>
  <c r="A32" i="4"/>
  <c r="J31" i="4"/>
  <c r="I31" i="4"/>
  <c r="C31" i="4"/>
  <c r="B31" i="4"/>
  <c r="A31" i="4"/>
  <c r="J30" i="4"/>
  <c r="I30" i="4"/>
  <c r="C30" i="4"/>
  <c r="B30" i="4"/>
  <c r="A30" i="4"/>
  <c r="J29" i="4"/>
  <c r="I29" i="4"/>
  <c r="C29" i="4"/>
  <c r="B29" i="4"/>
  <c r="A29" i="4"/>
  <c r="J28" i="4"/>
  <c r="I28" i="4"/>
  <c r="C28" i="4"/>
  <c r="B28" i="4"/>
  <c r="A28" i="4"/>
  <c r="J27" i="4"/>
  <c r="I27" i="4"/>
  <c r="C27" i="4"/>
  <c r="B27" i="4"/>
  <c r="A27" i="4"/>
  <c r="J26" i="4"/>
  <c r="I26" i="4"/>
  <c r="C26" i="4"/>
  <c r="B26" i="4"/>
  <c r="A26" i="4"/>
  <c r="J25" i="4"/>
  <c r="I25" i="4"/>
  <c r="C25" i="4"/>
  <c r="B25" i="4"/>
  <c r="A25" i="4"/>
  <c r="J24" i="4"/>
  <c r="I24" i="4"/>
  <c r="C24" i="4"/>
  <c r="B24" i="4"/>
  <c r="A24" i="4"/>
  <c r="J23" i="4"/>
  <c r="I23" i="4"/>
  <c r="C23" i="4"/>
  <c r="B23" i="4"/>
  <c r="A23" i="4"/>
  <c r="J22" i="4"/>
  <c r="I22" i="4"/>
  <c r="G22" i="4"/>
  <c r="C22" i="4"/>
  <c r="B22" i="4"/>
  <c r="A22" i="4"/>
  <c r="J21" i="4"/>
  <c r="I21" i="4"/>
  <c r="C21" i="4"/>
  <c r="B21" i="4"/>
  <c r="A21" i="4"/>
  <c r="J20" i="4"/>
  <c r="I20" i="4"/>
  <c r="C20" i="4"/>
  <c r="B20" i="4"/>
  <c r="A20" i="4"/>
  <c r="J19" i="4"/>
  <c r="I19" i="4"/>
  <c r="C19" i="4"/>
  <c r="B19" i="4"/>
  <c r="A19" i="4"/>
  <c r="J18" i="4"/>
  <c r="I18" i="4"/>
  <c r="C18" i="4"/>
  <c r="B18" i="4"/>
  <c r="A18" i="4"/>
  <c r="J17" i="4"/>
  <c r="I17" i="4"/>
  <c r="C17" i="4"/>
  <c r="B17" i="4"/>
  <c r="A17" i="4"/>
  <c r="J16" i="4"/>
  <c r="I16" i="4"/>
  <c r="C16" i="4"/>
  <c r="B16" i="4"/>
  <c r="A16" i="4"/>
  <c r="J15" i="4"/>
  <c r="I15" i="4"/>
  <c r="C15" i="4"/>
  <c r="B15" i="4"/>
  <c r="A15" i="4"/>
  <c r="J14" i="4"/>
  <c r="I14" i="4"/>
  <c r="G14" i="4"/>
  <c r="C14" i="4"/>
  <c r="B14" i="4"/>
  <c r="A14" i="4"/>
  <c r="J13" i="4"/>
  <c r="I13" i="4"/>
  <c r="C13" i="4"/>
  <c r="B13" i="4"/>
  <c r="A13" i="4"/>
  <c r="J12" i="4"/>
  <c r="I12" i="4"/>
  <c r="C12" i="4"/>
  <c r="B12" i="4"/>
  <c r="A12" i="4"/>
  <c r="J11" i="4"/>
  <c r="I11" i="4"/>
  <c r="C11" i="4"/>
  <c r="B11" i="4"/>
  <c r="A11" i="4"/>
  <c r="J10" i="4"/>
  <c r="I10" i="4"/>
  <c r="C10" i="4"/>
  <c r="B10" i="4"/>
  <c r="A10" i="4"/>
  <c r="J9" i="4"/>
  <c r="I9" i="4"/>
  <c r="C9" i="4"/>
  <c r="B9" i="4"/>
  <c r="A9" i="4"/>
  <c r="J8" i="4"/>
  <c r="I8" i="4"/>
  <c r="C8" i="4"/>
  <c r="B8" i="4"/>
  <c r="A8" i="4"/>
  <c r="J7" i="4"/>
  <c r="I7" i="4"/>
  <c r="C7" i="4"/>
  <c r="B7" i="4"/>
  <c r="A7" i="4"/>
  <c r="J6" i="4"/>
  <c r="I6" i="4"/>
  <c r="I47" i="4" s="1"/>
  <c r="C6" i="4"/>
  <c r="B6" i="4"/>
  <c r="A6" i="4"/>
  <c r="L2005" i="3"/>
  <c r="J2005" i="3"/>
  <c r="I2005" i="3"/>
  <c r="H2005" i="3"/>
  <c r="L2004" i="3"/>
  <c r="J2004" i="3"/>
  <c r="I2004" i="3"/>
  <c r="H2004" i="3"/>
  <c r="L2003" i="3"/>
  <c r="J2003" i="3"/>
  <c r="I2003" i="3"/>
  <c r="H2003" i="3"/>
  <c r="L2002" i="3"/>
  <c r="J2002" i="3"/>
  <c r="I2002" i="3"/>
  <c r="H2002" i="3"/>
  <c r="L2001" i="3"/>
  <c r="J2001" i="3"/>
  <c r="I2001" i="3"/>
  <c r="H2001" i="3"/>
  <c r="L2000" i="3"/>
  <c r="J2000" i="3"/>
  <c r="I2000" i="3"/>
  <c r="H2000" i="3"/>
  <c r="L1999" i="3"/>
  <c r="J1999" i="3"/>
  <c r="I1999" i="3"/>
  <c r="H1999" i="3"/>
  <c r="L1998" i="3"/>
  <c r="J1998" i="3"/>
  <c r="I1998" i="3"/>
  <c r="H1998" i="3"/>
  <c r="L1997" i="3"/>
  <c r="J1997" i="3"/>
  <c r="I1997" i="3"/>
  <c r="H1997" i="3"/>
  <c r="L1996" i="3"/>
  <c r="J1996" i="3"/>
  <c r="I1996" i="3"/>
  <c r="H1996" i="3"/>
  <c r="L1995" i="3"/>
  <c r="J1995" i="3"/>
  <c r="I1995" i="3"/>
  <c r="H1995" i="3"/>
  <c r="L1994" i="3"/>
  <c r="J1994" i="3"/>
  <c r="I1994" i="3"/>
  <c r="H1994" i="3"/>
  <c r="L1993" i="3"/>
  <c r="J1993" i="3"/>
  <c r="I1993" i="3"/>
  <c r="H1993" i="3"/>
  <c r="L1992" i="3"/>
  <c r="J1992" i="3"/>
  <c r="I1992" i="3"/>
  <c r="H1992" i="3"/>
  <c r="L1991" i="3"/>
  <c r="J1991" i="3"/>
  <c r="I1991" i="3"/>
  <c r="H1991" i="3"/>
  <c r="L1990" i="3"/>
  <c r="J1990" i="3"/>
  <c r="I1990" i="3"/>
  <c r="H1990" i="3"/>
  <c r="L1989" i="3"/>
  <c r="J1989" i="3"/>
  <c r="I1989" i="3"/>
  <c r="H1989" i="3"/>
  <c r="L1988" i="3"/>
  <c r="J1988" i="3"/>
  <c r="I1988" i="3"/>
  <c r="H1988" i="3"/>
  <c r="L1987" i="3"/>
  <c r="J1987" i="3"/>
  <c r="I1987" i="3"/>
  <c r="H1987" i="3"/>
  <c r="L1986" i="3"/>
  <c r="J1986" i="3"/>
  <c r="I1986" i="3"/>
  <c r="H1986" i="3"/>
  <c r="L1985" i="3"/>
  <c r="J1985" i="3"/>
  <c r="I1985" i="3"/>
  <c r="H1985" i="3"/>
  <c r="L1984" i="3"/>
  <c r="J1984" i="3"/>
  <c r="I1984" i="3"/>
  <c r="H1984" i="3"/>
  <c r="L1983" i="3"/>
  <c r="J1983" i="3"/>
  <c r="I1983" i="3"/>
  <c r="H1983" i="3"/>
  <c r="L1982" i="3"/>
  <c r="J1982" i="3"/>
  <c r="I1982" i="3"/>
  <c r="H1982" i="3"/>
  <c r="L1981" i="3"/>
  <c r="J1981" i="3"/>
  <c r="I1981" i="3"/>
  <c r="H1981" i="3"/>
  <c r="L1980" i="3"/>
  <c r="J1980" i="3"/>
  <c r="I1980" i="3"/>
  <c r="H1980" i="3"/>
  <c r="L1979" i="3"/>
  <c r="J1979" i="3"/>
  <c r="I1979" i="3"/>
  <c r="H1979" i="3"/>
  <c r="L1978" i="3"/>
  <c r="J1978" i="3"/>
  <c r="I1978" i="3"/>
  <c r="H1978" i="3"/>
  <c r="L1977" i="3"/>
  <c r="J1977" i="3"/>
  <c r="I1977" i="3"/>
  <c r="H1977" i="3"/>
  <c r="L1976" i="3"/>
  <c r="J1976" i="3"/>
  <c r="I1976" i="3"/>
  <c r="H1976" i="3"/>
  <c r="L1975" i="3"/>
  <c r="J1975" i="3"/>
  <c r="I1975" i="3"/>
  <c r="H1975" i="3"/>
  <c r="L1974" i="3"/>
  <c r="J1974" i="3"/>
  <c r="I1974" i="3"/>
  <c r="H1974" i="3"/>
  <c r="L1973" i="3"/>
  <c r="J1973" i="3"/>
  <c r="I1973" i="3"/>
  <c r="H1973" i="3"/>
  <c r="L1972" i="3"/>
  <c r="J1972" i="3"/>
  <c r="I1972" i="3"/>
  <c r="H1972" i="3"/>
  <c r="L1971" i="3"/>
  <c r="J1971" i="3"/>
  <c r="I1971" i="3"/>
  <c r="H1971" i="3"/>
  <c r="L1970" i="3"/>
  <c r="J1970" i="3"/>
  <c r="I1970" i="3"/>
  <c r="H1970" i="3"/>
  <c r="L1969" i="3"/>
  <c r="J1969" i="3"/>
  <c r="I1969" i="3"/>
  <c r="H1969" i="3"/>
  <c r="L1968" i="3"/>
  <c r="J1968" i="3"/>
  <c r="I1968" i="3"/>
  <c r="H1968" i="3"/>
  <c r="L1967" i="3"/>
  <c r="J1967" i="3"/>
  <c r="I1967" i="3"/>
  <c r="H1967" i="3"/>
  <c r="L1966" i="3"/>
  <c r="J1966" i="3"/>
  <c r="I1966" i="3"/>
  <c r="H1966" i="3"/>
  <c r="L1965" i="3"/>
  <c r="J1965" i="3"/>
  <c r="I1965" i="3"/>
  <c r="H1965" i="3"/>
  <c r="L1964" i="3"/>
  <c r="J1964" i="3"/>
  <c r="I1964" i="3"/>
  <c r="H1964" i="3"/>
  <c r="L1963" i="3"/>
  <c r="J1963" i="3"/>
  <c r="I1963" i="3"/>
  <c r="H1963" i="3"/>
  <c r="L1962" i="3"/>
  <c r="J1962" i="3"/>
  <c r="I1962" i="3"/>
  <c r="H1962" i="3"/>
  <c r="L1961" i="3"/>
  <c r="J1961" i="3"/>
  <c r="I1961" i="3"/>
  <c r="H1961" i="3"/>
  <c r="L1960" i="3"/>
  <c r="J1960" i="3"/>
  <c r="I1960" i="3"/>
  <c r="H1960" i="3"/>
  <c r="L1959" i="3"/>
  <c r="J1959" i="3"/>
  <c r="I1959" i="3"/>
  <c r="H1959" i="3"/>
  <c r="L1958" i="3"/>
  <c r="J1958" i="3"/>
  <c r="I1958" i="3"/>
  <c r="H1958" i="3"/>
  <c r="L1957" i="3"/>
  <c r="J1957" i="3"/>
  <c r="I1957" i="3"/>
  <c r="H1957" i="3"/>
  <c r="L1956" i="3"/>
  <c r="J1956" i="3"/>
  <c r="I1956" i="3"/>
  <c r="H1956" i="3"/>
  <c r="L1955" i="3"/>
  <c r="J1955" i="3"/>
  <c r="I1955" i="3"/>
  <c r="H1955" i="3"/>
  <c r="L1954" i="3"/>
  <c r="J1954" i="3"/>
  <c r="I1954" i="3"/>
  <c r="H1954" i="3"/>
  <c r="L1953" i="3"/>
  <c r="J1953" i="3"/>
  <c r="I1953" i="3"/>
  <c r="H1953" i="3"/>
  <c r="L1952" i="3"/>
  <c r="J1952" i="3"/>
  <c r="I1952" i="3"/>
  <c r="H1952" i="3"/>
  <c r="L1951" i="3"/>
  <c r="J1951" i="3"/>
  <c r="I1951" i="3"/>
  <c r="H1951" i="3"/>
  <c r="L1950" i="3"/>
  <c r="J1950" i="3"/>
  <c r="I1950" i="3"/>
  <c r="H1950" i="3"/>
  <c r="L1949" i="3"/>
  <c r="J1949" i="3"/>
  <c r="I1949" i="3"/>
  <c r="H1949" i="3"/>
  <c r="L1948" i="3"/>
  <c r="J1948" i="3"/>
  <c r="I1948" i="3"/>
  <c r="H1948" i="3"/>
  <c r="L1947" i="3"/>
  <c r="J1947" i="3"/>
  <c r="I1947" i="3"/>
  <c r="H1947" i="3"/>
  <c r="L1946" i="3"/>
  <c r="J1946" i="3"/>
  <c r="I1946" i="3"/>
  <c r="H1946" i="3"/>
  <c r="L1945" i="3"/>
  <c r="J1945" i="3"/>
  <c r="I1945" i="3"/>
  <c r="H1945" i="3"/>
  <c r="L1944" i="3"/>
  <c r="J1944" i="3"/>
  <c r="I1944" i="3"/>
  <c r="H1944" i="3"/>
  <c r="L1943" i="3"/>
  <c r="J1943" i="3"/>
  <c r="I1943" i="3"/>
  <c r="H1943" i="3"/>
  <c r="L1942" i="3"/>
  <c r="J1942" i="3"/>
  <c r="I1942" i="3"/>
  <c r="H1942" i="3"/>
  <c r="L1941" i="3"/>
  <c r="J1941" i="3"/>
  <c r="I1941" i="3"/>
  <c r="H1941" i="3"/>
  <c r="L1940" i="3"/>
  <c r="J1940" i="3"/>
  <c r="I1940" i="3"/>
  <c r="H1940" i="3"/>
  <c r="L1939" i="3"/>
  <c r="J1939" i="3"/>
  <c r="I1939" i="3"/>
  <c r="H1939" i="3"/>
  <c r="L1938" i="3"/>
  <c r="J1938" i="3"/>
  <c r="I1938" i="3"/>
  <c r="H1938" i="3"/>
  <c r="L1937" i="3"/>
  <c r="J1937" i="3"/>
  <c r="I1937" i="3"/>
  <c r="H1937" i="3"/>
  <c r="L1936" i="3"/>
  <c r="J1936" i="3"/>
  <c r="I1936" i="3"/>
  <c r="H1936" i="3"/>
  <c r="L1935" i="3"/>
  <c r="J1935" i="3"/>
  <c r="I1935" i="3"/>
  <c r="H1935" i="3"/>
  <c r="L1934" i="3"/>
  <c r="J1934" i="3"/>
  <c r="I1934" i="3"/>
  <c r="H1934" i="3"/>
  <c r="L1933" i="3"/>
  <c r="J1933" i="3"/>
  <c r="I1933" i="3"/>
  <c r="H1933" i="3"/>
  <c r="L1932" i="3"/>
  <c r="J1932" i="3"/>
  <c r="I1932" i="3"/>
  <c r="H1932" i="3"/>
  <c r="L1931" i="3"/>
  <c r="J1931" i="3"/>
  <c r="I1931" i="3"/>
  <c r="H1931" i="3"/>
  <c r="L1930" i="3"/>
  <c r="J1930" i="3"/>
  <c r="I1930" i="3"/>
  <c r="H1930" i="3"/>
  <c r="L1929" i="3"/>
  <c r="J1929" i="3"/>
  <c r="I1929" i="3"/>
  <c r="H1929" i="3"/>
  <c r="L1928" i="3"/>
  <c r="J1928" i="3"/>
  <c r="I1928" i="3"/>
  <c r="H1928" i="3"/>
  <c r="L1927" i="3"/>
  <c r="J1927" i="3"/>
  <c r="I1927" i="3"/>
  <c r="H1927" i="3"/>
  <c r="L1926" i="3"/>
  <c r="J1926" i="3"/>
  <c r="I1926" i="3"/>
  <c r="H1926" i="3"/>
  <c r="L1925" i="3"/>
  <c r="J1925" i="3"/>
  <c r="I1925" i="3"/>
  <c r="H1925" i="3"/>
  <c r="L1924" i="3"/>
  <c r="J1924" i="3"/>
  <c r="I1924" i="3"/>
  <c r="H1924" i="3"/>
  <c r="L1923" i="3"/>
  <c r="J1923" i="3"/>
  <c r="I1923" i="3"/>
  <c r="H1923" i="3"/>
  <c r="L1922" i="3"/>
  <c r="J1922" i="3"/>
  <c r="I1922" i="3"/>
  <c r="H1922" i="3"/>
  <c r="L1921" i="3"/>
  <c r="J1921" i="3"/>
  <c r="I1921" i="3"/>
  <c r="H1921" i="3"/>
  <c r="L1920" i="3"/>
  <c r="J1920" i="3"/>
  <c r="I1920" i="3"/>
  <c r="H1920" i="3"/>
  <c r="L1919" i="3"/>
  <c r="J1919" i="3"/>
  <c r="I1919" i="3"/>
  <c r="H1919" i="3"/>
  <c r="L1918" i="3"/>
  <c r="J1918" i="3"/>
  <c r="I1918" i="3"/>
  <c r="H1918" i="3"/>
  <c r="L1917" i="3"/>
  <c r="J1917" i="3"/>
  <c r="I1917" i="3"/>
  <c r="H1917" i="3"/>
  <c r="L1916" i="3"/>
  <c r="J1916" i="3"/>
  <c r="I1916" i="3"/>
  <c r="H1916" i="3"/>
  <c r="L1915" i="3"/>
  <c r="J1915" i="3"/>
  <c r="I1915" i="3"/>
  <c r="H1915" i="3"/>
  <c r="L1914" i="3"/>
  <c r="J1914" i="3"/>
  <c r="I1914" i="3"/>
  <c r="H1914" i="3"/>
  <c r="L1913" i="3"/>
  <c r="J1913" i="3"/>
  <c r="I1913" i="3"/>
  <c r="H1913" i="3"/>
  <c r="L1912" i="3"/>
  <c r="J1912" i="3"/>
  <c r="I1912" i="3"/>
  <c r="H1912" i="3"/>
  <c r="L1911" i="3"/>
  <c r="J1911" i="3"/>
  <c r="I1911" i="3"/>
  <c r="H1911" i="3"/>
  <c r="L1910" i="3"/>
  <c r="J1910" i="3"/>
  <c r="I1910" i="3"/>
  <c r="H1910" i="3"/>
  <c r="L1909" i="3"/>
  <c r="J1909" i="3"/>
  <c r="I1909" i="3"/>
  <c r="H1909" i="3"/>
  <c r="L1908" i="3"/>
  <c r="J1908" i="3"/>
  <c r="I1908" i="3"/>
  <c r="H1908" i="3"/>
  <c r="L1907" i="3"/>
  <c r="J1907" i="3"/>
  <c r="I1907" i="3"/>
  <c r="H1907" i="3"/>
  <c r="L1906" i="3"/>
  <c r="J1906" i="3"/>
  <c r="I1906" i="3"/>
  <c r="H1906" i="3"/>
  <c r="L1905" i="3"/>
  <c r="J1905" i="3"/>
  <c r="I1905" i="3"/>
  <c r="H1905" i="3"/>
  <c r="L1904" i="3"/>
  <c r="J1904" i="3"/>
  <c r="I1904" i="3"/>
  <c r="H1904" i="3"/>
  <c r="L1903" i="3"/>
  <c r="J1903" i="3"/>
  <c r="I1903" i="3"/>
  <c r="H1903" i="3"/>
  <c r="L1902" i="3"/>
  <c r="J1902" i="3"/>
  <c r="I1902" i="3"/>
  <c r="H1902" i="3"/>
  <c r="L1901" i="3"/>
  <c r="J1901" i="3"/>
  <c r="I1901" i="3"/>
  <c r="H1901" i="3"/>
  <c r="L1900" i="3"/>
  <c r="J1900" i="3"/>
  <c r="I1900" i="3"/>
  <c r="H1900" i="3"/>
  <c r="L1899" i="3"/>
  <c r="J1899" i="3"/>
  <c r="I1899" i="3"/>
  <c r="H1899" i="3"/>
  <c r="L1898" i="3"/>
  <c r="J1898" i="3"/>
  <c r="I1898" i="3"/>
  <c r="H1898" i="3"/>
  <c r="L1897" i="3"/>
  <c r="J1897" i="3"/>
  <c r="I1897" i="3"/>
  <c r="H1897" i="3"/>
  <c r="L1896" i="3"/>
  <c r="J1896" i="3"/>
  <c r="I1896" i="3"/>
  <c r="H1896" i="3"/>
  <c r="L1895" i="3"/>
  <c r="J1895" i="3"/>
  <c r="I1895" i="3"/>
  <c r="H1895" i="3"/>
  <c r="L1894" i="3"/>
  <c r="J1894" i="3"/>
  <c r="I1894" i="3"/>
  <c r="H1894" i="3"/>
  <c r="L1893" i="3"/>
  <c r="J1893" i="3"/>
  <c r="I1893" i="3"/>
  <c r="H1893" i="3"/>
  <c r="L1892" i="3"/>
  <c r="J1892" i="3"/>
  <c r="I1892" i="3"/>
  <c r="H1892" i="3"/>
  <c r="L1891" i="3"/>
  <c r="J1891" i="3"/>
  <c r="I1891" i="3"/>
  <c r="H1891" i="3"/>
  <c r="L1890" i="3"/>
  <c r="J1890" i="3"/>
  <c r="I1890" i="3"/>
  <c r="H1890" i="3"/>
  <c r="L1889" i="3"/>
  <c r="J1889" i="3"/>
  <c r="I1889" i="3"/>
  <c r="H1889" i="3"/>
  <c r="L1888" i="3"/>
  <c r="J1888" i="3"/>
  <c r="I1888" i="3"/>
  <c r="H1888" i="3"/>
  <c r="L1887" i="3"/>
  <c r="J1887" i="3"/>
  <c r="I1887" i="3"/>
  <c r="H1887" i="3"/>
  <c r="L1886" i="3"/>
  <c r="J1886" i="3"/>
  <c r="I1886" i="3"/>
  <c r="H1886" i="3"/>
  <c r="L1885" i="3"/>
  <c r="J1885" i="3"/>
  <c r="I1885" i="3"/>
  <c r="H1885" i="3"/>
  <c r="L1884" i="3"/>
  <c r="J1884" i="3"/>
  <c r="I1884" i="3"/>
  <c r="H1884" i="3"/>
  <c r="L1883" i="3"/>
  <c r="J1883" i="3"/>
  <c r="I1883" i="3"/>
  <c r="H1883" i="3"/>
  <c r="L1882" i="3"/>
  <c r="J1882" i="3"/>
  <c r="I1882" i="3"/>
  <c r="H1882" i="3"/>
  <c r="L1881" i="3"/>
  <c r="J1881" i="3"/>
  <c r="I1881" i="3"/>
  <c r="H1881" i="3"/>
  <c r="L1880" i="3"/>
  <c r="J1880" i="3"/>
  <c r="I1880" i="3"/>
  <c r="H1880" i="3"/>
  <c r="L1879" i="3"/>
  <c r="J1879" i="3"/>
  <c r="I1879" i="3"/>
  <c r="H1879" i="3"/>
  <c r="L1878" i="3"/>
  <c r="J1878" i="3"/>
  <c r="I1878" i="3"/>
  <c r="H1878" i="3"/>
  <c r="L1877" i="3"/>
  <c r="J1877" i="3"/>
  <c r="I1877" i="3"/>
  <c r="H1877" i="3"/>
  <c r="L1876" i="3"/>
  <c r="J1876" i="3"/>
  <c r="I1876" i="3"/>
  <c r="H1876" i="3"/>
  <c r="L1875" i="3"/>
  <c r="J1875" i="3"/>
  <c r="I1875" i="3"/>
  <c r="H1875" i="3"/>
  <c r="L1874" i="3"/>
  <c r="J1874" i="3"/>
  <c r="I1874" i="3"/>
  <c r="H1874" i="3"/>
  <c r="L1873" i="3"/>
  <c r="J1873" i="3"/>
  <c r="I1873" i="3"/>
  <c r="H1873" i="3"/>
  <c r="L1872" i="3"/>
  <c r="J1872" i="3"/>
  <c r="I1872" i="3"/>
  <c r="H1872" i="3"/>
  <c r="L1871" i="3"/>
  <c r="J1871" i="3"/>
  <c r="I1871" i="3"/>
  <c r="H1871" i="3"/>
  <c r="L1870" i="3"/>
  <c r="J1870" i="3"/>
  <c r="I1870" i="3"/>
  <c r="H1870" i="3"/>
  <c r="L1869" i="3"/>
  <c r="J1869" i="3"/>
  <c r="I1869" i="3"/>
  <c r="H1869" i="3"/>
  <c r="L1868" i="3"/>
  <c r="J1868" i="3"/>
  <c r="I1868" i="3"/>
  <c r="H1868" i="3"/>
  <c r="L1867" i="3"/>
  <c r="J1867" i="3"/>
  <c r="I1867" i="3"/>
  <c r="H1867" i="3"/>
  <c r="L1866" i="3"/>
  <c r="J1866" i="3"/>
  <c r="I1866" i="3"/>
  <c r="H1866" i="3"/>
  <c r="L1865" i="3"/>
  <c r="J1865" i="3"/>
  <c r="I1865" i="3"/>
  <c r="H1865" i="3"/>
  <c r="L1864" i="3"/>
  <c r="J1864" i="3"/>
  <c r="I1864" i="3"/>
  <c r="H1864" i="3"/>
  <c r="L1863" i="3"/>
  <c r="J1863" i="3"/>
  <c r="I1863" i="3"/>
  <c r="H1863" i="3"/>
  <c r="L1862" i="3"/>
  <c r="J1862" i="3"/>
  <c r="I1862" i="3"/>
  <c r="H1862" i="3"/>
  <c r="L1861" i="3"/>
  <c r="J1861" i="3"/>
  <c r="I1861" i="3"/>
  <c r="H1861" i="3"/>
  <c r="L1860" i="3"/>
  <c r="J1860" i="3"/>
  <c r="I1860" i="3"/>
  <c r="H1860" i="3"/>
  <c r="L1859" i="3"/>
  <c r="J1859" i="3"/>
  <c r="I1859" i="3"/>
  <c r="H1859" i="3"/>
  <c r="L1858" i="3"/>
  <c r="J1858" i="3"/>
  <c r="I1858" i="3"/>
  <c r="H1858" i="3"/>
  <c r="L1857" i="3"/>
  <c r="J1857" i="3"/>
  <c r="I1857" i="3"/>
  <c r="H1857" i="3"/>
  <c r="L1856" i="3"/>
  <c r="J1856" i="3"/>
  <c r="I1856" i="3"/>
  <c r="H1856" i="3"/>
  <c r="L1855" i="3"/>
  <c r="J1855" i="3"/>
  <c r="I1855" i="3"/>
  <c r="H1855" i="3"/>
  <c r="L1854" i="3"/>
  <c r="J1854" i="3"/>
  <c r="I1854" i="3"/>
  <c r="H1854" i="3"/>
  <c r="L1853" i="3"/>
  <c r="J1853" i="3"/>
  <c r="I1853" i="3"/>
  <c r="H1853" i="3"/>
  <c r="L1852" i="3"/>
  <c r="J1852" i="3"/>
  <c r="I1852" i="3"/>
  <c r="H1852" i="3"/>
  <c r="L1851" i="3"/>
  <c r="J1851" i="3"/>
  <c r="I1851" i="3"/>
  <c r="H1851" i="3"/>
  <c r="L1850" i="3"/>
  <c r="J1850" i="3"/>
  <c r="I1850" i="3"/>
  <c r="H1850" i="3"/>
  <c r="L1849" i="3"/>
  <c r="J1849" i="3"/>
  <c r="I1849" i="3"/>
  <c r="H1849" i="3"/>
  <c r="L1848" i="3"/>
  <c r="J1848" i="3"/>
  <c r="I1848" i="3"/>
  <c r="H1848" i="3"/>
  <c r="L1847" i="3"/>
  <c r="J1847" i="3"/>
  <c r="I1847" i="3"/>
  <c r="H1847" i="3"/>
  <c r="L1846" i="3"/>
  <c r="J1846" i="3"/>
  <c r="I1846" i="3"/>
  <c r="H1846" i="3"/>
  <c r="L1845" i="3"/>
  <c r="J1845" i="3"/>
  <c r="I1845" i="3"/>
  <c r="H1845" i="3"/>
  <c r="L1844" i="3"/>
  <c r="J1844" i="3"/>
  <c r="I1844" i="3"/>
  <c r="H1844" i="3"/>
  <c r="L1843" i="3"/>
  <c r="J1843" i="3"/>
  <c r="I1843" i="3"/>
  <c r="H1843" i="3"/>
  <c r="L1842" i="3"/>
  <c r="J1842" i="3"/>
  <c r="I1842" i="3"/>
  <c r="H1842" i="3"/>
  <c r="L1841" i="3"/>
  <c r="J1841" i="3"/>
  <c r="I1841" i="3"/>
  <c r="H1841" i="3"/>
  <c r="L1840" i="3"/>
  <c r="J1840" i="3"/>
  <c r="I1840" i="3"/>
  <c r="H1840" i="3"/>
  <c r="L1839" i="3"/>
  <c r="J1839" i="3"/>
  <c r="I1839" i="3"/>
  <c r="H1839" i="3"/>
  <c r="L1838" i="3"/>
  <c r="J1838" i="3"/>
  <c r="I1838" i="3"/>
  <c r="H1838" i="3"/>
  <c r="L1837" i="3"/>
  <c r="J1837" i="3"/>
  <c r="I1837" i="3"/>
  <c r="H1837" i="3"/>
  <c r="L1836" i="3"/>
  <c r="J1836" i="3"/>
  <c r="I1836" i="3"/>
  <c r="H1836" i="3"/>
  <c r="L1835" i="3"/>
  <c r="J1835" i="3"/>
  <c r="I1835" i="3"/>
  <c r="H1835" i="3"/>
  <c r="L1834" i="3"/>
  <c r="J1834" i="3"/>
  <c r="I1834" i="3"/>
  <c r="H1834" i="3"/>
  <c r="L1833" i="3"/>
  <c r="J1833" i="3"/>
  <c r="I1833" i="3"/>
  <c r="H1833" i="3"/>
  <c r="L1832" i="3"/>
  <c r="J1832" i="3"/>
  <c r="I1832" i="3"/>
  <c r="H1832" i="3"/>
  <c r="L1831" i="3"/>
  <c r="J1831" i="3"/>
  <c r="I1831" i="3"/>
  <c r="H1831" i="3"/>
  <c r="L1830" i="3"/>
  <c r="J1830" i="3"/>
  <c r="I1830" i="3"/>
  <c r="H1830" i="3"/>
  <c r="L1829" i="3"/>
  <c r="J1829" i="3"/>
  <c r="I1829" i="3"/>
  <c r="H1829" i="3"/>
  <c r="L1828" i="3"/>
  <c r="J1828" i="3"/>
  <c r="I1828" i="3"/>
  <c r="H1828" i="3"/>
  <c r="L1827" i="3"/>
  <c r="J1827" i="3"/>
  <c r="I1827" i="3"/>
  <c r="H1827" i="3"/>
  <c r="L1826" i="3"/>
  <c r="J1826" i="3"/>
  <c r="I1826" i="3"/>
  <c r="H1826" i="3"/>
  <c r="L1825" i="3"/>
  <c r="J1825" i="3"/>
  <c r="I1825" i="3"/>
  <c r="H1825" i="3"/>
  <c r="L1824" i="3"/>
  <c r="J1824" i="3"/>
  <c r="I1824" i="3"/>
  <c r="H1824" i="3"/>
  <c r="L1823" i="3"/>
  <c r="J1823" i="3"/>
  <c r="I1823" i="3"/>
  <c r="H1823" i="3"/>
  <c r="L1822" i="3"/>
  <c r="J1822" i="3"/>
  <c r="I1822" i="3"/>
  <c r="H1822" i="3"/>
  <c r="L1821" i="3"/>
  <c r="J1821" i="3"/>
  <c r="I1821" i="3"/>
  <c r="H1821" i="3"/>
  <c r="L1820" i="3"/>
  <c r="J1820" i="3"/>
  <c r="I1820" i="3"/>
  <c r="H1820" i="3"/>
  <c r="L1819" i="3"/>
  <c r="J1819" i="3"/>
  <c r="I1819" i="3"/>
  <c r="H1819" i="3"/>
  <c r="L1818" i="3"/>
  <c r="J1818" i="3"/>
  <c r="I1818" i="3"/>
  <c r="H1818" i="3"/>
  <c r="L1817" i="3"/>
  <c r="J1817" i="3"/>
  <c r="I1817" i="3"/>
  <c r="H1817" i="3"/>
  <c r="L1816" i="3"/>
  <c r="J1816" i="3"/>
  <c r="I1816" i="3"/>
  <c r="H1816" i="3"/>
  <c r="L1815" i="3"/>
  <c r="J1815" i="3"/>
  <c r="I1815" i="3"/>
  <c r="H1815" i="3"/>
  <c r="L1814" i="3"/>
  <c r="J1814" i="3"/>
  <c r="I1814" i="3"/>
  <c r="H1814" i="3"/>
  <c r="L1813" i="3"/>
  <c r="J1813" i="3"/>
  <c r="I1813" i="3"/>
  <c r="H1813" i="3"/>
  <c r="L1812" i="3"/>
  <c r="J1812" i="3"/>
  <c r="I1812" i="3"/>
  <c r="H1812" i="3"/>
  <c r="L1811" i="3"/>
  <c r="J1811" i="3"/>
  <c r="I1811" i="3"/>
  <c r="H1811" i="3"/>
  <c r="L1810" i="3"/>
  <c r="J1810" i="3"/>
  <c r="I1810" i="3"/>
  <c r="H1810" i="3"/>
  <c r="L1809" i="3"/>
  <c r="J1809" i="3"/>
  <c r="I1809" i="3"/>
  <c r="H1809" i="3"/>
  <c r="L1808" i="3"/>
  <c r="J1808" i="3"/>
  <c r="I1808" i="3"/>
  <c r="H1808" i="3"/>
  <c r="L1807" i="3"/>
  <c r="J1807" i="3"/>
  <c r="I1807" i="3"/>
  <c r="H1807" i="3"/>
  <c r="L1806" i="3"/>
  <c r="J1806" i="3"/>
  <c r="I1806" i="3"/>
  <c r="H1806" i="3"/>
  <c r="L1805" i="3"/>
  <c r="J1805" i="3"/>
  <c r="I1805" i="3"/>
  <c r="H1805" i="3"/>
  <c r="L1804" i="3"/>
  <c r="J1804" i="3"/>
  <c r="I1804" i="3"/>
  <c r="H1804" i="3"/>
  <c r="L1803" i="3"/>
  <c r="J1803" i="3"/>
  <c r="I1803" i="3"/>
  <c r="H1803" i="3"/>
  <c r="L1802" i="3"/>
  <c r="J1802" i="3"/>
  <c r="I1802" i="3"/>
  <c r="H1802" i="3"/>
  <c r="L1801" i="3"/>
  <c r="J1801" i="3"/>
  <c r="I1801" i="3"/>
  <c r="H1801" i="3"/>
  <c r="L1800" i="3"/>
  <c r="J1800" i="3"/>
  <c r="I1800" i="3"/>
  <c r="H1800" i="3"/>
  <c r="L1799" i="3"/>
  <c r="J1799" i="3"/>
  <c r="I1799" i="3"/>
  <c r="H1799" i="3"/>
  <c r="L1798" i="3"/>
  <c r="J1798" i="3"/>
  <c r="I1798" i="3"/>
  <c r="H1798" i="3"/>
  <c r="L1797" i="3"/>
  <c r="J1797" i="3"/>
  <c r="I1797" i="3"/>
  <c r="H1797" i="3"/>
  <c r="L1796" i="3"/>
  <c r="J1796" i="3"/>
  <c r="I1796" i="3"/>
  <c r="H1796" i="3"/>
  <c r="L1795" i="3"/>
  <c r="J1795" i="3"/>
  <c r="I1795" i="3"/>
  <c r="H1795" i="3"/>
  <c r="L1794" i="3"/>
  <c r="J1794" i="3"/>
  <c r="I1794" i="3"/>
  <c r="H1794" i="3"/>
  <c r="L1793" i="3"/>
  <c r="J1793" i="3"/>
  <c r="I1793" i="3"/>
  <c r="H1793" i="3"/>
  <c r="L1792" i="3"/>
  <c r="J1792" i="3"/>
  <c r="I1792" i="3"/>
  <c r="H1792" i="3"/>
  <c r="L1791" i="3"/>
  <c r="J1791" i="3"/>
  <c r="I1791" i="3"/>
  <c r="H1791" i="3"/>
  <c r="L1790" i="3"/>
  <c r="J1790" i="3"/>
  <c r="I1790" i="3"/>
  <c r="H1790" i="3"/>
  <c r="L1789" i="3"/>
  <c r="J1789" i="3"/>
  <c r="I1789" i="3"/>
  <c r="H1789" i="3"/>
  <c r="L1788" i="3"/>
  <c r="J1788" i="3"/>
  <c r="I1788" i="3"/>
  <c r="H1788" i="3"/>
  <c r="L1787" i="3"/>
  <c r="J1787" i="3"/>
  <c r="I1787" i="3"/>
  <c r="H1787" i="3"/>
  <c r="L1786" i="3"/>
  <c r="J1786" i="3"/>
  <c r="I1786" i="3"/>
  <c r="H1786" i="3"/>
  <c r="L1785" i="3"/>
  <c r="J1785" i="3"/>
  <c r="I1785" i="3"/>
  <c r="H1785" i="3"/>
  <c r="L1784" i="3"/>
  <c r="J1784" i="3"/>
  <c r="I1784" i="3"/>
  <c r="H1784" i="3"/>
  <c r="L1783" i="3"/>
  <c r="J1783" i="3"/>
  <c r="I1783" i="3"/>
  <c r="H1783" i="3"/>
  <c r="L1782" i="3"/>
  <c r="J1782" i="3"/>
  <c r="I1782" i="3"/>
  <c r="H1782" i="3"/>
  <c r="L1781" i="3"/>
  <c r="J1781" i="3"/>
  <c r="I1781" i="3"/>
  <c r="H1781" i="3"/>
  <c r="L1780" i="3"/>
  <c r="J1780" i="3"/>
  <c r="I1780" i="3"/>
  <c r="H1780" i="3"/>
  <c r="L1779" i="3"/>
  <c r="J1779" i="3"/>
  <c r="I1779" i="3"/>
  <c r="H1779" i="3"/>
  <c r="L1778" i="3"/>
  <c r="J1778" i="3"/>
  <c r="I1778" i="3"/>
  <c r="H1778" i="3"/>
  <c r="L1777" i="3"/>
  <c r="J1777" i="3"/>
  <c r="I1777" i="3"/>
  <c r="H1777" i="3"/>
  <c r="L1776" i="3"/>
  <c r="J1776" i="3"/>
  <c r="I1776" i="3"/>
  <c r="H1776" i="3"/>
  <c r="L1775" i="3"/>
  <c r="J1775" i="3"/>
  <c r="I1775" i="3"/>
  <c r="H1775" i="3"/>
  <c r="L1774" i="3"/>
  <c r="J1774" i="3"/>
  <c r="I1774" i="3"/>
  <c r="H1774" i="3"/>
  <c r="L1773" i="3"/>
  <c r="J1773" i="3"/>
  <c r="I1773" i="3"/>
  <c r="H1773" i="3"/>
  <c r="L1772" i="3"/>
  <c r="J1772" i="3"/>
  <c r="I1772" i="3"/>
  <c r="H1772" i="3"/>
  <c r="L1771" i="3"/>
  <c r="J1771" i="3"/>
  <c r="I1771" i="3"/>
  <c r="H1771" i="3"/>
  <c r="L1770" i="3"/>
  <c r="J1770" i="3"/>
  <c r="I1770" i="3"/>
  <c r="H1770" i="3"/>
  <c r="L1769" i="3"/>
  <c r="J1769" i="3"/>
  <c r="I1769" i="3"/>
  <c r="H1769" i="3"/>
  <c r="L1768" i="3"/>
  <c r="J1768" i="3"/>
  <c r="I1768" i="3"/>
  <c r="H1768" i="3"/>
  <c r="L1767" i="3"/>
  <c r="J1767" i="3"/>
  <c r="I1767" i="3"/>
  <c r="H1767" i="3"/>
  <c r="L1766" i="3"/>
  <c r="J1766" i="3"/>
  <c r="I1766" i="3"/>
  <c r="H1766" i="3"/>
  <c r="L1765" i="3"/>
  <c r="J1765" i="3"/>
  <c r="I1765" i="3"/>
  <c r="H1765" i="3"/>
  <c r="L1764" i="3"/>
  <c r="J1764" i="3"/>
  <c r="I1764" i="3"/>
  <c r="H1764" i="3"/>
  <c r="L1763" i="3"/>
  <c r="J1763" i="3"/>
  <c r="I1763" i="3"/>
  <c r="H1763" i="3"/>
  <c r="L1762" i="3"/>
  <c r="J1762" i="3"/>
  <c r="I1762" i="3"/>
  <c r="H1762" i="3"/>
  <c r="L1761" i="3"/>
  <c r="J1761" i="3"/>
  <c r="I1761" i="3"/>
  <c r="H1761" i="3"/>
  <c r="L1760" i="3"/>
  <c r="J1760" i="3"/>
  <c r="I1760" i="3"/>
  <c r="H1760" i="3"/>
  <c r="L1759" i="3"/>
  <c r="J1759" i="3"/>
  <c r="I1759" i="3"/>
  <c r="H1759" i="3"/>
  <c r="L1758" i="3"/>
  <c r="J1758" i="3"/>
  <c r="I1758" i="3"/>
  <c r="H1758" i="3"/>
  <c r="L1757" i="3"/>
  <c r="J1757" i="3"/>
  <c r="I1757" i="3"/>
  <c r="H1757" i="3"/>
  <c r="L1756" i="3"/>
  <c r="J1756" i="3"/>
  <c r="I1756" i="3"/>
  <c r="H1756" i="3"/>
  <c r="L1755" i="3"/>
  <c r="J1755" i="3"/>
  <c r="I1755" i="3"/>
  <c r="H1755" i="3"/>
  <c r="L1754" i="3"/>
  <c r="J1754" i="3"/>
  <c r="I1754" i="3"/>
  <c r="H1754" i="3"/>
  <c r="L1753" i="3"/>
  <c r="J1753" i="3"/>
  <c r="I1753" i="3"/>
  <c r="H1753" i="3"/>
  <c r="L1752" i="3"/>
  <c r="J1752" i="3"/>
  <c r="I1752" i="3"/>
  <c r="H1752" i="3"/>
  <c r="L1751" i="3"/>
  <c r="J1751" i="3"/>
  <c r="I1751" i="3"/>
  <c r="H1751" i="3"/>
  <c r="L1750" i="3"/>
  <c r="J1750" i="3"/>
  <c r="I1750" i="3"/>
  <c r="H1750" i="3"/>
  <c r="L1749" i="3"/>
  <c r="J1749" i="3"/>
  <c r="I1749" i="3"/>
  <c r="H1749" i="3"/>
  <c r="L1748" i="3"/>
  <c r="J1748" i="3"/>
  <c r="I1748" i="3"/>
  <c r="H1748" i="3"/>
  <c r="L1747" i="3"/>
  <c r="J1747" i="3"/>
  <c r="I1747" i="3"/>
  <c r="H1747" i="3"/>
  <c r="L1746" i="3"/>
  <c r="J1746" i="3"/>
  <c r="I1746" i="3"/>
  <c r="H1746" i="3"/>
  <c r="L1745" i="3"/>
  <c r="J1745" i="3"/>
  <c r="I1745" i="3"/>
  <c r="H1745" i="3"/>
  <c r="L1744" i="3"/>
  <c r="J1744" i="3"/>
  <c r="I1744" i="3"/>
  <c r="H1744" i="3"/>
  <c r="L1743" i="3"/>
  <c r="J1743" i="3"/>
  <c r="I1743" i="3"/>
  <c r="H1743" i="3"/>
  <c r="L1742" i="3"/>
  <c r="J1742" i="3"/>
  <c r="I1742" i="3"/>
  <c r="H1742" i="3"/>
  <c r="L1741" i="3"/>
  <c r="J1741" i="3"/>
  <c r="I1741" i="3"/>
  <c r="H1741" i="3"/>
  <c r="L1740" i="3"/>
  <c r="J1740" i="3"/>
  <c r="I1740" i="3"/>
  <c r="H1740" i="3"/>
  <c r="L1739" i="3"/>
  <c r="J1739" i="3"/>
  <c r="I1739" i="3"/>
  <c r="H1739" i="3"/>
  <c r="L1738" i="3"/>
  <c r="J1738" i="3"/>
  <c r="I1738" i="3"/>
  <c r="H1738" i="3"/>
  <c r="L1737" i="3"/>
  <c r="J1737" i="3"/>
  <c r="I1737" i="3"/>
  <c r="H1737" i="3"/>
  <c r="L1736" i="3"/>
  <c r="J1736" i="3"/>
  <c r="I1736" i="3"/>
  <c r="H1736" i="3"/>
  <c r="L1735" i="3"/>
  <c r="J1735" i="3"/>
  <c r="I1735" i="3"/>
  <c r="H1735" i="3"/>
  <c r="L1734" i="3"/>
  <c r="J1734" i="3"/>
  <c r="I1734" i="3"/>
  <c r="H1734" i="3"/>
  <c r="L1733" i="3"/>
  <c r="J1733" i="3"/>
  <c r="I1733" i="3"/>
  <c r="H1733" i="3"/>
  <c r="L1732" i="3"/>
  <c r="J1732" i="3"/>
  <c r="I1732" i="3"/>
  <c r="H1732" i="3"/>
  <c r="L1731" i="3"/>
  <c r="J1731" i="3"/>
  <c r="I1731" i="3"/>
  <c r="H1731" i="3"/>
  <c r="L1730" i="3"/>
  <c r="J1730" i="3"/>
  <c r="I1730" i="3"/>
  <c r="H1730" i="3"/>
  <c r="L1729" i="3"/>
  <c r="J1729" i="3"/>
  <c r="I1729" i="3"/>
  <c r="H1729" i="3"/>
  <c r="L1728" i="3"/>
  <c r="J1728" i="3"/>
  <c r="I1728" i="3"/>
  <c r="H1728" i="3"/>
  <c r="L1727" i="3"/>
  <c r="J1727" i="3"/>
  <c r="I1727" i="3"/>
  <c r="H1727" i="3"/>
  <c r="L1726" i="3"/>
  <c r="J1726" i="3"/>
  <c r="I1726" i="3"/>
  <c r="H1726" i="3"/>
  <c r="L1725" i="3"/>
  <c r="J1725" i="3"/>
  <c r="I1725" i="3"/>
  <c r="H1725" i="3"/>
  <c r="L1724" i="3"/>
  <c r="J1724" i="3"/>
  <c r="I1724" i="3"/>
  <c r="H1724" i="3"/>
  <c r="L1723" i="3"/>
  <c r="J1723" i="3"/>
  <c r="I1723" i="3"/>
  <c r="H1723" i="3"/>
  <c r="L1722" i="3"/>
  <c r="J1722" i="3"/>
  <c r="I1722" i="3"/>
  <c r="H1722" i="3"/>
  <c r="L1721" i="3"/>
  <c r="J1721" i="3"/>
  <c r="I1721" i="3"/>
  <c r="H1721" i="3"/>
  <c r="L1720" i="3"/>
  <c r="J1720" i="3"/>
  <c r="I1720" i="3"/>
  <c r="H1720" i="3"/>
  <c r="L1719" i="3"/>
  <c r="J1719" i="3"/>
  <c r="I1719" i="3"/>
  <c r="H1719" i="3"/>
  <c r="L1718" i="3"/>
  <c r="J1718" i="3"/>
  <c r="I1718" i="3"/>
  <c r="H1718" i="3"/>
  <c r="L1717" i="3"/>
  <c r="J1717" i="3"/>
  <c r="I1717" i="3"/>
  <c r="H1717" i="3"/>
  <c r="L1716" i="3"/>
  <c r="J1716" i="3"/>
  <c r="I1716" i="3"/>
  <c r="H1716" i="3"/>
  <c r="L1715" i="3"/>
  <c r="J1715" i="3"/>
  <c r="I1715" i="3"/>
  <c r="H1715" i="3"/>
  <c r="L1714" i="3"/>
  <c r="J1714" i="3"/>
  <c r="I1714" i="3"/>
  <c r="H1714" i="3"/>
  <c r="L1713" i="3"/>
  <c r="J1713" i="3"/>
  <c r="I1713" i="3"/>
  <c r="H1713" i="3"/>
  <c r="L1712" i="3"/>
  <c r="J1712" i="3"/>
  <c r="I1712" i="3"/>
  <c r="H1712" i="3"/>
  <c r="L1711" i="3"/>
  <c r="J1711" i="3"/>
  <c r="I1711" i="3"/>
  <c r="H1711" i="3"/>
  <c r="L1710" i="3"/>
  <c r="J1710" i="3"/>
  <c r="I1710" i="3"/>
  <c r="H1710" i="3"/>
  <c r="L1709" i="3"/>
  <c r="J1709" i="3"/>
  <c r="I1709" i="3"/>
  <c r="H1709" i="3"/>
  <c r="L1708" i="3"/>
  <c r="J1708" i="3"/>
  <c r="I1708" i="3"/>
  <c r="H1708" i="3"/>
  <c r="L1707" i="3"/>
  <c r="J1707" i="3"/>
  <c r="I1707" i="3"/>
  <c r="H1707" i="3"/>
  <c r="L1706" i="3"/>
  <c r="J1706" i="3"/>
  <c r="I1706" i="3"/>
  <c r="H1706" i="3"/>
  <c r="L1705" i="3"/>
  <c r="J1705" i="3"/>
  <c r="I1705" i="3"/>
  <c r="H1705" i="3"/>
  <c r="L1704" i="3"/>
  <c r="J1704" i="3"/>
  <c r="I1704" i="3"/>
  <c r="H1704" i="3"/>
  <c r="L1703" i="3"/>
  <c r="J1703" i="3"/>
  <c r="I1703" i="3"/>
  <c r="H1703" i="3"/>
  <c r="L1702" i="3"/>
  <c r="J1702" i="3"/>
  <c r="I1702" i="3"/>
  <c r="H1702" i="3"/>
  <c r="L1701" i="3"/>
  <c r="J1701" i="3"/>
  <c r="I1701" i="3"/>
  <c r="H1701" i="3"/>
  <c r="L1700" i="3"/>
  <c r="J1700" i="3"/>
  <c r="I1700" i="3"/>
  <c r="H1700" i="3"/>
  <c r="L1699" i="3"/>
  <c r="J1699" i="3"/>
  <c r="I1699" i="3"/>
  <c r="H1699" i="3"/>
  <c r="L1698" i="3"/>
  <c r="J1698" i="3"/>
  <c r="I1698" i="3"/>
  <c r="H1698" i="3"/>
  <c r="L1697" i="3"/>
  <c r="J1697" i="3"/>
  <c r="I1697" i="3"/>
  <c r="H1697" i="3"/>
  <c r="L1696" i="3"/>
  <c r="J1696" i="3"/>
  <c r="I1696" i="3"/>
  <c r="H1696" i="3"/>
  <c r="L1695" i="3"/>
  <c r="J1695" i="3"/>
  <c r="I1695" i="3"/>
  <c r="H1695" i="3"/>
  <c r="L1694" i="3"/>
  <c r="J1694" i="3"/>
  <c r="I1694" i="3"/>
  <c r="H1694" i="3"/>
  <c r="L1693" i="3"/>
  <c r="J1693" i="3"/>
  <c r="I1693" i="3"/>
  <c r="H1693" i="3"/>
  <c r="L1692" i="3"/>
  <c r="J1692" i="3"/>
  <c r="I1692" i="3"/>
  <c r="H1692" i="3"/>
  <c r="L1691" i="3"/>
  <c r="J1691" i="3"/>
  <c r="I1691" i="3"/>
  <c r="H1691" i="3"/>
  <c r="L1690" i="3"/>
  <c r="J1690" i="3"/>
  <c r="I1690" i="3"/>
  <c r="H1690" i="3"/>
  <c r="L1689" i="3"/>
  <c r="J1689" i="3"/>
  <c r="I1689" i="3"/>
  <c r="H1689" i="3"/>
  <c r="L1688" i="3"/>
  <c r="J1688" i="3"/>
  <c r="I1688" i="3"/>
  <c r="H1688" i="3"/>
  <c r="L1687" i="3"/>
  <c r="J1687" i="3"/>
  <c r="I1687" i="3"/>
  <c r="H1687" i="3"/>
  <c r="L1686" i="3"/>
  <c r="J1686" i="3"/>
  <c r="I1686" i="3"/>
  <c r="H1686" i="3"/>
  <c r="L1685" i="3"/>
  <c r="J1685" i="3"/>
  <c r="I1685" i="3"/>
  <c r="H1685" i="3"/>
  <c r="L1684" i="3"/>
  <c r="J1684" i="3"/>
  <c r="I1684" i="3"/>
  <c r="H1684" i="3"/>
  <c r="L1683" i="3"/>
  <c r="J1683" i="3"/>
  <c r="I1683" i="3"/>
  <c r="H1683" i="3"/>
  <c r="L1682" i="3"/>
  <c r="J1682" i="3"/>
  <c r="I1682" i="3"/>
  <c r="H1682" i="3"/>
  <c r="L1681" i="3"/>
  <c r="J1681" i="3"/>
  <c r="I1681" i="3"/>
  <c r="H1681" i="3"/>
  <c r="L1680" i="3"/>
  <c r="J1680" i="3"/>
  <c r="I1680" i="3"/>
  <c r="H1680" i="3"/>
  <c r="L1679" i="3"/>
  <c r="J1679" i="3"/>
  <c r="I1679" i="3"/>
  <c r="H1679" i="3"/>
  <c r="L1678" i="3"/>
  <c r="J1678" i="3"/>
  <c r="I1678" i="3"/>
  <c r="H1678" i="3"/>
  <c r="L1677" i="3"/>
  <c r="J1677" i="3"/>
  <c r="I1677" i="3"/>
  <c r="H1677" i="3"/>
  <c r="L1676" i="3"/>
  <c r="J1676" i="3"/>
  <c r="I1676" i="3"/>
  <c r="H1676" i="3"/>
  <c r="L1675" i="3"/>
  <c r="J1675" i="3"/>
  <c r="I1675" i="3"/>
  <c r="H1675" i="3"/>
  <c r="L1674" i="3"/>
  <c r="J1674" i="3"/>
  <c r="I1674" i="3"/>
  <c r="H1674" i="3"/>
  <c r="L1673" i="3"/>
  <c r="J1673" i="3"/>
  <c r="I1673" i="3"/>
  <c r="H1673" i="3"/>
  <c r="L1672" i="3"/>
  <c r="J1672" i="3"/>
  <c r="I1672" i="3"/>
  <c r="H1672" i="3"/>
  <c r="L1671" i="3"/>
  <c r="J1671" i="3"/>
  <c r="I1671" i="3"/>
  <c r="H1671" i="3"/>
  <c r="L1670" i="3"/>
  <c r="J1670" i="3"/>
  <c r="I1670" i="3"/>
  <c r="H1670" i="3"/>
  <c r="L1669" i="3"/>
  <c r="J1669" i="3"/>
  <c r="I1669" i="3"/>
  <c r="H1669" i="3"/>
  <c r="L1668" i="3"/>
  <c r="J1668" i="3"/>
  <c r="I1668" i="3"/>
  <c r="H1668" i="3"/>
  <c r="L1667" i="3"/>
  <c r="J1667" i="3"/>
  <c r="I1667" i="3"/>
  <c r="H1667" i="3"/>
  <c r="L1666" i="3"/>
  <c r="J1666" i="3"/>
  <c r="I1666" i="3"/>
  <c r="H1666" i="3"/>
  <c r="L1665" i="3"/>
  <c r="J1665" i="3"/>
  <c r="I1665" i="3"/>
  <c r="H1665" i="3"/>
  <c r="L1664" i="3"/>
  <c r="J1664" i="3"/>
  <c r="I1664" i="3"/>
  <c r="H1664" i="3"/>
  <c r="L1663" i="3"/>
  <c r="J1663" i="3"/>
  <c r="I1663" i="3"/>
  <c r="H1663" i="3"/>
  <c r="L1662" i="3"/>
  <c r="J1662" i="3"/>
  <c r="I1662" i="3"/>
  <c r="H1662" i="3"/>
  <c r="L1661" i="3"/>
  <c r="J1661" i="3"/>
  <c r="I1661" i="3"/>
  <c r="H1661" i="3"/>
  <c r="L1660" i="3"/>
  <c r="J1660" i="3"/>
  <c r="I1660" i="3"/>
  <c r="H1660" i="3"/>
  <c r="L1659" i="3"/>
  <c r="J1659" i="3"/>
  <c r="I1659" i="3"/>
  <c r="H1659" i="3"/>
  <c r="L1658" i="3"/>
  <c r="J1658" i="3"/>
  <c r="I1658" i="3"/>
  <c r="H1658" i="3"/>
  <c r="L1657" i="3"/>
  <c r="J1657" i="3"/>
  <c r="I1657" i="3"/>
  <c r="H1657" i="3"/>
  <c r="L1656" i="3"/>
  <c r="J1656" i="3"/>
  <c r="I1656" i="3"/>
  <c r="H1656" i="3"/>
  <c r="L1655" i="3"/>
  <c r="J1655" i="3"/>
  <c r="I1655" i="3"/>
  <c r="H1655" i="3"/>
  <c r="L1654" i="3"/>
  <c r="J1654" i="3"/>
  <c r="I1654" i="3"/>
  <c r="H1654" i="3"/>
  <c r="L1653" i="3"/>
  <c r="J1653" i="3"/>
  <c r="I1653" i="3"/>
  <c r="H1653" i="3"/>
  <c r="L1652" i="3"/>
  <c r="J1652" i="3"/>
  <c r="I1652" i="3"/>
  <c r="H1652" i="3"/>
  <c r="L1651" i="3"/>
  <c r="J1651" i="3"/>
  <c r="I1651" i="3"/>
  <c r="H1651" i="3"/>
  <c r="L1650" i="3"/>
  <c r="J1650" i="3"/>
  <c r="I1650" i="3"/>
  <c r="H1650" i="3"/>
  <c r="L1649" i="3"/>
  <c r="J1649" i="3"/>
  <c r="I1649" i="3"/>
  <c r="H1649" i="3"/>
  <c r="L1648" i="3"/>
  <c r="J1648" i="3"/>
  <c r="I1648" i="3"/>
  <c r="H1648" i="3"/>
  <c r="L1647" i="3"/>
  <c r="J1647" i="3"/>
  <c r="I1647" i="3"/>
  <c r="H1647" i="3"/>
  <c r="L1646" i="3"/>
  <c r="J1646" i="3"/>
  <c r="I1646" i="3"/>
  <c r="H1646" i="3"/>
  <c r="L1645" i="3"/>
  <c r="J1645" i="3"/>
  <c r="I1645" i="3"/>
  <c r="H1645" i="3"/>
  <c r="L1644" i="3"/>
  <c r="J1644" i="3"/>
  <c r="I1644" i="3"/>
  <c r="H1644" i="3"/>
  <c r="L1643" i="3"/>
  <c r="J1643" i="3"/>
  <c r="I1643" i="3"/>
  <c r="H1643" i="3"/>
  <c r="L1642" i="3"/>
  <c r="J1642" i="3"/>
  <c r="I1642" i="3"/>
  <c r="H1642" i="3"/>
  <c r="L1641" i="3"/>
  <c r="J1641" i="3"/>
  <c r="I1641" i="3"/>
  <c r="H1641" i="3"/>
  <c r="L1640" i="3"/>
  <c r="J1640" i="3"/>
  <c r="I1640" i="3"/>
  <c r="H1640" i="3"/>
  <c r="L1639" i="3"/>
  <c r="J1639" i="3"/>
  <c r="I1639" i="3"/>
  <c r="H1639" i="3"/>
  <c r="L1638" i="3"/>
  <c r="J1638" i="3"/>
  <c r="I1638" i="3"/>
  <c r="H1638" i="3"/>
  <c r="L1637" i="3"/>
  <c r="J1637" i="3"/>
  <c r="I1637" i="3"/>
  <c r="H1637" i="3"/>
  <c r="L1636" i="3"/>
  <c r="J1636" i="3"/>
  <c r="I1636" i="3"/>
  <c r="H1636" i="3"/>
  <c r="L1635" i="3"/>
  <c r="J1635" i="3"/>
  <c r="I1635" i="3"/>
  <c r="H1635" i="3"/>
  <c r="L1634" i="3"/>
  <c r="J1634" i="3"/>
  <c r="I1634" i="3"/>
  <c r="H1634" i="3"/>
  <c r="L1633" i="3"/>
  <c r="J1633" i="3"/>
  <c r="I1633" i="3"/>
  <c r="H1633" i="3"/>
  <c r="L1632" i="3"/>
  <c r="J1632" i="3"/>
  <c r="I1632" i="3"/>
  <c r="H1632" i="3"/>
  <c r="L1631" i="3"/>
  <c r="J1631" i="3"/>
  <c r="I1631" i="3"/>
  <c r="H1631" i="3"/>
  <c r="L1630" i="3"/>
  <c r="J1630" i="3"/>
  <c r="I1630" i="3"/>
  <c r="H1630" i="3"/>
  <c r="L1629" i="3"/>
  <c r="J1629" i="3"/>
  <c r="I1629" i="3"/>
  <c r="H1629" i="3"/>
  <c r="L1628" i="3"/>
  <c r="J1628" i="3"/>
  <c r="I1628" i="3"/>
  <c r="H1628" i="3"/>
  <c r="L1627" i="3"/>
  <c r="J1627" i="3"/>
  <c r="I1627" i="3"/>
  <c r="H1627" i="3"/>
  <c r="L1626" i="3"/>
  <c r="J1626" i="3"/>
  <c r="I1626" i="3"/>
  <c r="H1626" i="3"/>
  <c r="L1625" i="3"/>
  <c r="J1625" i="3"/>
  <c r="I1625" i="3"/>
  <c r="H1625" i="3"/>
  <c r="L1624" i="3"/>
  <c r="J1624" i="3"/>
  <c r="I1624" i="3"/>
  <c r="H1624" i="3"/>
  <c r="L1623" i="3"/>
  <c r="J1623" i="3"/>
  <c r="I1623" i="3"/>
  <c r="H1623" i="3"/>
  <c r="L1622" i="3"/>
  <c r="J1622" i="3"/>
  <c r="I1622" i="3"/>
  <c r="H1622" i="3"/>
  <c r="L1621" i="3"/>
  <c r="J1621" i="3"/>
  <c r="I1621" i="3"/>
  <c r="H1621" i="3"/>
  <c r="L1620" i="3"/>
  <c r="J1620" i="3"/>
  <c r="I1620" i="3"/>
  <c r="H1620" i="3"/>
  <c r="L1619" i="3"/>
  <c r="J1619" i="3"/>
  <c r="I1619" i="3"/>
  <c r="H1619" i="3"/>
  <c r="L1618" i="3"/>
  <c r="J1618" i="3"/>
  <c r="I1618" i="3"/>
  <c r="H1618" i="3"/>
  <c r="L1617" i="3"/>
  <c r="J1617" i="3"/>
  <c r="I1617" i="3"/>
  <c r="H1617" i="3"/>
  <c r="L1616" i="3"/>
  <c r="J1616" i="3"/>
  <c r="I1616" i="3"/>
  <c r="H1616" i="3"/>
  <c r="L1615" i="3"/>
  <c r="J1615" i="3"/>
  <c r="I1615" i="3"/>
  <c r="H1615" i="3"/>
  <c r="L1614" i="3"/>
  <c r="J1614" i="3"/>
  <c r="I1614" i="3"/>
  <c r="H1614" i="3"/>
  <c r="L1613" i="3"/>
  <c r="J1613" i="3"/>
  <c r="I1613" i="3"/>
  <c r="H1613" i="3"/>
  <c r="L1612" i="3"/>
  <c r="J1612" i="3"/>
  <c r="I1612" i="3"/>
  <c r="H1612" i="3"/>
  <c r="L1611" i="3"/>
  <c r="J1611" i="3"/>
  <c r="I1611" i="3"/>
  <c r="H1611" i="3"/>
  <c r="L1610" i="3"/>
  <c r="J1610" i="3"/>
  <c r="I1610" i="3"/>
  <c r="H1610" i="3"/>
  <c r="L1609" i="3"/>
  <c r="J1609" i="3"/>
  <c r="I1609" i="3"/>
  <c r="H1609" i="3"/>
  <c r="L1608" i="3"/>
  <c r="J1608" i="3"/>
  <c r="I1608" i="3"/>
  <c r="H1608" i="3"/>
  <c r="L1607" i="3"/>
  <c r="J1607" i="3"/>
  <c r="I1607" i="3"/>
  <c r="H1607" i="3"/>
  <c r="L1606" i="3"/>
  <c r="J1606" i="3"/>
  <c r="I1606" i="3"/>
  <c r="H1606" i="3"/>
  <c r="L1605" i="3"/>
  <c r="J1605" i="3"/>
  <c r="I1605" i="3"/>
  <c r="H1605" i="3"/>
  <c r="L1604" i="3"/>
  <c r="J1604" i="3"/>
  <c r="I1604" i="3"/>
  <c r="H1604" i="3"/>
  <c r="L1603" i="3"/>
  <c r="J1603" i="3"/>
  <c r="I1603" i="3"/>
  <c r="H1603" i="3"/>
  <c r="L1602" i="3"/>
  <c r="J1602" i="3"/>
  <c r="I1602" i="3"/>
  <c r="H1602" i="3"/>
  <c r="L1601" i="3"/>
  <c r="J1601" i="3"/>
  <c r="I1601" i="3"/>
  <c r="H1601" i="3"/>
  <c r="L1600" i="3"/>
  <c r="J1600" i="3"/>
  <c r="I1600" i="3"/>
  <c r="H1600" i="3"/>
  <c r="L1599" i="3"/>
  <c r="J1599" i="3"/>
  <c r="I1599" i="3"/>
  <c r="H1599" i="3"/>
  <c r="L1598" i="3"/>
  <c r="J1598" i="3"/>
  <c r="I1598" i="3"/>
  <c r="H1598" i="3"/>
  <c r="L1597" i="3"/>
  <c r="J1597" i="3"/>
  <c r="I1597" i="3"/>
  <c r="H1597" i="3"/>
  <c r="L1596" i="3"/>
  <c r="J1596" i="3"/>
  <c r="I1596" i="3"/>
  <c r="H1596" i="3"/>
  <c r="L1595" i="3"/>
  <c r="J1595" i="3"/>
  <c r="I1595" i="3"/>
  <c r="H1595" i="3"/>
  <c r="L1594" i="3"/>
  <c r="J1594" i="3"/>
  <c r="I1594" i="3"/>
  <c r="H1594" i="3"/>
  <c r="L1593" i="3"/>
  <c r="J1593" i="3"/>
  <c r="I1593" i="3"/>
  <c r="H1593" i="3"/>
  <c r="L1592" i="3"/>
  <c r="J1592" i="3"/>
  <c r="I1592" i="3"/>
  <c r="H1592" i="3"/>
  <c r="L1591" i="3"/>
  <c r="J1591" i="3"/>
  <c r="I1591" i="3"/>
  <c r="H1591" i="3"/>
  <c r="L1590" i="3"/>
  <c r="J1590" i="3"/>
  <c r="I1590" i="3"/>
  <c r="H1590" i="3"/>
  <c r="L1589" i="3"/>
  <c r="J1589" i="3"/>
  <c r="I1589" i="3"/>
  <c r="H1589" i="3"/>
  <c r="L1588" i="3"/>
  <c r="J1588" i="3"/>
  <c r="I1588" i="3"/>
  <c r="H1588" i="3"/>
  <c r="L1587" i="3"/>
  <c r="J1587" i="3"/>
  <c r="I1587" i="3"/>
  <c r="H1587" i="3"/>
  <c r="L1586" i="3"/>
  <c r="J1586" i="3"/>
  <c r="I1586" i="3"/>
  <c r="H1586" i="3"/>
  <c r="L1585" i="3"/>
  <c r="J1585" i="3"/>
  <c r="I1585" i="3"/>
  <c r="H1585" i="3"/>
  <c r="L1584" i="3"/>
  <c r="J1584" i="3"/>
  <c r="I1584" i="3"/>
  <c r="H1584" i="3"/>
  <c r="L1583" i="3"/>
  <c r="J1583" i="3"/>
  <c r="I1583" i="3"/>
  <c r="H1583" i="3"/>
  <c r="L1582" i="3"/>
  <c r="J1582" i="3"/>
  <c r="I1582" i="3"/>
  <c r="H1582" i="3"/>
  <c r="L1581" i="3"/>
  <c r="J1581" i="3"/>
  <c r="I1581" i="3"/>
  <c r="H1581" i="3"/>
  <c r="L1580" i="3"/>
  <c r="J1580" i="3"/>
  <c r="I1580" i="3"/>
  <c r="H1580" i="3"/>
  <c r="L1579" i="3"/>
  <c r="J1579" i="3"/>
  <c r="I1579" i="3"/>
  <c r="H1579" i="3"/>
  <c r="L1578" i="3"/>
  <c r="J1578" i="3"/>
  <c r="I1578" i="3"/>
  <c r="H1578" i="3"/>
  <c r="L1577" i="3"/>
  <c r="J1577" i="3"/>
  <c r="I1577" i="3"/>
  <c r="H1577" i="3"/>
  <c r="L1576" i="3"/>
  <c r="J1576" i="3"/>
  <c r="I1576" i="3"/>
  <c r="H1576" i="3"/>
  <c r="L1575" i="3"/>
  <c r="J1575" i="3"/>
  <c r="I1575" i="3"/>
  <c r="H1575" i="3"/>
  <c r="L1574" i="3"/>
  <c r="J1574" i="3"/>
  <c r="I1574" i="3"/>
  <c r="H1574" i="3"/>
  <c r="L1573" i="3"/>
  <c r="J1573" i="3"/>
  <c r="I1573" i="3"/>
  <c r="H1573" i="3"/>
  <c r="L1572" i="3"/>
  <c r="J1572" i="3"/>
  <c r="I1572" i="3"/>
  <c r="H1572" i="3"/>
  <c r="L1571" i="3"/>
  <c r="J1571" i="3"/>
  <c r="I1571" i="3"/>
  <c r="H1571" i="3"/>
  <c r="L1570" i="3"/>
  <c r="J1570" i="3"/>
  <c r="I1570" i="3"/>
  <c r="H1570" i="3"/>
  <c r="L1569" i="3"/>
  <c r="J1569" i="3"/>
  <c r="I1569" i="3"/>
  <c r="H1569" i="3"/>
  <c r="L1568" i="3"/>
  <c r="J1568" i="3"/>
  <c r="I1568" i="3"/>
  <c r="H1568" i="3"/>
  <c r="L1567" i="3"/>
  <c r="J1567" i="3"/>
  <c r="I1567" i="3"/>
  <c r="H1567" i="3"/>
  <c r="L1566" i="3"/>
  <c r="J1566" i="3"/>
  <c r="I1566" i="3"/>
  <c r="H1566" i="3"/>
  <c r="L1565" i="3"/>
  <c r="J1565" i="3"/>
  <c r="I1565" i="3"/>
  <c r="H1565" i="3"/>
  <c r="L1564" i="3"/>
  <c r="J1564" i="3"/>
  <c r="I1564" i="3"/>
  <c r="H1564" i="3"/>
  <c r="L1563" i="3"/>
  <c r="J1563" i="3"/>
  <c r="I1563" i="3"/>
  <c r="H1563" i="3"/>
  <c r="L1562" i="3"/>
  <c r="J1562" i="3"/>
  <c r="I1562" i="3"/>
  <c r="H1562" i="3"/>
  <c r="L1561" i="3"/>
  <c r="J1561" i="3"/>
  <c r="I1561" i="3"/>
  <c r="H1561" i="3"/>
  <c r="L1560" i="3"/>
  <c r="J1560" i="3"/>
  <c r="I1560" i="3"/>
  <c r="H1560" i="3"/>
  <c r="L1559" i="3"/>
  <c r="J1559" i="3"/>
  <c r="I1559" i="3"/>
  <c r="H1559" i="3"/>
  <c r="L1558" i="3"/>
  <c r="J1558" i="3"/>
  <c r="I1558" i="3"/>
  <c r="H1558" i="3"/>
  <c r="L1557" i="3"/>
  <c r="J1557" i="3"/>
  <c r="I1557" i="3"/>
  <c r="H1557" i="3"/>
  <c r="L1556" i="3"/>
  <c r="J1556" i="3"/>
  <c r="I1556" i="3"/>
  <c r="H1556" i="3"/>
  <c r="L1555" i="3"/>
  <c r="J1555" i="3"/>
  <c r="I1555" i="3"/>
  <c r="H1555" i="3"/>
  <c r="L1554" i="3"/>
  <c r="J1554" i="3"/>
  <c r="I1554" i="3"/>
  <c r="H1554" i="3"/>
  <c r="L1553" i="3"/>
  <c r="J1553" i="3"/>
  <c r="I1553" i="3"/>
  <c r="H1553" i="3"/>
  <c r="L1552" i="3"/>
  <c r="J1552" i="3"/>
  <c r="I1552" i="3"/>
  <c r="H1552" i="3"/>
  <c r="L1551" i="3"/>
  <c r="J1551" i="3"/>
  <c r="I1551" i="3"/>
  <c r="H1551" i="3"/>
  <c r="L1550" i="3"/>
  <c r="J1550" i="3"/>
  <c r="I1550" i="3"/>
  <c r="H1550" i="3"/>
  <c r="L1549" i="3"/>
  <c r="J1549" i="3"/>
  <c r="I1549" i="3"/>
  <c r="H1549" i="3"/>
  <c r="L1548" i="3"/>
  <c r="J1548" i="3"/>
  <c r="I1548" i="3"/>
  <c r="H1548" i="3"/>
  <c r="L1547" i="3"/>
  <c r="J1547" i="3"/>
  <c r="I1547" i="3"/>
  <c r="H1547" i="3"/>
  <c r="L1546" i="3"/>
  <c r="J1546" i="3"/>
  <c r="I1546" i="3"/>
  <c r="H1546" i="3"/>
  <c r="L1545" i="3"/>
  <c r="J1545" i="3"/>
  <c r="I1545" i="3"/>
  <c r="H1545" i="3"/>
  <c r="L1544" i="3"/>
  <c r="J1544" i="3"/>
  <c r="I1544" i="3"/>
  <c r="H1544" i="3"/>
  <c r="L1543" i="3"/>
  <c r="J1543" i="3"/>
  <c r="I1543" i="3"/>
  <c r="H1543" i="3"/>
  <c r="L1542" i="3"/>
  <c r="J1542" i="3"/>
  <c r="I1542" i="3"/>
  <c r="H1542" i="3"/>
  <c r="L1541" i="3"/>
  <c r="J1541" i="3"/>
  <c r="I1541" i="3"/>
  <c r="H1541" i="3"/>
  <c r="L1540" i="3"/>
  <c r="J1540" i="3"/>
  <c r="I1540" i="3"/>
  <c r="H1540" i="3"/>
  <c r="L1539" i="3"/>
  <c r="J1539" i="3"/>
  <c r="I1539" i="3"/>
  <c r="H1539" i="3"/>
  <c r="L1538" i="3"/>
  <c r="J1538" i="3"/>
  <c r="I1538" i="3"/>
  <c r="H1538" i="3"/>
  <c r="L1537" i="3"/>
  <c r="J1537" i="3"/>
  <c r="I1537" i="3"/>
  <c r="H1537" i="3"/>
  <c r="L1536" i="3"/>
  <c r="J1536" i="3"/>
  <c r="I1536" i="3"/>
  <c r="H1536" i="3"/>
  <c r="L1535" i="3"/>
  <c r="J1535" i="3"/>
  <c r="I1535" i="3"/>
  <c r="H1535" i="3"/>
  <c r="L1534" i="3"/>
  <c r="J1534" i="3"/>
  <c r="I1534" i="3"/>
  <c r="H1534" i="3"/>
  <c r="L1533" i="3"/>
  <c r="J1533" i="3"/>
  <c r="I1533" i="3"/>
  <c r="H1533" i="3"/>
  <c r="L1532" i="3"/>
  <c r="J1532" i="3"/>
  <c r="I1532" i="3"/>
  <c r="H1532" i="3"/>
  <c r="L1531" i="3"/>
  <c r="J1531" i="3"/>
  <c r="I1531" i="3"/>
  <c r="H1531" i="3"/>
  <c r="L1530" i="3"/>
  <c r="J1530" i="3"/>
  <c r="I1530" i="3"/>
  <c r="H1530" i="3"/>
  <c r="L1529" i="3"/>
  <c r="J1529" i="3"/>
  <c r="I1529" i="3"/>
  <c r="H1529" i="3"/>
  <c r="L1528" i="3"/>
  <c r="J1528" i="3"/>
  <c r="I1528" i="3"/>
  <c r="H1528" i="3"/>
  <c r="L1527" i="3"/>
  <c r="J1527" i="3"/>
  <c r="I1527" i="3"/>
  <c r="H1527" i="3"/>
  <c r="L1526" i="3"/>
  <c r="J1526" i="3"/>
  <c r="I1526" i="3"/>
  <c r="H1526" i="3"/>
  <c r="L1525" i="3"/>
  <c r="J1525" i="3"/>
  <c r="I1525" i="3"/>
  <c r="H1525" i="3"/>
  <c r="L1524" i="3"/>
  <c r="J1524" i="3"/>
  <c r="I1524" i="3"/>
  <c r="H1524" i="3"/>
  <c r="L1523" i="3"/>
  <c r="J1523" i="3"/>
  <c r="I1523" i="3"/>
  <c r="H1523" i="3"/>
  <c r="L1522" i="3"/>
  <c r="J1522" i="3"/>
  <c r="I1522" i="3"/>
  <c r="H1522" i="3"/>
  <c r="L1521" i="3"/>
  <c r="J1521" i="3"/>
  <c r="I1521" i="3"/>
  <c r="H1521" i="3"/>
  <c r="L1520" i="3"/>
  <c r="J1520" i="3"/>
  <c r="I1520" i="3"/>
  <c r="H1520" i="3"/>
  <c r="L1519" i="3"/>
  <c r="J1519" i="3"/>
  <c r="I1519" i="3"/>
  <c r="H1519" i="3"/>
  <c r="L1518" i="3"/>
  <c r="J1518" i="3"/>
  <c r="I1518" i="3"/>
  <c r="H1518" i="3"/>
  <c r="L1517" i="3"/>
  <c r="J1517" i="3"/>
  <c r="I1517" i="3"/>
  <c r="H1517" i="3"/>
  <c r="L1516" i="3"/>
  <c r="J1516" i="3"/>
  <c r="I1516" i="3"/>
  <c r="H1516" i="3"/>
  <c r="L1515" i="3"/>
  <c r="J1515" i="3"/>
  <c r="I1515" i="3"/>
  <c r="H1515" i="3"/>
  <c r="L1514" i="3"/>
  <c r="J1514" i="3"/>
  <c r="I1514" i="3"/>
  <c r="H1514" i="3"/>
  <c r="L1513" i="3"/>
  <c r="J1513" i="3"/>
  <c r="I1513" i="3"/>
  <c r="H1513" i="3"/>
  <c r="L1512" i="3"/>
  <c r="J1512" i="3"/>
  <c r="I1512" i="3"/>
  <c r="H1512" i="3"/>
  <c r="L1511" i="3"/>
  <c r="J1511" i="3"/>
  <c r="I1511" i="3"/>
  <c r="H1511" i="3"/>
  <c r="L1510" i="3"/>
  <c r="J1510" i="3"/>
  <c r="I1510" i="3"/>
  <c r="H1510" i="3"/>
  <c r="L1509" i="3"/>
  <c r="J1509" i="3"/>
  <c r="I1509" i="3"/>
  <c r="H1509" i="3"/>
  <c r="L1508" i="3"/>
  <c r="J1508" i="3"/>
  <c r="I1508" i="3"/>
  <c r="H1508" i="3"/>
  <c r="L1507" i="3"/>
  <c r="J1507" i="3"/>
  <c r="I1507" i="3"/>
  <c r="H1507" i="3"/>
  <c r="L1506" i="3"/>
  <c r="J1506" i="3"/>
  <c r="I1506" i="3"/>
  <c r="H1506" i="3"/>
  <c r="L1505" i="3"/>
  <c r="J1505" i="3"/>
  <c r="I1505" i="3"/>
  <c r="H1505" i="3"/>
  <c r="L1504" i="3"/>
  <c r="J1504" i="3"/>
  <c r="I1504" i="3"/>
  <c r="H1504" i="3"/>
  <c r="L1503" i="3"/>
  <c r="J1503" i="3"/>
  <c r="I1503" i="3"/>
  <c r="H1503" i="3"/>
  <c r="L1502" i="3"/>
  <c r="J1502" i="3"/>
  <c r="I1502" i="3"/>
  <c r="H1502" i="3"/>
  <c r="L1501" i="3"/>
  <c r="J1501" i="3"/>
  <c r="I1501" i="3"/>
  <c r="H1501" i="3"/>
  <c r="L1500" i="3"/>
  <c r="J1500" i="3"/>
  <c r="I1500" i="3"/>
  <c r="H1500" i="3"/>
  <c r="L1499" i="3"/>
  <c r="J1499" i="3"/>
  <c r="I1499" i="3"/>
  <c r="H1499" i="3"/>
  <c r="L1498" i="3"/>
  <c r="J1498" i="3"/>
  <c r="I1498" i="3"/>
  <c r="H1498" i="3"/>
  <c r="L1497" i="3"/>
  <c r="J1497" i="3"/>
  <c r="I1497" i="3"/>
  <c r="H1497" i="3"/>
  <c r="L1496" i="3"/>
  <c r="J1496" i="3"/>
  <c r="I1496" i="3"/>
  <c r="H1496" i="3"/>
  <c r="L1495" i="3"/>
  <c r="J1495" i="3"/>
  <c r="I1495" i="3"/>
  <c r="H1495" i="3"/>
  <c r="L1494" i="3"/>
  <c r="J1494" i="3"/>
  <c r="I1494" i="3"/>
  <c r="H1494" i="3"/>
  <c r="L1493" i="3"/>
  <c r="J1493" i="3"/>
  <c r="I1493" i="3"/>
  <c r="H1493" i="3"/>
  <c r="L1492" i="3"/>
  <c r="J1492" i="3"/>
  <c r="I1492" i="3"/>
  <c r="H1492" i="3"/>
  <c r="L1491" i="3"/>
  <c r="J1491" i="3"/>
  <c r="I1491" i="3"/>
  <c r="H1491" i="3"/>
  <c r="L1490" i="3"/>
  <c r="J1490" i="3"/>
  <c r="I1490" i="3"/>
  <c r="H1490" i="3"/>
  <c r="L1489" i="3"/>
  <c r="J1489" i="3"/>
  <c r="I1489" i="3"/>
  <c r="H1489" i="3"/>
  <c r="L1488" i="3"/>
  <c r="J1488" i="3"/>
  <c r="I1488" i="3"/>
  <c r="H1488" i="3"/>
  <c r="L1487" i="3"/>
  <c r="J1487" i="3"/>
  <c r="I1487" i="3"/>
  <c r="H1487" i="3"/>
  <c r="L1486" i="3"/>
  <c r="J1486" i="3"/>
  <c r="I1486" i="3"/>
  <c r="H1486" i="3"/>
  <c r="L1485" i="3"/>
  <c r="J1485" i="3"/>
  <c r="I1485" i="3"/>
  <c r="H1485" i="3"/>
  <c r="L1484" i="3"/>
  <c r="J1484" i="3"/>
  <c r="I1484" i="3"/>
  <c r="H1484" i="3"/>
  <c r="L1483" i="3"/>
  <c r="J1483" i="3"/>
  <c r="I1483" i="3"/>
  <c r="H1483" i="3"/>
  <c r="L1482" i="3"/>
  <c r="J1482" i="3"/>
  <c r="I1482" i="3"/>
  <c r="H1482" i="3"/>
  <c r="L1481" i="3"/>
  <c r="J1481" i="3"/>
  <c r="I1481" i="3"/>
  <c r="H1481" i="3"/>
  <c r="L1480" i="3"/>
  <c r="J1480" i="3"/>
  <c r="I1480" i="3"/>
  <c r="H1480" i="3"/>
  <c r="L1479" i="3"/>
  <c r="J1479" i="3"/>
  <c r="I1479" i="3"/>
  <c r="H1479" i="3"/>
  <c r="L1478" i="3"/>
  <c r="J1478" i="3"/>
  <c r="I1478" i="3"/>
  <c r="H1478" i="3"/>
  <c r="L1477" i="3"/>
  <c r="J1477" i="3"/>
  <c r="I1477" i="3"/>
  <c r="H1477" i="3"/>
  <c r="L1476" i="3"/>
  <c r="J1476" i="3"/>
  <c r="I1476" i="3"/>
  <c r="H1476" i="3"/>
  <c r="L1475" i="3"/>
  <c r="J1475" i="3"/>
  <c r="I1475" i="3"/>
  <c r="H1475" i="3"/>
  <c r="L1474" i="3"/>
  <c r="J1474" i="3"/>
  <c r="I1474" i="3"/>
  <c r="H1474" i="3"/>
  <c r="L1473" i="3"/>
  <c r="J1473" i="3"/>
  <c r="I1473" i="3"/>
  <c r="H1473" i="3"/>
  <c r="L1472" i="3"/>
  <c r="J1472" i="3"/>
  <c r="I1472" i="3"/>
  <c r="H1472" i="3"/>
  <c r="L1471" i="3"/>
  <c r="J1471" i="3"/>
  <c r="I1471" i="3"/>
  <c r="H1471" i="3"/>
  <c r="L1470" i="3"/>
  <c r="J1470" i="3"/>
  <c r="I1470" i="3"/>
  <c r="H1470" i="3"/>
  <c r="L1469" i="3"/>
  <c r="J1469" i="3"/>
  <c r="I1469" i="3"/>
  <c r="H1469" i="3"/>
  <c r="L1468" i="3"/>
  <c r="J1468" i="3"/>
  <c r="I1468" i="3"/>
  <c r="H1468" i="3"/>
  <c r="L1467" i="3"/>
  <c r="J1467" i="3"/>
  <c r="I1467" i="3"/>
  <c r="H1467" i="3"/>
  <c r="L1466" i="3"/>
  <c r="J1466" i="3"/>
  <c r="I1466" i="3"/>
  <c r="H1466" i="3"/>
  <c r="L1465" i="3"/>
  <c r="J1465" i="3"/>
  <c r="I1465" i="3"/>
  <c r="H1465" i="3"/>
  <c r="L1464" i="3"/>
  <c r="J1464" i="3"/>
  <c r="I1464" i="3"/>
  <c r="H1464" i="3"/>
  <c r="L1463" i="3"/>
  <c r="J1463" i="3"/>
  <c r="I1463" i="3"/>
  <c r="H1463" i="3"/>
  <c r="L1462" i="3"/>
  <c r="J1462" i="3"/>
  <c r="I1462" i="3"/>
  <c r="H1462" i="3"/>
  <c r="L1461" i="3"/>
  <c r="J1461" i="3"/>
  <c r="I1461" i="3"/>
  <c r="H1461" i="3"/>
  <c r="L1460" i="3"/>
  <c r="J1460" i="3"/>
  <c r="I1460" i="3"/>
  <c r="H1460" i="3"/>
  <c r="L1459" i="3"/>
  <c r="J1459" i="3"/>
  <c r="I1459" i="3"/>
  <c r="H1459" i="3"/>
  <c r="L1458" i="3"/>
  <c r="J1458" i="3"/>
  <c r="I1458" i="3"/>
  <c r="H1458" i="3"/>
  <c r="L1457" i="3"/>
  <c r="J1457" i="3"/>
  <c r="I1457" i="3"/>
  <c r="H1457" i="3"/>
  <c r="L1456" i="3"/>
  <c r="J1456" i="3"/>
  <c r="I1456" i="3"/>
  <c r="H1456" i="3"/>
  <c r="L1455" i="3"/>
  <c r="J1455" i="3"/>
  <c r="I1455" i="3"/>
  <c r="H1455" i="3"/>
  <c r="L1454" i="3"/>
  <c r="J1454" i="3"/>
  <c r="I1454" i="3"/>
  <c r="H1454" i="3"/>
  <c r="L1453" i="3"/>
  <c r="J1453" i="3"/>
  <c r="I1453" i="3"/>
  <c r="H1453" i="3"/>
  <c r="L1452" i="3"/>
  <c r="J1452" i="3"/>
  <c r="I1452" i="3"/>
  <c r="H1452" i="3"/>
  <c r="L1451" i="3"/>
  <c r="J1451" i="3"/>
  <c r="I1451" i="3"/>
  <c r="H1451" i="3"/>
  <c r="L1450" i="3"/>
  <c r="J1450" i="3"/>
  <c r="I1450" i="3"/>
  <c r="H1450" i="3"/>
  <c r="L1449" i="3"/>
  <c r="J1449" i="3"/>
  <c r="I1449" i="3"/>
  <c r="H1449" i="3"/>
  <c r="L1448" i="3"/>
  <c r="J1448" i="3"/>
  <c r="I1448" i="3"/>
  <c r="H1448" i="3"/>
  <c r="L1447" i="3"/>
  <c r="J1447" i="3"/>
  <c r="I1447" i="3"/>
  <c r="H1447" i="3"/>
  <c r="L1446" i="3"/>
  <c r="J1446" i="3"/>
  <c r="I1446" i="3"/>
  <c r="H1446" i="3"/>
  <c r="L1445" i="3"/>
  <c r="J1445" i="3"/>
  <c r="I1445" i="3"/>
  <c r="H1445" i="3"/>
  <c r="L1444" i="3"/>
  <c r="J1444" i="3"/>
  <c r="I1444" i="3"/>
  <c r="H1444" i="3"/>
  <c r="L1443" i="3"/>
  <c r="J1443" i="3"/>
  <c r="I1443" i="3"/>
  <c r="H1443" i="3"/>
  <c r="L1442" i="3"/>
  <c r="J1442" i="3"/>
  <c r="I1442" i="3"/>
  <c r="H1442" i="3"/>
  <c r="L1441" i="3"/>
  <c r="J1441" i="3"/>
  <c r="I1441" i="3"/>
  <c r="H1441" i="3"/>
  <c r="L1440" i="3"/>
  <c r="J1440" i="3"/>
  <c r="I1440" i="3"/>
  <c r="H1440" i="3"/>
  <c r="L1439" i="3"/>
  <c r="J1439" i="3"/>
  <c r="I1439" i="3"/>
  <c r="H1439" i="3"/>
  <c r="L1438" i="3"/>
  <c r="J1438" i="3"/>
  <c r="I1438" i="3"/>
  <c r="H1438" i="3"/>
  <c r="L1437" i="3"/>
  <c r="J1437" i="3"/>
  <c r="I1437" i="3"/>
  <c r="H1437" i="3"/>
  <c r="L1436" i="3"/>
  <c r="J1436" i="3"/>
  <c r="I1436" i="3"/>
  <c r="H1436" i="3"/>
  <c r="L1435" i="3"/>
  <c r="J1435" i="3"/>
  <c r="I1435" i="3"/>
  <c r="H1435" i="3"/>
  <c r="L1434" i="3"/>
  <c r="J1434" i="3"/>
  <c r="I1434" i="3"/>
  <c r="H1434" i="3"/>
  <c r="L1433" i="3"/>
  <c r="J1433" i="3"/>
  <c r="I1433" i="3"/>
  <c r="H1433" i="3"/>
  <c r="L1432" i="3"/>
  <c r="J1432" i="3"/>
  <c r="I1432" i="3"/>
  <c r="H1432" i="3"/>
  <c r="L1431" i="3"/>
  <c r="J1431" i="3"/>
  <c r="I1431" i="3"/>
  <c r="H1431" i="3"/>
  <c r="L1430" i="3"/>
  <c r="J1430" i="3"/>
  <c r="I1430" i="3"/>
  <c r="H1430" i="3"/>
  <c r="L1429" i="3"/>
  <c r="J1429" i="3"/>
  <c r="I1429" i="3"/>
  <c r="H1429" i="3"/>
  <c r="L1428" i="3"/>
  <c r="J1428" i="3"/>
  <c r="I1428" i="3"/>
  <c r="H1428" i="3"/>
  <c r="L1427" i="3"/>
  <c r="J1427" i="3"/>
  <c r="I1427" i="3"/>
  <c r="H1427" i="3"/>
  <c r="L1426" i="3"/>
  <c r="J1426" i="3"/>
  <c r="I1426" i="3"/>
  <c r="H1426" i="3"/>
  <c r="L1425" i="3"/>
  <c r="J1425" i="3"/>
  <c r="I1425" i="3"/>
  <c r="H1425" i="3"/>
  <c r="L1424" i="3"/>
  <c r="J1424" i="3"/>
  <c r="I1424" i="3"/>
  <c r="H1424" i="3"/>
  <c r="L1423" i="3"/>
  <c r="J1423" i="3"/>
  <c r="I1423" i="3"/>
  <c r="H1423" i="3"/>
  <c r="L1422" i="3"/>
  <c r="J1422" i="3"/>
  <c r="I1422" i="3"/>
  <c r="H1422" i="3"/>
  <c r="L1421" i="3"/>
  <c r="J1421" i="3"/>
  <c r="I1421" i="3"/>
  <c r="H1421" i="3"/>
  <c r="L1420" i="3"/>
  <c r="J1420" i="3"/>
  <c r="I1420" i="3"/>
  <c r="H1420" i="3"/>
  <c r="L1419" i="3"/>
  <c r="J1419" i="3"/>
  <c r="I1419" i="3"/>
  <c r="H1419" i="3"/>
  <c r="L1418" i="3"/>
  <c r="J1418" i="3"/>
  <c r="I1418" i="3"/>
  <c r="H1418" i="3"/>
  <c r="L1417" i="3"/>
  <c r="J1417" i="3"/>
  <c r="I1417" i="3"/>
  <c r="H1417" i="3"/>
  <c r="L1416" i="3"/>
  <c r="J1416" i="3"/>
  <c r="I1416" i="3"/>
  <c r="H1416" i="3"/>
  <c r="L1415" i="3"/>
  <c r="J1415" i="3"/>
  <c r="I1415" i="3"/>
  <c r="H1415" i="3"/>
  <c r="L1414" i="3"/>
  <c r="J1414" i="3"/>
  <c r="I1414" i="3"/>
  <c r="H1414" i="3"/>
  <c r="L1413" i="3"/>
  <c r="J1413" i="3"/>
  <c r="I1413" i="3"/>
  <c r="H1413" i="3"/>
  <c r="L1412" i="3"/>
  <c r="J1412" i="3"/>
  <c r="I1412" i="3"/>
  <c r="H1412" i="3"/>
  <c r="L1411" i="3"/>
  <c r="J1411" i="3"/>
  <c r="I1411" i="3"/>
  <c r="H1411" i="3"/>
  <c r="L1410" i="3"/>
  <c r="J1410" i="3"/>
  <c r="I1410" i="3"/>
  <c r="H1410" i="3"/>
  <c r="L1409" i="3"/>
  <c r="J1409" i="3"/>
  <c r="I1409" i="3"/>
  <c r="H1409" i="3"/>
  <c r="L1408" i="3"/>
  <c r="J1408" i="3"/>
  <c r="I1408" i="3"/>
  <c r="H1408" i="3"/>
  <c r="L1407" i="3"/>
  <c r="J1407" i="3"/>
  <c r="I1407" i="3"/>
  <c r="H1407" i="3"/>
  <c r="L1406" i="3"/>
  <c r="J1406" i="3"/>
  <c r="I1406" i="3"/>
  <c r="H1406" i="3"/>
  <c r="L1405" i="3"/>
  <c r="J1405" i="3"/>
  <c r="I1405" i="3"/>
  <c r="H1405" i="3"/>
  <c r="L1404" i="3"/>
  <c r="J1404" i="3"/>
  <c r="I1404" i="3"/>
  <c r="H1404" i="3"/>
  <c r="L1403" i="3"/>
  <c r="J1403" i="3"/>
  <c r="I1403" i="3"/>
  <c r="H1403" i="3"/>
  <c r="L1402" i="3"/>
  <c r="J1402" i="3"/>
  <c r="I1402" i="3"/>
  <c r="H1402" i="3"/>
  <c r="L1401" i="3"/>
  <c r="J1401" i="3"/>
  <c r="I1401" i="3"/>
  <c r="H1401" i="3"/>
  <c r="L1400" i="3"/>
  <c r="J1400" i="3"/>
  <c r="I1400" i="3"/>
  <c r="H1400" i="3"/>
  <c r="L1399" i="3"/>
  <c r="J1399" i="3"/>
  <c r="I1399" i="3"/>
  <c r="H1399" i="3"/>
  <c r="L1398" i="3"/>
  <c r="J1398" i="3"/>
  <c r="I1398" i="3"/>
  <c r="H1398" i="3"/>
  <c r="L1397" i="3"/>
  <c r="J1397" i="3"/>
  <c r="I1397" i="3"/>
  <c r="H1397" i="3"/>
  <c r="L1396" i="3"/>
  <c r="J1396" i="3"/>
  <c r="I1396" i="3"/>
  <c r="H1396" i="3"/>
  <c r="L1395" i="3"/>
  <c r="J1395" i="3"/>
  <c r="I1395" i="3"/>
  <c r="H1395" i="3"/>
  <c r="L1394" i="3"/>
  <c r="J1394" i="3"/>
  <c r="I1394" i="3"/>
  <c r="H1394" i="3"/>
  <c r="L1393" i="3"/>
  <c r="J1393" i="3"/>
  <c r="I1393" i="3"/>
  <c r="H1393" i="3"/>
  <c r="L1392" i="3"/>
  <c r="J1392" i="3"/>
  <c r="I1392" i="3"/>
  <c r="H1392" i="3"/>
  <c r="L1391" i="3"/>
  <c r="J1391" i="3"/>
  <c r="I1391" i="3"/>
  <c r="H1391" i="3"/>
  <c r="L1390" i="3"/>
  <c r="J1390" i="3"/>
  <c r="I1390" i="3"/>
  <c r="H1390" i="3"/>
  <c r="L1389" i="3"/>
  <c r="J1389" i="3"/>
  <c r="I1389" i="3"/>
  <c r="H1389" i="3"/>
  <c r="L1388" i="3"/>
  <c r="J1388" i="3"/>
  <c r="I1388" i="3"/>
  <c r="H1388" i="3"/>
  <c r="L1387" i="3"/>
  <c r="J1387" i="3"/>
  <c r="I1387" i="3"/>
  <c r="H1387" i="3"/>
  <c r="L1386" i="3"/>
  <c r="J1386" i="3"/>
  <c r="I1386" i="3"/>
  <c r="H1386" i="3"/>
  <c r="L1385" i="3"/>
  <c r="J1385" i="3"/>
  <c r="I1385" i="3"/>
  <c r="H1385" i="3"/>
  <c r="L1384" i="3"/>
  <c r="J1384" i="3"/>
  <c r="I1384" i="3"/>
  <c r="H1384" i="3"/>
  <c r="L1383" i="3"/>
  <c r="J1383" i="3"/>
  <c r="I1383" i="3"/>
  <c r="H1383" i="3"/>
  <c r="L1382" i="3"/>
  <c r="J1382" i="3"/>
  <c r="I1382" i="3"/>
  <c r="H1382" i="3"/>
  <c r="L1381" i="3"/>
  <c r="J1381" i="3"/>
  <c r="I1381" i="3"/>
  <c r="H1381" i="3"/>
  <c r="L1380" i="3"/>
  <c r="J1380" i="3"/>
  <c r="I1380" i="3"/>
  <c r="H1380" i="3"/>
  <c r="L1379" i="3"/>
  <c r="J1379" i="3"/>
  <c r="I1379" i="3"/>
  <c r="H1379" i="3"/>
  <c r="L1378" i="3"/>
  <c r="J1378" i="3"/>
  <c r="I1378" i="3"/>
  <c r="H1378" i="3"/>
  <c r="L1377" i="3"/>
  <c r="J1377" i="3"/>
  <c r="I1377" i="3"/>
  <c r="H1377" i="3"/>
  <c r="L1376" i="3"/>
  <c r="J1376" i="3"/>
  <c r="I1376" i="3"/>
  <c r="H1376" i="3"/>
  <c r="L1375" i="3"/>
  <c r="J1375" i="3"/>
  <c r="I1375" i="3"/>
  <c r="H1375" i="3"/>
  <c r="L1374" i="3"/>
  <c r="J1374" i="3"/>
  <c r="I1374" i="3"/>
  <c r="H1374" i="3"/>
  <c r="L1373" i="3"/>
  <c r="J1373" i="3"/>
  <c r="I1373" i="3"/>
  <c r="H1373" i="3"/>
  <c r="L1372" i="3"/>
  <c r="J1372" i="3"/>
  <c r="I1372" i="3"/>
  <c r="H1372" i="3"/>
  <c r="L1371" i="3"/>
  <c r="J1371" i="3"/>
  <c r="I1371" i="3"/>
  <c r="H1371" i="3"/>
  <c r="L1370" i="3"/>
  <c r="J1370" i="3"/>
  <c r="I1370" i="3"/>
  <c r="H1370" i="3"/>
  <c r="L1369" i="3"/>
  <c r="J1369" i="3"/>
  <c r="I1369" i="3"/>
  <c r="H1369" i="3"/>
  <c r="L1368" i="3"/>
  <c r="J1368" i="3"/>
  <c r="I1368" i="3"/>
  <c r="H1368" i="3"/>
  <c r="L1367" i="3"/>
  <c r="J1367" i="3"/>
  <c r="I1367" i="3"/>
  <c r="H1367" i="3"/>
  <c r="L1366" i="3"/>
  <c r="J1366" i="3"/>
  <c r="I1366" i="3"/>
  <c r="H1366" i="3"/>
  <c r="L1365" i="3"/>
  <c r="J1365" i="3"/>
  <c r="I1365" i="3"/>
  <c r="H1365" i="3"/>
  <c r="L1364" i="3"/>
  <c r="J1364" i="3"/>
  <c r="I1364" i="3"/>
  <c r="H1364" i="3"/>
  <c r="L1363" i="3"/>
  <c r="J1363" i="3"/>
  <c r="I1363" i="3"/>
  <c r="H1363" i="3"/>
  <c r="L1362" i="3"/>
  <c r="J1362" i="3"/>
  <c r="I1362" i="3"/>
  <c r="H1362" i="3"/>
  <c r="L1361" i="3"/>
  <c r="J1361" i="3"/>
  <c r="I1361" i="3"/>
  <c r="H1361" i="3"/>
  <c r="L1360" i="3"/>
  <c r="J1360" i="3"/>
  <c r="I1360" i="3"/>
  <c r="H1360" i="3"/>
  <c r="L1359" i="3"/>
  <c r="J1359" i="3"/>
  <c r="I1359" i="3"/>
  <c r="H1359" i="3"/>
  <c r="L1358" i="3"/>
  <c r="J1358" i="3"/>
  <c r="I1358" i="3"/>
  <c r="H1358" i="3"/>
  <c r="L1357" i="3"/>
  <c r="J1357" i="3"/>
  <c r="I1357" i="3"/>
  <c r="H1357" i="3"/>
  <c r="L1356" i="3"/>
  <c r="J1356" i="3"/>
  <c r="I1356" i="3"/>
  <c r="H1356" i="3"/>
  <c r="L1355" i="3"/>
  <c r="J1355" i="3"/>
  <c r="I1355" i="3"/>
  <c r="H1355" i="3"/>
  <c r="L1354" i="3"/>
  <c r="J1354" i="3"/>
  <c r="I1354" i="3"/>
  <c r="H1354" i="3"/>
  <c r="L1353" i="3"/>
  <c r="J1353" i="3"/>
  <c r="I1353" i="3"/>
  <c r="H1353" i="3"/>
  <c r="L1352" i="3"/>
  <c r="J1352" i="3"/>
  <c r="I1352" i="3"/>
  <c r="H1352" i="3"/>
  <c r="L1351" i="3"/>
  <c r="J1351" i="3"/>
  <c r="I1351" i="3"/>
  <c r="H1351" i="3"/>
  <c r="L1350" i="3"/>
  <c r="J1350" i="3"/>
  <c r="I1350" i="3"/>
  <c r="H1350" i="3"/>
  <c r="L1349" i="3"/>
  <c r="J1349" i="3"/>
  <c r="I1349" i="3"/>
  <c r="H1349" i="3"/>
  <c r="L1348" i="3"/>
  <c r="J1348" i="3"/>
  <c r="I1348" i="3"/>
  <c r="H1348" i="3"/>
  <c r="L1347" i="3"/>
  <c r="J1347" i="3"/>
  <c r="I1347" i="3"/>
  <c r="H1347" i="3"/>
  <c r="L1346" i="3"/>
  <c r="J1346" i="3"/>
  <c r="I1346" i="3"/>
  <c r="H1346" i="3"/>
  <c r="L1345" i="3"/>
  <c r="J1345" i="3"/>
  <c r="I1345" i="3"/>
  <c r="H1345" i="3"/>
  <c r="L1344" i="3"/>
  <c r="J1344" i="3"/>
  <c r="I1344" i="3"/>
  <c r="H1344" i="3"/>
  <c r="L1343" i="3"/>
  <c r="J1343" i="3"/>
  <c r="I1343" i="3"/>
  <c r="H1343" i="3"/>
  <c r="L1342" i="3"/>
  <c r="J1342" i="3"/>
  <c r="I1342" i="3"/>
  <c r="H1342" i="3"/>
  <c r="L1341" i="3"/>
  <c r="J1341" i="3"/>
  <c r="I1341" i="3"/>
  <c r="H1341" i="3"/>
  <c r="L1340" i="3"/>
  <c r="J1340" i="3"/>
  <c r="I1340" i="3"/>
  <c r="H1340" i="3"/>
  <c r="L1339" i="3"/>
  <c r="J1339" i="3"/>
  <c r="I1339" i="3"/>
  <c r="H1339" i="3"/>
  <c r="L1338" i="3"/>
  <c r="J1338" i="3"/>
  <c r="I1338" i="3"/>
  <c r="H1338" i="3"/>
  <c r="L1337" i="3"/>
  <c r="J1337" i="3"/>
  <c r="I1337" i="3"/>
  <c r="H1337" i="3"/>
  <c r="L1336" i="3"/>
  <c r="J1336" i="3"/>
  <c r="I1336" i="3"/>
  <c r="H1336" i="3"/>
  <c r="L1335" i="3"/>
  <c r="J1335" i="3"/>
  <c r="I1335" i="3"/>
  <c r="H1335" i="3"/>
  <c r="L1334" i="3"/>
  <c r="J1334" i="3"/>
  <c r="I1334" i="3"/>
  <c r="H1334" i="3"/>
  <c r="L1333" i="3"/>
  <c r="J1333" i="3"/>
  <c r="I1333" i="3"/>
  <c r="H1333" i="3"/>
  <c r="L1332" i="3"/>
  <c r="J1332" i="3"/>
  <c r="I1332" i="3"/>
  <c r="H1332" i="3"/>
  <c r="L1331" i="3"/>
  <c r="J1331" i="3"/>
  <c r="I1331" i="3"/>
  <c r="H1331" i="3"/>
  <c r="L1330" i="3"/>
  <c r="J1330" i="3"/>
  <c r="I1330" i="3"/>
  <c r="H1330" i="3"/>
  <c r="L1329" i="3"/>
  <c r="J1329" i="3"/>
  <c r="I1329" i="3"/>
  <c r="H1329" i="3"/>
  <c r="L1328" i="3"/>
  <c r="J1328" i="3"/>
  <c r="I1328" i="3"/>
  <c r="H1328" i="3"/>
  <c r="L1327" i="3"/>
  <c r="J1327" i="3"/>
  <c r="I1327" i="3"/>
  <c r="H1327" i="3"/>
  <c r="L1326" i="3"/>
  <c r="J1326" i="3"/>
  <c r="I1326" i="3"/>
  <c r="H1326" i="3"/>
  <c r="L1325" i="3"/>
  <c r="J1325" i="3"/>
  <c r="I1325" i="3"/>
  <c r="H1325" i="3"/>
  <c r="L1324" i="3"/>
  <c r="J1324" i="3"/>
  <c r="I1324" i="3"/>
  <c r="H1324" i="3"/>
  <c r="L1323" i="3"/>
  <c r="J1323" i="3"/>
  <c r="I1323" i="3"/>
  <c r="H1323" i="3"/>
  <c r="L1322" i="3"/>
  <c r="J1322" i="3"/>
  <c r="I1322" i="3"/>
  <c r="H1322" i="3"/>
  <c r="L1321" i="3"/>
  <c r="J1321" i="3"/>
  <c r="I1321" i="3"/>
  <c r="H1321" i="3"/>
  <c r="L1320" i="3"/>
  <c r="J1320" i="3"/>
  <c r="I1320" i="3"/>
  <c r="H1320" i="3"/>
  <c r="L1319" i="3"/>
  <c r="J1319" i="3"/>
  <c r="I1319" i="3"/>
  <c r="H1319" i="3"/>
  <c r="L1318" i="3"/>
  <c r="J1318" i="3"/>
  <c r="I1318" i="3"/>
  <c r="H1318" i="3"/>
  <c r="L1317" i="3"/>
  <c r="J1317" i="3"/>
  <c r="I1317" i="3"/>
  <c r="H1317" i="3"/>
  <c r="L1316" i="3"/>
  <c r="J1316" i="3"/>
  <c r="I1316" i="3"/>
  <c r="H1316" i="3"/>
  <c r="L1315" i="3"/>
  <c r="J1315" i="3"/>
  <c r="I1315" i="3"/>
  <c r="H1315" i="3"/>
  <c r="L1314" i="3"/>
  <c r="J1314" i="3"/>
  <c r="I1314" i="3"/>
  <c r="H1314" i="3"/>
  <c r="L1313" i="3"/>
  <c r="J1313" i="3"/>
  <c r="I1313" i="3"/>
  <c r="H1313" i="3"/>
  <c r="L1312" i="3"/>
  <c r="J1312" i="3"/>
  <c r="I1312" i="3"/>
  <c r="H1312" i="3"/>
  <c r="L1311" i="3"/>
  <c r="J1311" i="3"/>
  <c r="I1311" i="3"/>
  <c r="H1311" i="3"/>
  <c r="L1310" i="3"/>
  <c r="J1310" i="3"/>
  <c r="I1310" i="3"/>
  <c r="H1310" i="3"/>
  <c r="L1309" i="3"/>
  <c r="J1309" i="3"/>
  <c r="I1309" i="3"/>
  <c r="H1309" i="3"/>
  <c r="L1308" i="3"/>
  <c r="J1308" i="3"/>
  <c r="I1308" i="3"/>
  <c r="H1308" i="3"/>
  <c r="L1307" i="3"/>
  <c r="J1307" i="3"/>
  <c r="I1307" i="3"/>
  <c r="H1307" i="3"/>
  <c r="L1306" i="3"/>
  <c r="J1306" i="3"/>
  <c r="I1306" i="3"/>
  <c r="H1306" i="3"/>
  <c r="L1305" i="3"/>
  <c r="J1305" i="3"/>
  <c r="I1305" i="3"/>
  <c r="H1305" i="3"/>
  <c r="L1304" i="3"/>
  <c r="J1304" i="3"/>
  <c r="I1304" i="3"/>
  <c r="H1304" i="3"/>
  <c r="L1303" i="3"/>
  <c r="J1303" i="3"/>
  <c r="I1303" i="3"/>
  <c r="H1303" i="3"/>
  <c r="L1302" i="3"/>
  <c r="J1302" i="3"/>
  <c r="I1302" i="3"/>
  <c r="H1302" i="3"/>
  <c r="L1301" i="3"/>
  <c r="J1301" i="3"/>
  <c r="I1301" i="3"/>
  <c r="H1301" i="3"/>
  <c r="L1300" i="3"/>
  <c r="J1300" i="3"/>
  <c r="I1300" i="3"/>
  <c r="H1300" i="3"/>
  <c r="L1299" i="3"/>
  <c r="J1299" i="3"/>
  <c r="I1299" i="3"/>
  <c r="H1299" i="3"/>
  <c r="L1298" i="3"/>
  <c r="J1298" i="3"/>
  <c r="I1298" i="3"/>
  <c r="H1298" i="3"/>
  <c r="L1297" i="3"/>
  <c r="J1297" i="3"/>
  <c r="I1297" i="3"/>
  <c r="H1297" i="3"/>
  <c r="L1296" i="3"/>
  <c r="J1296" i="3"/>
  <c r="I1296" i="3"/>
  <c r="H1296" i="3"/>
  <c r="L1295" i="3"/>
  <c r="J1295" i="3"/>
  <c r="I1295" i="3"/>
  <c r="H1295" i="3"/>
  <c r="L1294" i="3"/>
  <c r="J1294" i="3"/>
  <c r="I1294" i="3"/>
  <c r="H1294" i="3"/>
  <c r="L1293" i="3"/>
  <c r="J1293" i="3"/>
  <c r="I1293" i="3"/>
  <c r="H1293" i="3"/>
  <c r="L1292" i="3"/>
  <c r="J1292" i="3"/>
  <c r="I1292" i="3"/>
  <c r="H1292" i="3"/>
  <c r="L1291" i="3"/>
  <c r="J1291" i="3"/>
  <c r="I1291" i="3"/>
  <c r="H1291" i="3"/>
  <c r="L1290" i="3"/>
  <c r="J1290" i="3"/>
  <c r="I1290" i="3"/>
  <c r="H1290" i="3"/>
  <c r="L1289" i="3"/>
  <c r="J1289" i="3"/>
  <c r="I1289" i="3"/>
  <c r="H1289" i="3"/>
  <c r="L1288" i="3"/>
  <c r="J1288" i="3"/>
  <c r="I1288" i="3"/>
  <c r="H1288" i="3"/>
  <c r="L1287" i="3"/>
  <c r="J1287" i="3"/>
  <c r="I1287" i="3"/>
  <c r="H1287" i="3"/>
  <c r="L1286" i="3"/>
  <c r="J1286" i="3"/>
  <c r="I1286" i="3"/>
  <c r="H1286" i="3"/>
  <c r="L1285" i="3"/>
  <c r="J1285" i="3"/>
  <c r="I1285" i="3"/>
  <c r="H1285" i="3"/>
  <c r="L1284" i="3"/>
  <c r="J1284" i="3"/>
  <c r="I1284" i="3"/>
  <c r="H1284" i="3"/>
  <c r="L1283" i="3"/>
  <c r="J1283" i="3"/>
  <c r="I1283" i="3"/>
  <c r="H1283" i="3"/>
  <c r="L1282" i="3"/>
  <c r="J1282" i="3"/>
  <c r="I1282" i="3"/>
  <c r="H1282" i="3"/>
  <c r="L1281" i="3"/>
  <c r="J1281" i="3"/>
  <c r="I1281" i="3"/>
  <c r="H1281" i="3"/>
  <c r="L1280" i="3"/>
  <c r="J1280" i="3"/>
  <c r="I1280" i="3"/>
  <c r="H1280" i="3"/>
  <c r="L1279" i="3"/>
  <c r="J1279" i="3"/>
  <c r="I1279" i="3"/>
  <c r="H1279" i="3"/>
  <c r="L1278" i="3"/>
  <c r="J1278" i="3"/>
  <c r="I1278" i="3"/>
  <c r="H1278" i="3"/>
  <c r="L1277" i="3"/>
  <c r="J1277" i="3"/>
  <c r="I1277" i="3"/>
  <c r="H1277" i="3"/>
  <c r="L1276" i="3"/>
  <c r="J1276" i="3"/>
  <c r="I1276" i="3"/>
  <c r="H1276" i="3"/>
  <c r="L1275" i="3"/>
  <c r="J1275" i="3"/>
  <c r="I1275" i="3"/>
  <c r="H1275" i="3"/>
  <c r="L1274" i="3"/>
  <c r="J1274" i="3"/>
  <c r="I1274" i="3"/>
  <c r="H1274" i="3"/>
  <c r="L1273" i="3"/>
  <c r="J1273" i="3"/>
  <c r="I1273" i="3"/>
  <c r="H1273" i="3"/>
  <c r="L1272" i="3"/>
  <c r="J1272" i="3"/>
  <c r="I1272" i="3"/>
  <c r="H1272" i="3"/>
  <c r="L1271" i="3"/>
  <c r="J1271" i="3"/>
  <c r="I1271" i="3"/>
  <c r="H1271" i="3"/>
  <c r="L1270" i="3"/>
  <c r="J1270" i="3"/>
  <c r="I1270" i="3"/>
  <c r="H1270" i="3"/>
  <c r="L1269" i="3"/>
  <c r="J1269" i="3"/>
  <c r="I1269" i="3"/>
  <c r="H1269" i="3"/>
  <c r="L1268" i="3"/>
  <c r="J1268" i="3"/>
  <c r="I1268" i="3"/>
  <c r="H1268" i="3"/>
  <c r="L1267" i="3"/>
  <c r="J1267" i="3"/>
  <c r="I1267" i="3"/>
  <c r="H1267" i="3"/>
  <c r="L1266" i="3"/>
  <c r="J1266" i="3"/>
  <c r="I1266" i="3"/>
  <c r="H1266" i="3"/>
  <c r="L1265" i="3"/>
  <c r="J1265" i="3"/>
  <c r="I1265" i="3"/>
  <c r="H1265" i="3"/>
  <c r="L1264" i="3"/>
  <c r="J1264" i="3"/>
  <c r="I1264" i="3"/>
  <c r="H1264" i="3"/>
  <c r="L1263" i="3"/>
  <c r="J1263" i="3"/>
  <c r="I1263" i="3"/>
  <c r="H1263" i="3"/>
  <c r="L1262" i="3"/>
  <c r="J1262" i="3"/>
  <c r="I1262" i="3"/>
  <c r="H1262" i="3"/>
  <c r="L1261" i="3"/>
  <c r="J1261" i="3"/>
  <c r="I1261" i="3"/>
  <c r="H1261" i="3"/>
  <c r="L1260" i="3"/>
  <c r="J1260" i="3"/>
  <c r="I1260" i="3"/>
  <c r="H1260" i="3"/>
  <c r="L1259" i="3"/>
  <c r="J1259" i="3"/>
  <c r="I1259" i="3"/>
  <c r="H1259" i="3"/>
  <c r="L1258" i="3"/>
  <c r="J1258" i="3"/>
  <c r="I1258" i="3"/>
  <c r="H1258" i="3"/>
  <c r="L1257" i="3"/>
  <c r="J1257" i="3"/>
  <c r="I1257" i="3"/>
  <c r="H1257" i="3"/>
  <c r="L1256" i="3"/>
  <c r="J1256" i="3"/>
  <c r="I1256" i="3"/>
  <c r="H1256" i="3"/>
  <c r="L1255" i="3"/>
  <c r="J1255" i="3"/>
  <c r="I1255" i="3"/>
  <c r="H1255" i="3"/>
  <c r="L1254" i="3"/>
  <c r="J1254" i="3"/>
  <c r="I1254" i="3"/>
  <c r="H1254" i="3"/>
  <c r="L1253" i="3"/>
  <c r="J1253" i="3"/>
  <c r="I1253" i="3"/>
  <c r="H1253" i="3"/>
  <c r="L1252" i="3"/>
  <c r="J1252" i="3"/>
  <c r="I1252" i="3"/>
  <c r="H1252" i="3"/>
  <c r="L1251" i="3"/>
  <c r="J1251" i="3"/>
  <c r="I1251" i="3"/>
  <c r="H1251" i="3"/>
  <c r="L1250" i="3"/>
  <c r="J1250" i="3"/>
  <c r="I1250" i="3"/>
  <c r="H1250" i="3"/>
  <c r="L1249" i="3"/>
  <c r="J1249" i="3"/>
  <c r="I1249" i="3"/>
  <c r="H1249" i="3"/>
  <c r="L1248" i="3"/>
  <c r="J1248" i="3"/>
  <c r="I1248" i="3"/>
  <c r="H1248" i="3"/>
  <c r="L1247" i="3"/>
  <c r="J1247" i="3"/>
  <c r="I1247" i="3"/>
  <c r="H1247" i="3"/>
  <c r="L1246" i="3"/>
  <c r="J1246" i="3"/>
  <c r="I1246" i="3"/>
  <c r="H1246" i="3"/>
  <c r="L1245" i="3"/>
  <c r="J1245" i="3"/>
  <c r="I1245" i="3"/>
  <c r="H1245" i="3"/>
  <c r="L1244" i="3"/>
  <c r="J1244" i="3"/>
  <c r="I1244" i="3"/>
  <c r="H1244" i="3"/>
  <c r="L1243" i="3"/>
  <c r="J1243" i="3"/>
  <c r="I1243" i="3"/>
  <c r="H1243" i="3"/>
  <c r="L1242" i="3"/>
  <c r="J1242" i="3"/>
  <c r="I1242" i="3"/>
  <c r="H1242" i="3"/>
  <c r="L1241" i="3"/>
  <c r="J1241" i="3"/>
  <c r="I1241" i="3"/>
  <c r="H1241" i="3"/>
  <c r="L1240" i="3"/>
  <c r="J1240" i="3"/>
  <c r="I1240" i="3"/>
  <c r="H1240" i="3"/>
  <c r="L1239" i="3"/>
  <c r="J1239" i="3"/>
  <c r="I1239" i="3"/>
  <c r="H1239" i="3"/>
  <c r="L1238" i="3"/>
  <c r="J1238" i="3"/>
  <c r="I1238" i="3"/>
  <c r="H1238" i="3"/>
  <c r="L1237" i="3"/>
  <c r="J1237" i="3"/>
  <c r="I1237" i="3"/>
  <c r="H1237" i="3"/>
  <c r="L1236" i="3"/>
  <c r="J1236" i="3"/>
  <c r="I1236" i="3"/>
  <c r="H1236" i="3"/>
  <c r="L1235" i="3"/>
  <c r="J1235" i="3"/>
  <c r="I1235" i="3"/>
  <c r="H1235" i="3"/>
  <c r="L1234" i="3"/>
  <c r="J1234" i="3"/>
  <c r="I1234" i="3"/>
  <c r="H1234" i="3"/>
  <c r="L1233" i="3"/>
  <c r="J1233" i="3"/>
  <c r="I1233" i="3"/>
  <c r="H1233" i="3"/>
  <c r="L1232" i="3"/>
  <c r="J1232" i="3"/>
  <c r="I1232" i="3"/>
  <c r="H1232" i="3"/>
  <c r="L1231" i="3"/>
  <c r="J1231" i="3"/>
  <c r="I1231" i="3"/>
  <c r="H1231" i="3"/>
  <c r="L1230" i="3"/>
  <c r="J1230" i="3"/>
  <c r="I1230" i="3"/>
  <c r="H1230" i="3"/>
  <c r="L1229" i="3"/>
  <c r="J1229" i="3"/>
  <c r="I1229" i="3"/>
  <c r="H1229" i="3"/>
  <c r="L1228" i="3"/>
  <c r="J1228" i="3"/>
  <c r="I1228" i="3"/>
  <c r="H1228" i="3"/>
  <c r="L1227" i="3"/>
  <c r="J1227" i="3"/>
  <c r="I1227" i="3"/>
  <c r="H1227" i="3"/>
  <c r="L1226" i="3"/>
  <c r="J1226" i="3"/>
  <c r="I1226" i="3"/>
  <c r="H1226" i="3"/>
  <c r="L1225" i="3"/>
  <c r="J1225" i="3"/>
  <c r="I1225" i="3"/>
  <c r="H1225" i="3"/>
  <c r="L1224" i="3"/>
  <c r="J1224" i="3"/>
  <c r="I1224" i="3"/>
  <c r="H1224" i="3"/>
  <c r="L1223" i="3"/>
  <c r="J1223" i="3"/>
  <c r="I1223" i="3"/>
  <c r="H1223" i="3"/>
  <c r="L1222" i="3"/>
  <c r="J1222" i="3"/>
  <c r="I1222" i="3"/>
  <c r="H1222" i="3"/>
  <c r="L1221" i="3"/>
  <c r="J1221" i="3"/>
  <c r="I1221" i="3"/>
  <c r="H1221" i="3"/>
  <c r="L1220" i="3"/>
  <c r="J1220" i="3"/>
  <c r="I1220" i="3"/>
  <c r="H1220" i="3"/>
  <c r="L1219" i="3"/>
  <c r="J1219" i="3"/>
  <c r="I1219" i="3"/>
  <c r="H1219" i="3"/>
  <c r="L1218" i="3"/>
  <c r="J1218" i="3"/>
  <c r="I1218" i="3"/>
  <c r="H1218" i="3"/>
  <c r="L1217" i="3"/>
  <c r="J1217" i="3"/>
  <c r="I1217" i="3"/>
  <c r="H1217" i="3"/>
  <c r="L1216" i="3"/>
  <c r="J1216" i="3"/>
  <c r="I1216" i="3"/>
  <c r="H1216" i="3"/>
  <c r="L1215" i="3"/>
  <c r="J1215" i="3"/>
  <c r="I1215" i="3"/>
  <c r="H1215" i="3"/>
  <c r="L1214" i="3"/>
  <c r="J1214" i="3"/>
  <c r="I1214" i="3"/>
  <c r="H1214" i="3"/>
  <c r="L1213" i="3"/>
  <c r="J1213" i="3"/>
  <c r="I1213" i="3"/>
  <c r="H1213" i="3"/>
  <c r="L1212" i="3"/>
  <c r="J1212" i="3"/>
  <c r="I1212" i="3"/>
  <c r="H1212" i="3"/>
  <c r="L1211" i="3"/>
  <c r="J1211" i="3"/>
  <c r="I1211" i="3"/>
  <c r="H1211" i="3"/>
  <c r="L1210" i="3"/>
  <c r="J1210" i="3"/>
  <c r="I1210" i="3"/>
  <c r="H1210" i="3"/>
  <c r="L1209" i="3"/>
  <c r="J1209" i="3"/>
  <c r="I1209" i="3"/>
  <c r="H1209" i="3"/>
  <c r="L1208" i="3"/>
  <c r="J1208" i="3"/>
  <c r="I1208" i="3"/>
  <c r="H1208" i="3"/>
  <c r="L1207" i="3"/>
  <c r="J1207" i="3"/>
  <c r="I1207" i="3"/>
  <c r="H1207" i="3"/>
  <c r="L1206" i="3"/>
  <c r="J1206" i="3"/>
  <c r="I1206" i="3"/>
  <c r="H1206" i="3"/>
  <c r="L1205" i="3"/>
  <c r="J1205" i="3"/>
  <c r="I1205" i="3"/>
  <c r="H1205" i="3"/>
  <c r="L1204" i="3"/>
  <c r="J1204" i="3"/>
  <c r="I1204" i="3"/>
  <c r="H1204" i="3"/>
  <c r="L1203" i="3"/>
  <c r="J1203" i="3"/>
  <c r="I1203" i="3"/>
  <c r="H1203" i="3"/>
  <c r="L1202" i="3"/>
  <c r="J1202" i="3"/>
  <c r="I1202" i="3"/>
  <c r="H1202" i="3"/>
  <c r="L1201" i="3"/>
  <c r="J1201" i="3"/>
  <c r="I1201" i="3"/>
  <c r="H1201" i="3"/>
  <c r="L1200" i="3"/>
  <c r="J1200" i="3"/>
  <c r="I1200" i="3"/>
  <c r="H1200" i="3"/>
  <c r="L1199" i="3"/>
  <c r="J1199" i="3"/>
  <c r="I1199" i="3"/>
  <c r="H1199" i="3"/>
  <c r="L1198" i="3"/>
  <c r="J1198" i="3"/>
  <c r="I1198" i="3"/>
  <c r="H1198" i="3"/>
  <c r="L1197" i="3"/>
  <c r="J1197" i="3"/>
  <c r="I1197" i="3"/>
  <c r="H1197" i="3"/>
  <c r="L1196" i="3"/>
  <c r="J1196" i="3"/>
  <c r="I1196" i="3"/>
  <c r="H1196" i="3"/>
  <c r="L1195" i="3"/>
  <c r="J1195" i="3"/>
  <c r="I1195" i="3"/>
  <c r="H1195" i="3"/>
  <c r="L1194" i="3"/>
  <c r="J1194" i="3"/>
  <c r="I1194" i="3"/>
  <c r="H1194" i="3"/>
  <c r="L1193" i="3"/>
  <c r="J1193" i="3"/>
  <c r="I1193" i="3"/>
  <c r="H1193" i="3"/>
  <c r="L1192" i="3"/>
  <c r="J1192" i="3"/>
  <c r="I1192" i="3"/>
  <c r="H1192" i="3"/>
  <c r="L1191" i="3"/>
  <c r="J1191" i="3"/>
  <c r="I1191" i="3"/>
  <c r="H1191" i="3"/>
  <c r="L1190" i="3"/>
  <c r="J1190" i="3"/>
  <c r="I1190" i="3"/>
  <c r="H1190" i="3"/>
  <c r="L1189" i="3"/>
  <c r="J1189" i="3"/>
  <c r="I1189" i="3"/>
  <c r="H1189" i="3"/>
  <c r="L1188" i="3"/>
  <c r="J1188" i="3"/>
  <c r="I1188" i="3"/>
  <c r="H1188" i="3"/>
  <c r="L1187" i="3"/>
  <c r="J1187" i="3"/>
  <c r="I1187" i="3"/>
  <c r="H1187" i="3"/>
  <c r="L1186" i="3"/>
  <c r="J1186" i="3"/>
  <c r="I1186" i="3"/>
  <c r="H1186" i="3"/>
  <c r="L1185" i="3"/>
  <c r="J1185" i="3"/>
  <c r="I1185" i="3"/>
  <c r="H1185" i="3"/>
  <c r="L1184" i="3"/>
  <c r="J1184" i="3"/>
  <c r="I1184" i="3"/>
  <c r="H1184" i="3"/>
  <c r="L1183" i="3"/>
  <c r="J1183" i="3"/>
  <c r="I1183" i="3"/>
  <c r="H1183" i="3"/>
  <c r="L1182" i="3"/>
  <c r="J1182" i="3"/>
  <c r="I1182" i="3"/>
  <c r="H1182" i="3"/>
  <c r="L1181" i="3"/>
  <c r="J1181" i="3"/>
  <c r="I1181" i="3"/>
  <c r="H1181" i="3"/>
  <c r="L1180" i="3"/>
  <c r="J1180" i="3"/>
  <c r="I1180" i="3"/>
  <c r="H1180" i="3"/>
  <c r="L1179" i="3"/>
  <c r="J1179" i="3"/>
  <c r="I1179" i="3"/>
  <c r="H1179" i="3"/>
  <c r="L1178" i="3"/>
  <c r="J1178" i="3"/>
  <c r="I1178" i="3"/>
  <c r="H1178" i="3"/>
  <c r="L1177" i="3"/>
  <c r="J1177" i="3"/>
  <c r="I1177" i="3"/>
  <c r="H1177" i="3"/>
  <c r="L1176" i="3"/>
  <c r="J1176" i="3"/>
  <c r="I1176" i="3"/>
  <c r="H1176" i="3"/>
  <c r="L1175" i="3"/>
  <c r="J1175" i="3"/>
  <c r="I1175" i="3"/>
  <c r="H1175" i="3"/>
  <c r="L1174" i="3"/>
  <c r="J1174" i="3"/>
  <c r="I1174" i="3"/>
  <c r="H1174" i="3"/>
  <c r="L1173" i="3"/>
  <c r="J1173" i="3"/>
  <c r="I1173" i="3"/>
  <c r="H1173" i="3"/>
  <c r="L1172" i="3"/>
  <c r="J1172" i="3"/>
  <c r="I1172" i="3"/>
  <c r="H1172" i="3"/>
  <c r="L1171" i="3"/>
  <c r="J1171" i="3"/>
  <c r="I1171" i="3"/>
  <c r="H1171" i="3"/>
  <c r="L1170" i="3"/>
  <c r="J1170" i="3"/>
  <c r="I1170" i="3"/>
  <c r="H1170" i="3"/>
  <c r="L1169" i="3"/>
  <c r="J1169" i="3"/>
  <c r="I1169" i="3"/>
  <c r="H1169" i="3"/>
  <c r="L1168" i="3"/>
  <c r="J1168" i="3"/>
  <c r="I1168" i="3"/>
  <c r="H1168" i="3"/>
  <c r="L1167" i="3"/>
  <c r="J1167" i="3"/>
  <c r="I1167" i="3"/>
  <c r="H1167" i="3"/>
  <c r="L1166" i="3"/>
  <c r="J1166" i="3"/>
  <c r="I1166" i="3"/>
  <c r="H1166" i="3"/>
  <c r="L1165" i="3"/>
  <c r="J1165" i="3"/>
  <c r="I1165" i="3"/>
  <c r="H1165" i="3"/>
  <c r="L1164" i="3"/>
  <c r="J1164" i="3"/>
  <c r="I1164" i="3"/>
  <c r="H1164" i="3"/>
  <c r="L1163" i="3"/>
  <c r="J1163" i="3"/>
  <c r="I1163" i="3"/>
  <c r="H1163" i="3"/>
  <c r="L1162" i="3"/>
  <c r="J1162" i="3"/>
  <c r="I1162" i="3"/>
  <c r="H1162" i="3"/>
  <c r="L1161" i="3"/>
  <c r="J1161" i="3"/>
  <c r="I1161" i="3"/>
  <c r="H1161" i="3"/>
  <c r="L1160" i="3"/>
  <c r="J1160" i="3"/>
  <c r="I1160" i="3"/>
  <c r="H1160" i="3"/>
  <c r="L1159" i="3"/>
  <c r="J1159" i="3"/>
  <c r="I1159" i="3"/>
  <c r="H1159" i="3"/>
  <c r="L1158" i="3"/>
  <c r="J1158" i="3"/>
  <c r="I1158" i="3"/>
  <c r="H1158" i="3"/>
  <c r="L1157" i="3"/>
  <c r="J1157" i="3"/>
  <c r="I1157" i="3"/>
  <c r="H1157" i="3"/>
  <c r="L1156" i="3"/>
  <c r="J1156" i="3"/>
  <c r="I1156" i="3"/>
  <c r="H1156" i="3"/>
  <c r="L1155" i="3"/>
  <c r="J1155" i="3"/>
  <c r="I1155" i="3"/>
  <c r="H1155" i="3"/>
  <c r="L1154" i="3"/>
  <c r="J1154" i="3"/>
  <c r="I1154" i="3"/>
  <c r="H1154" i="3"/>
  <c r="L1153" i="3"/>
  <c r="J1153" i="3"/>
  <c r="I1153" i="3"/>
  <c r="H1153" i="3"/>
  <c r="L1152" i="3"/>
  <c r="J1152" i="3"/>
  <c r="I1152" i="3"/>
  <c r="H1152" i="3"/>
  <c r="L1151" i="3"/>
  <c r="J1151" i="3"/>
  <c r="I1151" i="3"/>
  <c r="H1151" i="3"/>
  <c r="L1150" i="3"/>
  <c r="J1150" i="3"/>
  <c r="I1150" i="3"/>
  <c r="H1150" i="3"/>
  <c r="L1149" i="3"/>
  <c r="J1149" i="3"/>
  <c r="I1149" i="3"/>
  <c r="H1149" i="3"/>
  <c r="L1148" i="3"/>
  <c r="J1148" i="3"/>
  <c r="I1148" i="3"/>
  <c r="H1148" i="3"/>
  <c r="L1147" i="3"/>
  <c r="J1147" i="3"/>
  <c r="I1147" i="3"/>
  <c r="H1147" i="3"/>
  <c r="L1146" i="3"/>
  <c r="J1146" i="3"/>
  <c r="I1146" i="3"/>
  <c r="H1146" i="3"/>
  <c r="L1145" i="3"/>
  <c r="J1145" i="3"/>
  <c r="I1145" i="3"/>
  <c r="H1145" i="3"/>
  <c r="L1144" i="3"/>
  <c r="J1144" i="3"/>
  <c r="I1144" i="3"/>
  <c r="H1144" i="3"/>
  <c r="L1143" i="3"/>
  <c r="J1143" i="3"/>
  <c r="I1143" i="3"/>
  <c r="H1143" i="3"/>
  <c r="L1142" i="3"/>
  <c r="J1142" i="3"/>
  <c r="I1142" i="3"/>
  <c r="H1142" i="3"/>
  <c r="L1141" i="3"/>
  <c r="J1141" i="3"/>
  <c r="I1141" i="3"/>
  <c r="H1141" i="3"/>
  <c r="L1140" i="3"/>
  <c r="J1140" i="3"/>
  <c r="I1140" i="3"/>
  <c r="H1140" i="3"/>
  <c r="L1139" i="3"/>
  <c r="J1139" i="3"/>
  <c r="I1139" i="3"/>
  <c r="H1139" i="3"/>
  <c r="L1138" i="3"/>
  <c r="J1138" i="3"/>
  <c r="I1138" i="3"/>
  <c r="H1138" i="3"/>
  <c r="L1137" i="3"/>
  <c r="J1137" i="3"/>
  <c r="I1137" i="3"/>
  <c r="H1137" i="3"/>
  <c r="L1136" i="3"/>
  <c r="J1136" i="3"/>
  <c r="I1136" i="3"/>
  <c r="H1136" i="3"/>
  <c r="L1135" i="3"/>
  <c r="J1135" i="3"/>
  <c r="I1135" i="3"/>
  <c r="H1135" i="3"/>
  <c r="L1134" i="3"/>
  <c r="J1134" i="3"/>
  <c r="I1134" i="3"/>
  <c r="H1134" i="3"/>
  <c r="L1133" i="3"/>
  <c r="J1133" i="3"/>
  <c r="I1133" i="3"/>
  <c r="H1133" i="3"/>
  <c r="L1132" i="3"/>
  <c r="J1132" i="3"/>
  <c r="I1132" i="3"/>
  <c r="H1132" i="3"/>
  <c r="L1131" i="3"/>
  <c r="J1131" i="3"/>
  <c r="I1131" i="3"/>
  <c r="H1131" i="3"/>
  <c r="L1130" i="3"/>
  <c r="J1130" i="3"/>
  <c r="I1130" i="3"/>
  <c r="H1130" i="3"/>
  <c r="L1129" i="3"/>
  <c r="J1129" i="3"/>
  <c r="I1129" i="3"/>
  <c r="H1129" i="3"/>
  <c r="L1128" i="3"/>
  <c r="J1128" i="3"/>
  <c r="I1128" i="3"/>
  <c r="H1128" i="3"/>
  <c r="L1127" i="3"/>
  <c r="J1127" i="3"/>
  <c r="I1127" i="3"/>
  <c r="H1127" i="3"/>
  <c r="L1126" i="3"/>
  <c r="J1126" i="3"/>
  <c r="I1126" i="3"/>
  <c r="H1126" i="3"/>
  <c r="L1125" i="3"/>
  <c r="J1125" i="3"/>
  <c r="I1125" i="3"/>
  <c r="H1125" i="3"/>
  <c r="L1124" i="3"/>
  <c r="J1124" i="3"/>
  <c r="I1124" i="3"/>
  <c r="H1124" i="3"/>
  <c r="L1123" i="3"/>
  <c r="J1123" i="3"/>
  <c r="I1123" i="3"/>
  <c r="H1123" i="3"/>
  <c r="L1122" i="3"/>
  <c r="J1122" i="3"/>
  <c r="I1122" i="3"/>
  <c r="H1122" i="3"/>
  <c r="L1121" i="3"/>
  <c r="J1121" i="3"/>
  <c r="I1121" i="3"/>
  <c r="H1121" i="3"/>
  <c r="L1120" i="3"/>
  <c r="J1120" i="3"/>
  <c r="I1120" i="3"/>
  <c r="H1120" i="3"/>
  <c r="L1119" i="3"/>
  <c r="J1119" i="3"/>
  <c r="I1119" i="3"/>
  <c r="H1119" i="3"/>
  <c r="L1118" i="3"/>
  <c r="J1118" i="3"/>
  <c r="I1118" i="3"/>
  <c r="H1118" i="3"/>
  <c r="L1117" i="3"/>
  <c r="J1117" i="3"/>
  <c r="I1117" i="3"/>
  <c r="H1117" i="3"/>
  <c r="L1116" i="3"/>
  <c r="J1116" i="3"/>
  <c r="I1116" i="3"/>
  <c r="H1116" i="3"/>
  <c r="L1115" i="3"/>
  <c r="J1115" i="3"/>
  <c r="I1115" i="3"/>
  <c r="H1115" i="3"/>
  <c r="L1114" i="3"/>
  <c r="J1114" i="3"/>
  <c r="I1114" i="3"/>
  <c r="H1114" i="3"/>
  <c r="L1113" i="3"/>
  <c r="J1113" i="3"/>
  <c r="I1113" i="3"/>
  <c r="H1113" i="3"/>
  <c r="L1112" i="3"/>
  <c r="J1112" i="3"/>
  <c r="I1112" i="3"/>
  <c r="H1112" i="3"/>
  <c r="L1111" i="3"/>
  <c r="J1111" i="3"/>
  <c r="I1111" i="3"/>
  <c r="H1111" i="3"/>
  <c r="L1110" i="3"/>
  <c r="J1110" i="3"/>
  <c r="I1110" i="3"/>
  <c r="H1110" i="3"/>
  <c r="L1109" i="3"/>
  <c r="J1109" i="3"/>
  <c r="I1109" i="3"/>
  <c r="H1109" i="3"/>
  <c r="L1108" i="3"/>
  <c r="J1108" i="3"/>
  <c r="I1108" i="3"/>
  <c r="H1108" i="3"/>
  <c r="L1107" i="3"/>
  <c r="J1107" i="3"/>
  <c r="I1107" i="3"/>
  <c r="H1107" i="3"/>
  <c r="L1106" i="3"/>
  <c r="J1106" i="3"/>
  <c r="I1106" i="3"/>
  <c r="H1106" i="3"/>
  <c r="L1105" i="3"/>
  <c r="J1105" i="3"/>
  <c r="I1105" i="3"/>
  <c r="H1105" i="3"/>
  <c r="L1104" i="3"/>
  <c r="J1104" i="3"/>
  <c r="I1104" i="3"/>
  <c r="H1104" i="3"/>
  <c r="L1103" i="3"/>
  <c r="J1103" i="3"/>
  <c r="I1103" i="3"/>
  <c r="H1103" i="3"/>
  <c r="L1102" i="3"/>
  <c r="J1102" i="3"/>
  <c r="I1102" i="3"/>
  <c r="H1102" i="3"/>
  <c r="L1101" i="3"/>
  <c r="J1101" i="3"/>
  <c r="I1101" i="3"/>
  <c r="H1101" i="3"/>
  <c r="L1100" i="3"/>
  <c r="J1100" i="3"/>
  <c r="I1100" i="3"/>
  <c r="H1100" i="3"/>
  <c r="L1099" i="3"/>
  <c r="J1099" i="3"/>
  <c r="I1099" i="3"/>
  <c r="H1099" i="3"/>
  <c r="L1098" i="3"/>
  <c r="J1098" i="3"/>
  <c r="I1098" i="3"/>
  <c r="H1098" i="3"/>
  <c r="L1097" i="3"/>
  <c r="J1097" i="3"/>
  <c r="I1097" i="3"/>
  <c r="H1097" i="3"/>
  <c r="L1096" i="3"/>
  <c r="J1096" i="3"/>
  <c r="I1096" i="3"/>
  <c r="H1096" i="3"/>
  <c r="L1095" i="3"/>
  <c r="J1095" i="3"/>
  <c r="I1095" i="3"/>
  <c r="H1095" i="3"/>
  <c r="L1094" i="3"/>
  <c r="J1094" i="3"/>
  <c r="I1094" i="3"/>
  <c r="H1094" i="3"/>
  <c r="L1093" i="3"/>
  <c r="J1093" i="3"/>
  <c r="I1093" i="3"/>
  <c r="H1093" i="3"/>
  <c r="L1092" i="3"/>
  <c r="J1092" i="3"/>
  <c r="I1092" i="3"/>
  <c r="H1092" i="3"/>
  <c r="L1091" i="3"/>
  <c r="J1091" i="3"/>
  <c r="I1091" i="3"/>
  <c r="H1091" i="3"/>
  <c r="L1090" i="3"/>
  <c r="J1090" i="3"/>
  <c r="I1090" i="3"/>
  <c r="H1090" i="3"/>
  <c r="L1089" i="3"/>
  <c r="J1089" i="3"/>
  <c r="I1089" i="3"/>
  <c r="H1089" i="3"/>
  <c r="L1088" i="3"/>
  <c r="J1088" i="3"/>
  <c r="I1088" i="3"/>
  <c r="H1088" i="3"/>
  <c r="L1087" i="3"/>
  <c r="J1087" i="3"/>
  <c r="I1087" i="3"/>
  <c r="H1087" i="3"/>
  <c r="L1086" i="3"/>
  <c r="J1086" i="3"/>
  <c r="I1086" i="3"/>
  <c r="H1086" i="3"/>
  <c r="L1085" i="3"/>
  <c r="J1085" i="3"/>
  <c r="I1085" i="3"/>
  <c r="H1085" i="3"/>
  <c r="L1084" i="3"/>
  <c r="J1084" i="3"/>
  <c r="I1084" i="3"/>
  <c r="H1084" i="3"/>
  <c r="L1083" i="3"/>
  <c r="J1083" i="3"/>
  <c r="I1083" i="3"/>
  <c r="H1083" i="3"/>
  <c r="L1082" i="3"/>
  <c r="J1082" i="3"/>
  <c r="I1082" i="3"/>
  <c r="H1082" i="3"/>
  <c r="L1081" i="3"/>
  <c r="J1081" i="3"/>
  <c r="I1081" i="3"/>
  <c r="H1081" i="3"/>
  <c r="L1080" i="3"/>
  <c r="J1080" i="3"/>
  <c r="I1080" i="3"/>
  <c r="H1080" i="3"/>
  <c r="L1079" i="3"/>
  <c r="J1079" i="3"/>
  <c r="I1079" i="3"/>
  <c r="H1079" i="3"/>
  <c r="L1078" i="3"/>
  <c r="J1078" i="3"/>
  <c r="I1078" i="3"/>
  <c r="H1078" i="3"/>
  <c r="L1077" i="3"/>
  <c r="J1077" i="3"/>
  <c r="I1077" i="3"/>
  <c r="H1077" i="3"/>
  <c r="L1076" i="3"/>
  <c r="J1076" i="3"/>
  <c r="I1076" i="3"/>
  <c r="H1076" i="3"/>
  <c r="L1075" i="3"/>
  <c r="J1075" i="3"/>
  <c r="I1075" i="3"/>
  <c r="H1075" i="3"/>
  <c r="L1074" i="3"/>
  <c r="J1074" i="3"/>
  <c r="I1074" i="3"/>
  <c r="H1074" i="3"/>
  <c r="L1073" i="3"/>
  <c r="J1073" i="3"/>
  <c r="I1073" i="3"/>
  <c r="H1073" i="3"/>
  <c r="L1072" i="3"/>
  <c r="J1072" i="3"/>
  <c r="I1072" i="3"/>
  <c r="H1072" i="3"/>
  <c r="L1071" i="3"/>
  <c r="J1071" i="3"/>
  <c r="I1071" i="3"/>
  <c r="H1071" i="3"/>
  <c r="L1070" i="3"/>
  <c r="J1070" i="3"/>
  <c r="I1070" i="3"/>
  <c r="H1070" i="3"/>
  <c r="L1069" i="3"/>
  <c r="J1069" i="3"/>
  <c r="I1069" i="3"/>
  <c r="H1069" i="3"/>
  <c r="L1068" i="3"/>
  <c r="J1068" i="3"/>
  <c r="I1068" i="3"/>
  <c r="H1068" i="3"/>
  <c r="L1067" i="3"/>
  <c r="J1067" i="3"/>
  <c r="I1067" i="3"/>
  <c r="H1067" i="3"/>
  <c r="L1066" i="3"/>
  <c r="J1066" i="3"/>
  <c r="I1066" i="3"/>
  <c r="H1066" i="3"/>
  <c r="L1065" i="3"/>
  <c r="J1065" i="3"/>
  <c r="I1065" i="3"/>
  <c r="H1065" i="3"/>
  <c r="L1064" i="3"/>
  <c r="J1064" i="3"/>
  <c r="I1064" i="3"/>
  <c r="H1064" i="3"/>
  <c r="L1063" i="3"/>
  <c r="J1063" i="3"/>
  <c r="I1063" i="3"/>
  <c r="H1063" i="3"/>
  <c r="L1062" i="3"/>
  <c r="J1062" i="3"/>
  <c r="I1062" i="3"/>
  <c r="H1062" i="3"/>
  <c r="L1061" i="3"/>
  <c r="J1061" i="3"/>
  <c r="I1061" i="3"/>
  <c r="H1061" i="3"/>
  <c r="L1060" i="3"/>
  <c r="J1060" i="3"/>
  <c r="I1060" i="3"/>
  <c r="H1060" i="3"/>
  <c r="L1059" i="3"/>
  <c r="J1059" i="3"/>
  <c r="I1059" i="3"/>
  <c r="H1059" i="3"/>
  <c r="L1058" i="3"/>
  <c r="J1058" i="3"/>
  <c r="I1058" i="3"/>
  <c r="H1058" i="3"/>
  <c r="L1057" i="3"/>
  <c r="J1057" i="3"/>
  <c r="I1057" i="3"/>
  <c r="H1057" i="3"/>
  <c r="L1056" i="3"/>
  <c r="J1056" i="3"/>
  <c r="I1056" i="3"/>
  <c r="H1056" i="3"/>
  <c r="L1055" i="3"/>
  <c r="J1055" i="3"/>
  <c r="I1055" i="3"/>
  <c r="H1055" i="3"/>
  <c r="L1054" i="3"/>
  <c r="J1054" i="3"/>
  <c r="I1054" i="3"/>
  <c r="H1054" i="3"/>
  <c r="L1053" i="3"/>
  <c r="J1053" i="3"/>
  <c r="I1053" i="3"/>
  <c r="H1053" i="3"/>
  <c r="L1052" i="3"/>
  <c r="J1052" i="3"/>
  <c r="I1052" i="3"/>
  <c r="H1052" i="3"/>
  <c r="L1051" i="3"/>
  <c r="J1051" i="3"/>
  <c r="I1051" i="3"/>
  <c r="H1051" i="3"/>
  <c r="L1050" i="3"/>
  <c r="J1050" i="3"/>
  <c r="I1050" i="3"/>
  <c r="H1050" i="3"/>
  <c r="L1049" i="3"/>
  <c r="J1049" i="3"/>
  <c r="I1049" i="3"/>
  <c r="H1049" i="3"/>
  <c r="L1048" i="3"/>
  <c r="J1048" i="3"/>
  <c r="I1048" i="3"/>
  <c r="H1048" i="3"/>
  <c r="L1047" i="3"/>
  <c r="J1047" i="3"/>
  <c r="I1047" i="3"/>
  <c r="H1047" i="3"/>
  <c r="L1046" i="3"/>
  <c r="J1046" i="3"/>
  <c r="I1046" i="3"/>
  <c r="H1046" i="3"/>
  <c r="L1045" i="3"/>
  <c r="J1045" i="3"/>
  <c r="I1045" i="3"/>
  <c r="H1045" i="3"/>
  <c r="L1044" i="3"/>
  <c r="J1044" i="3"/>
  <c r="I1044" i="3"/>
  <c r="H1044" i="3"/>
  <c r="L1043" i="3"/>
  <c r="J1043" i="3"/>
  <c r="I1043" i="3"/>
  <c r="H1043" i="3"/>
  <c r="L1042" i="3"/>
  <c r="J1042" i="3"/>
  <c r="I1042" i="3"/>
  <c r="H1042" i="3"/>
  <c r="L1041" i="3"/>
  <c r="J1041" i="3"/>
  <c r="I1041" i="3"/>
  <c r="H1041" i="3"/>
  <c r="L1040" i="3"/>
  <c r="J1040" i="3"/>
  <c r="I1040" i="3"/>
  <c r="H1040" i="3"/>
  <c r="L1039" i="3"/>
  <c r="J1039" i="3"/>
  <c r="I1039" i="3"/>
  <c r="H1039" i="3"/>
  <c r="L1038" i="3"/>
  <c r="J1038" i="3"/>
  <c r="I1038" i="3"/>
  <c r="H1038" i="3"/>
  <c r="L1037" i="3"/>
  <c r="J1037" i="3"/>
  <c r="I1037" i="3"/>
  <c r="H1037" i="3"/>
  <c r="L1036" i="3"/>
  <c r="J1036" i="3"/>
  <c r="I1036" i="3"/>
  <c r="H1036" i="3"/>
  <c r="L1035" i="3"/>
  <c r="J1035" i="3"/>
  <c r="I1035" i="3"/>
  <c r="H1035" i="3"/>
  <c r="L1034" i="3"/>
  <c r="J1034" i="3"/>
  <c r="I1034" i="3"/>
  <c r="H1034" i="3"/>
  <c r="L1033" i="3"/>
  <c r="J1033" i="3"/>
  <c r="I1033" i="3"/>
  <c r="H1033" i="3"/>
  <c r="L1032" i="3"/>
  <c r="J1032" i="3"/>
  <c r="I1032" i="3"/>
  <c r="H1032" i="3"/>
  <c r="L1031" i="3"/>
  <c r="J1031" i="3"/>
  <c r="I1031" i="3"/>
  <c r="H1031" i="3"/>
  <c r="L1030" i="3"/>
  <c r="J1030" i="3"/>
  <c r="I1030" i="3"/>
  <c r="H1030" i="3"/>
  <c r="L1029" i="3"/>
  <c r="J1029" i="3"/>
  <c r="I1029" i="3"/>
  <c r="H1029" i="3"/>
  <c r="L1028" i="3"/>
  <c r="J1028" i="3"/>
  <c r="I1028" i="3"/>
  <c r="H1028" i="3"/>
  <c r="L1027" i="3"/>
  <c r="J1027" i="3"/>
  <c r="I1027" i="3"/>
  <c r="H1027" i="3"/>
  <c r="L1026" i="3"/>
  <c r="J1026" i="3"/>
  <c r="I1026" i="3"/>
  <c r="H1026" i="3"/>
  <c r="L1025" i="3"/>
  <c r="J1025" i="3"/>
  <c r="I1025" i="3"/>
  <c r="H1025" i="3"/>
  <c r="L1024" i="3"/>
  <c r="J1024" i="3"/>
  <c r="I1024" i="3"/>
  <c r="H1024" i="3"/>
  <c r="L1023" i="3"/>
  <c r="J1023" i="3"/>
  <c r="I1023" i="3"/>
  <c r="H1023" i="3"/>
  <c r="L1022" i="3"/>
  <c r="J1022" i="3"/>
  <c r="I1022" i="3"/>
  <c r="H1022" i="3"/>
  <c r="L1021" i="3"/>
  <c r="J1021" i="3"/>
  <c r="I1021" i="3"/>
  <c r="H1021" i="3"/>
  <c r="L1020" i="3"/>
  <c r="J1020" i="3"/>
  <c r="I1020" i="3"/>
  <c r="H1020" i="3"/>
  <c r="L1019" i="3"/>
  <c r="J1019" i="3"/>
  <c r="I1019" i="3"/>
  <c r="H1019" i="3"/>
  <c r="L1018" i="3"/>
  <c r="J1018" i="3"/>
  <c r="I1018" i="3"/>
  <c r="H1018" i="3"/>
  <c r="L1017" i="3"/>
  <c r="J1017" i="3"/>
  <c r="I1017" i="3"/>
  <c r="H1017" i="3"/>
  <c r="L1016" i="3"/>
  <c r="J1016" i="3"/>
  <c r="I1016" i="3"/>
  <c r="H1016" i="3"/>
  <c r="L1015" i="3"/>
  <c r="J1015" i="3"/>
  <c r="I1015" i="3"/>
  <c r="H1015" i="3"/>
  <c r="L1014" i="3"/>
  <c r="J1014" i="3"/>
  <c r="I1014" i="3"/>
  <c r="H1014" i="3"/>
  <c r="L1013" i="3"/>
  <c r="J1013" i="3"/>
  <c r="I1013" i="3"/>
  <c r="H1013" i="3"/>
  <c r="L1012" i="3"/>
  <c r="J1012" i="3"/>
  <c r="I1012" i="3"/>
  <c r="H1012" i="3"/>
  <c r="L1011" i="3"/>
  <c r="J1011" i="3"/>
  <c r="I1011" i="3"/>
  <c r="H1011" i="3"/>
  <c r="L1010" i="3"/>
  <c r="J1010" i="3"/>
  <c r="I1010" i="3"/>
  <c r="H1010" i="3"/>
  <c r="L1009" i="3"/>
  <c r="J1009" i="3"/>
  <c r="I1009" i="3"/>
  <c r="H1009" i="3"/>
  <c r="L1008" i="3"/>
  <c r="J1008" i="3"/>
  <c r="I1008" i="3"/>
  <c r="H1008" i="3"/>
  <c r="L1007" i="3"/>
  <c r="J1007" i="3"/>
  <c r="I1007" i="3"/>
  <c r="H1007" i="3"/>
  <c r="L1006" i="3"/>
  <c r="J1006" i="3"/>
  <c r="I1006" i="3"/>
  <c r="H1006" i="3"/>
  <c r="L1005" i="3"/>
  <c r="J1005" i="3"/>
  <c r="I1005" i="3"/>
  <c r="H1005" i="3"/>
  <c r="L1004" i="3"/>
  <c r="J1004" i="3"/>
  <c r="I1004" i="3"/>
  <c r="H1004" i="3"/>
  <c r="L1003" i="3"/>
  <c r="J1003" i="3"/>
  <c r="I1003" i="3"/>
  <c r="H1003" i="3"/>
  <c r="L1002" i="3"/>
  <c r="J1002" i="3"/>
  <c r="I1002" i="3"/>
  <c r="H1002" i="3"/>
  <c r="L1001" i="3"/>
  <c r="J1001" i="3"/>
  <c r="I1001" i="3"/>
  <c r="H1001" i="3"/>
  <c r="L1000" i="3"/>
  <c r="J1000" i="3"/>
  <c r="I1000" i="3"/>
  <c r="H1000" i="3"/>
  <c r="L999" i="3"/>
  <c r="J999" i="3"/>
  <c r="I999" i="3"/>
  <c r="H999" i="3"/>
  <c r="L998" i="3"/>
  <c r="J998" i="3"/>
  <c r="I998" i="3"/>
  <c r="H998" i="3"/>
  <c r="L997" i="3"/>
  <c r="J997" i="3"/>
  <c r="I997" i="3"/>
  <c r="H997" i="3"/>
  <c r="L996" i="3"/>
  <c r="J996" i="3"/>
  <c r="I996" i="3"/>
  <c r="H996" i="3"/>
  <c r="L995" i="3"/>
  <c r="J995" i="3"/>
  <c r="I995" i="3"/>
  <c r="H995" i="3"/>
  <c r="L994" i="3"/>
  <c r="J994" i="3"/>
  <c r="I994" i="3"/>
  <c r="H994" i="3"/>
  <c r="L993" i="3"/>
  <c r="J993" i="3"/>
  <c r="I993" i="3"/>
  <c r="H993" i="3"/>
  <c r="L992" i="3"/>
  <c r="J992" i="3"/>
  <c r="I992" i="3"/>
  <c r="H992" i="3"/>
  <c r="L991" i="3"/>
  <c r="J991" i="3"/>
  <c r="I991" i="3"/>
  <c r="H991" i="3"/>
  <c r="L990" i="3"/>
  <c r="J990" i="3"/>
  <c r="I990" i="3"/>
  <c r="H990" i="3"/>
  <c r="L989" i="3"/>
  <c r="J989" i="3"/>
  <c r="I989" i="3"/>
  <c r="H989" i="3"/>
  <c r="L988" i="3"/>
  <c r="J988" i="3"/>
  <c r="I988" i="3"/>
  <c r="H988" i="3"/>
  <c r="L987" i="3"/>
  <c r="J987" i="3"/>
  <c r="I987" i="3"/>
  <c r="H987" i="3"/>
  <c r="L986" i="3"/>
  <c r="J986" i="3"/>
  <c r="I986" i="3"/>
  <c r="H986" i="3"/>
  <c r="L985" i="3"/>
  <c r="J985" i="3"/>
  <c r="I985" i="3"/>
  <c r="H985" i="3"/>
  <c r="L984" i="3"/>
  <c r="J984" i="3"/>
  <c r="I984" i="3"/>
  <c r="H984" i="3"/>
  <c r="L983" i="3"/>
  <c r="J983" i="3"/>
  <c r="I983" i="3"/>
  <c r="H983" i="3"/>
  <c r="L982" i="3"/>
  <c r="J982" i="3"/>
  <c r="I982" i="3"/>
  <c r="H982" i="3"/>
  <c r="L981" i="3"/>
  <c r="J981" i="3"/>
  <c r="I981" i="3"/>
  <c r="H981" i="3"/>
  <c r="L980" i="3"/>
  <c r="J980" i="3"/>
  <c r="I980" i="3"/>
  <c r="H980" i="3"/>
  <c r="L979" i="3"/>
  <c r="J979" i="3"/>
  <c r="I979" i="3"/>
  <c r="H979" i="3"/>
  <c r="L978" i="3"/>
  <c r="J978" i="3"/>
  <c r="I978" i="3"/>
  <c r="H978" i="3"/>
  <c r="L977" i="3"/>
  <c r="J977" i="3"/>
  <c r="I977" i="3"/>
  <c r="H977" i="3"/>
  <c r="L976" i="3"/>
  <c r="J976" i="3"/>
  <c r="I976" i="3"/>
  <c r="H976" i="3"/>
  <c r="L975" i="3"/>
  <c r="J975" i="3"/>
  <c r="I975" i="3"/>
  <c r="H975" i="3"/>
  <c r="L974" i="3"/>
  <c r="J974" i="3"/>
  <c r="I974" i="3"/>
  <c r="H974" i="3"/>
  <c r="L973" i="3"/>
  <c r="J973" i="3"/>
  <c r="I973" i="3"/>
  <c r="H973" i="3"/>
  <c r="L972" i="3"/>
  <c r="J972" i="3"/>
  <c r="I972" i="3"/>
  <c r="H972" i="3"/>
  <c r="L971" i="3"/>
  <c r="J971" i="3"/>
  <c r="I971" i="3"/>
  <c r="H971" i="3"/>
  <c r="L970" i="3"/>
  <c r="J970" i="3"/>
  <c r="I970" i="3"/>
  <c r="H970" i="3"/>
  <c r="L969" i="3"/>
  <c r="J969" i="3"/>
  <c r="I969" i="3"/>
  <c r="H969" i="3"/>
  <c r="L968" i="3"/>
  <c r="J968" i="3"/>
  <c r="I968" i="3"/>
  <c r="H968" i="3"/>
  <c r="L967" i="3"/>
  <c r="J967" i="3"/>
  <c r="I967" i="3"/>
  <c r="H967" i="3"/>
  <c r="L966" i="3"/>
  <c r="J966" i="3"/>
  <c r="I966" i="3"/>
  <c r="H966" i="3"/>
  <c r="L965" i="3"/>
  <c r="J965" i="3"/>
  <c r="I965" i="3"/>
  <c r="H965" i="3"/>
  <c r="L964" i="3"/>
  <c r="J964" i="3"/>
  <c r="I964" i="3"/>
  <c r="H964" i="3"/>
  <c r="L963" i="3"/>
  <c r="J963" i="3"/>
  <c r="I963" i="3"/>
  <c r="H963" i="3"/>
  <c r="L962" i="3"/>
  <c r="J962" i="3"/>
  <c r="I962" i="3"/>
  <c r="H962" i="3"/>
  <c r="L961" i="3"/>
  <c r="J961" i="3"/>
  <c r="I961" i="3"/>
  <c r="H961" i="3"/>
  <c r="L960" i="3"/>
  <c r="J960" i="3"/>
  <c r="I960" i="3"/>
  <c r="H960" i="3"/>
  <c r="L959" i="3"/>
  <c r="J959" i="3"/>
  <c r="I959" i="3"/>
  <c r="H959" i="3"/>
  <c r="L958" i="3"/>
  <c r="J958" i="3"/>
  <c r="I958" i="3"/>
  <c r="H958" i="3"/>
  <c r="L957" i="3"/>
  <c r="J957" i="3"/>
  <c r="I957" i="3"/>
  <c r="H957" i="3"/>
  <c r="L956" i="3"/>
  <c r="J956" i="3"/>
  <c r="I956" i="3"/>
  <c r="H956" i="3"/>
  <c r="L955" i="3"/>
  <c r="J955" i="3"/>
  <c r="I955" i="3"/>
  <c r="H955" i="3"/>
  <c r="L954" i="3"/>
  <c r="J954" i="3"/>
  <c r="I954" i="3"/>
  <c r="H954" i="3"/>
  <c r="L953" i="3"/>
  <c r="J953" i="3"/>
  <c r="I953" i="3"/>
  <c r="H953" i="3"/>
  <c r="L952" i="3"/>
  <c r="J952" i="3"/>
  <c r="I952" i="3"/>
  <c r="H952" i="3"/>
  <c r="L951" i="3"/>
  <c r="J951" i="3"/>
  <c r="I951" i="3"/>
  <c r="H951" i="3"/>
  <c r="L950" i="3"/>
  <c r="J950" i="3"/>
  <c r="I950" i="3"/>
  <c r="H950" i="3"/>
  <c r="L949" i="3"/>
  <c r="J949" i="3"/>
  <c r="I949" i="3"/>
  <c r="H949" i="3"/>
  <c r="L948" i="3"/>
  <c r="J948" i="3"/>
  <c r="I948" i="3"/>
  <c r="H948" i="3"/>
  <c r="L947" i="3"/>
  <c r="J947" i="3"/>
  <c r="I947" i="3"/>
  <c r="H947" i="3"/>
  <c r="L946" i="3"/>
  <c r="J946" i="3"/>
  <c r="I946" i="3"/>
  <c r="H946" i="3"/>
  <c r="L945" i="3"/>
  <c r="J945" i="3"/>
  <c r="I945" i="3"/>
  <c r="H945" i="3"/>
  <c r="L944" i="3"/>
  <c r="J944" i="3"/>
  <c r="I944" i="3"/>
  <c r="H944" i="3"/>
  <c r="L943" i="3"/>
  <c r="J943" i="3"/>
  <c r="I943" i="3"/>
  <c r="H943" i="3"/>
  <c r="L942" i="3"/>
  <c r="J942" i="3"/>
  <c r="I942" i="3"/>
  <c r="H942" i="3"/>
  <c r="L941" i="3"/>
  <c r="J941" i="3"/>
  <c r="I941" i="3"/>
  <c r="H941" i="3"/>
  <c r="L940" i="3"/>
  <c r="J940" i="3"/>
  <c r="I940" i="3"/>
  <c r="H940" i="3"/>
  <c r="L939" i="3"/>
  <c r="J939" i="3"/>
  <c r="I939" i="3"/>
  <c r="H939" i="3"/>
  <c r="L938" i="3"/>
  <c r="J938" i="3"/>
  <c r="I938" i="3"/>
  <c r="H938" i="3"/>
  <c r="L937" i="3"/>
  <c r="J937" i="3"/>
  <c r="I937" i="3"/>
  <c r="H937" i="3"/>
  <c r="L936" i="3"/>
  <c r="J936" i="3"/>
  <c r="I936" i="3"/>
  <c r="H936" i="3"/>
  <c r="L935" i="3"/>
  <c r="J935" i="3"/>
  <c r="I935" i="3"/>
  <c r="H935" i="3"/>
  <c r="L934" i="3"/>
  <c r="J934" i="3"/>
  <c r="I934" i="3"/>
  <c r="H934" i="3"/>
  <c r="L933" i="3"/>
  <c r="J933" i="3"/>
  <c r="I933" i="3"/>
  <c r="H933" i="3"/>
  <c r="L932" i="3"/>
  <c r="J932" i="3"/>
  <c r="I932" i="3"/>
  <c r="H932" i="3"/>
  <c r="L931" i="3"/>
  <c r="J931" i="3"/>
  <c r="I931" i="3"/>
  <c r="H931" i="3"/>
  <c r="L930" i="3"/>
  <c r="J930" i="3"/>
  <c r="I930" i="3"/>
  <c r="H930" i="3"/>
  <c r="L929" i="3"/>
  <c r="J929" i="3"/>
  <c r="I929" i="3"/>
  <c r="H929" i="3"/>
  <c r="L928" i="3"/>
  <c r="J928" i="3"/>
  <c r="I928" i="3"/>
  <c r="H928" i="3"/>
  <c r="L927" i="3"/>
  <c r="J927" i="3"/>
  <c r="I927" i="3"/>
  <c r="H927" i="3"/>
  <c r="L926" i="3"/>
  <c r="J926" i="3"/>
  <c r="I926" i="3"/>
  <c r="H926" i="3"/>
  <c r="L925" i="3"/>
  <c r="J925" i="3"/>
  <c r="I925" i="3"/>
  <c r="H925" i="3"/>
  <c r="L924" i="3"/>
  <c r="J924" i="3"/>
  <c r="I924" i="3"/>
  <c r="H924" i="3"/>
  <c r="L923" i="3"/>
  <c r="J923" i="3"/>
  <c r="I923" i="3"/>
  <c r="H923" i="3"/>
  <c r="L922" i="3"/>
  <c r="J922" i="3"/>
  <c r="I922" i="3"/>
  <c r="H922" i="3"/>
  <c r="L921" i="3"/>
  <c r="J921" i="3"/>
  <c r="I921" i="3"/>
  <c r="H921" i="3"/>
  <c r="L920" i="3"/>
  <c r="J920" i="3"/>
  <c r="I920" i="3"/>
  <c r="H920" i="3"/>
  <c r="L919" i="3"/>
  <c r="J919" i="3"/>
  <c r="I919" i="3"/>
  <c r="H919" i="3"/>
  <c r="L918" i="3"/>
  <c r="J918" i="3"/>
  <c r="I918" i="3"/>
  <c r="H918" i="3"/>
  <c r="L917" i="3"/>
  <c r="J917" i="3"/>
  <c r="I917" i="3"/>
  <c r="H917" i="3"/>
  <c r="L916" i="3"/>
  <c r="J916" i="3"/>
  <c r="I916" i="3"/>
  <c r="H916" i="3"/>
  <c r="L915" i="3"/>
  <c r="J915" i="3"/>
  <c r="I915" i="3"/>
  <c r="H915" i="3"/>
  <c r="L914" i="3"/>
  <c r="J914" i="3"/>
  <c r="I914" i="3"/>
  <c r="H914" i="3"/>
  <c r="L913" i="3"/>
  <c r="J913" i="3"/>
  <c r="I913" i="3"/>
  <c r="H913" i="3"/>
  <c r="L912" i="3"/>
  <c r="J912" i="3"/>
  <c r="I912" i="3"/>
  <c r="H912" i="3"/>
  <c r="L911" i="3"/>
  <c r="J911" i="3"/>
  <c r="I911" i="3"/>
  <c r="H911" i="3"/>
  <c r="L910" i="3"/>
  <c r="J910" i="3"/>
  <c r="I910" i="3"/>
  <c r="H910" i="3"/>
  <c r="L909" i="3"/>
  <c r="J909" i="3"/>
  <c r="I909" i="3"/>
  <c r="H909" i="3"/>
  <c r="L908" i="3"/>
  <c r="J908" i="3"/>
  <c r="I908" i="3"/>
  <c r="H908" i="3"/>
  <c r="L907" i="3"/>
  <c r="J907" i="3"/>
  <c r="I907" i="3"/>
  <c r="H907" i="3"/>
  <c r="L906" i="3"/>
  <c r="J906" i="3"/>
  <c r="I906" i="3"/>
  <c r="H906" i="3"/>
  <c r="L905" i="3"/>
  <c r="J905" i="3"/>
  <c r="I905" i="3"/>
  <c r="H905" i="3"/>
  <c r="L904" i="3"/>
  <c r="J904" i="3"/>
  <c r="I904" i="3"/>
  <c r="H904" i="3"/>
  <c r="L903" i="3"/>
  <c r="J903" i="3"/>
  <c r="I903" i="3"/>
  <c r="H903" i="3"/>
  <c r="L902" i="3"/>
  <c r="J902" i="3"/>
  <c r="I902" i="3"/>
  <c r="H902" i="3"/>
  <c r="L901" i="3"/>
  <c r="J901" i="3"/>
  <c r="I901" i="3"/>
  <c r="H901" i="3"/>
  <c r="L900" i="3"/>
  <c r="J900" i="3"/>
  <c r="I900" i="3"/>
  <c r="H900" i="3"/>
  <c r="L899" i="3"/>
  <c r="J899" i="3"/>
  <c r="I899" i="3"/>
  <c r="H899" i="3"/>
  <c r="L898" i="3"/>
  <c r="J898" i="3"/>
  <c r="I898" i="3"/>
  <c r="H898" i="3"/>
  <c r="L897" i="3"/>
  <c r="J897" i="3"/>
  <c r="I897" i="3"/>
  <c r="H897" i="3"/>
  <c r="L896" i="3"/>
  <c r="J896" i="3"/>
  <c r="I896" i="3"/>
  <c r="H896" i="3"/>
  <c r="L895" i="3"/>
  <c r="J895" i="3"/>
  <c r="I895" i="3"/>
  <c r="H895" i="3"/>
  <c r="L894" i="3"/>
  <c r="J894" i="3"/>
  <c r="I894" i="3"/>
  <c r="H894" i="3"/>
  <c r="L893" i="3"/>
  <c r="J893" i="3"/>
  <c r="I893" i="3"/>
  <c r="H893" i="3"/>
  <c r="L892" i="3"/>
  <c r="J892" i="3"/>
  <c r="I892" i="3"/>
  <c r="H892" i="3"/>
  <c r="L891" i="3"/>
  <c r="J891" i="3"/>
  <c r="I891" i="3"/>
  <c r="H891" i="3"/>
  <c r="L890" i="3"/>
  <c r="J890" i="3"/>
  <c r="I890" i="3"/>
  <c r="H890" i="3"/>
  <c r="L889" i="3"/>
  <c r="J889" i="3"/>
  <c r="I889" i="3"/>
  <c r="H889" i="3"/>
  <c r="L888" i="3"/>
  <c r="J888" i="3"/>
  <c r="I888" i="3"/>
  <c r="H888" i="3"/>
  <c r="L887" i="3"/>
  <c r="J887" i="3"/>
  <c r="I887" i="3"/>
  <c r="H887" i="3"/>
  <c r="L886" i="3"/>
  <c r="J886" i="3"/>
  <c r="I886" i="3"/>
  <c r="H886" i="3"/>
  <c r="L885" i="3"/>
  <c r="J885" i="3"/>
  <c r="I885" i="3"/>
  <c r="H885" i="3"/>
  <c r="L884" i="3"/>
  <c r="J884" i="3"/>
  <c r="I884" i="3"/>
  <c r="H884" i="3"/>
  <c r="L883" i="3"/>
  <c r="J883" i="3"/>
  <c r="I883" i="3"/>
  <c r="H883" i="3"/>
  <c r="L882" i="3"/>
  <c r="J882" i="3"/>
  <c r="I882" i="3"/>
  <c r="H882" i="3"/>
  <c r="L881" i="3"/>
  <c r="J881" i="3"/>
  <c r="I881" i="3"/>
  <c r="H881" i="3"/>
  <c r="L880" i="3"/>
  <c r="J880" i="3"/>
  <c r="I880" i="3"/>
  <c r="H880" i="3"/>
  <c r="L879" i="3"/>
  <c r="J879" i="3"/>
  <c r="I879" i="3"/>
  <c r="H879" i="3"/>
  <c r="L878" i="3"/>
  <c r="J878" i="3"/>
  <c r="I878" i="3"/>
  <c r="H878" i="3"/>
  <c r="L877" i="3"/>
  <c r="J877" i="3"/>
  <c r="I877" i="3"/>
  <c r="H877" i="3"/>
  <c r="L876" i="3"/>
  <c r="J876" i="3"/>
  <c r="I876" i="3"/>
  <c r="H876" i="3"/>
  <c r="L875" i="3"/>
  <c r="J875" i="3"/>
  <c r="I875" i="3"/>
  <c r="H875" i="3"/>
  <c r="L874" i="3"/>
  <c r="J874" i="3"/>
  <c r="I874" i="3"/>
  <c r="H874" i="3"/>
  <c r="L873" i="3"/>
  <c r="J873" i="3"/>
  <c r="I873" i="3"/>
  <c r="H873" i="3"/>
  <c r="L872" i="3"/>
  <c r="J872" i="3"/>
  <c r="I872" i="3"/>
  <c r="H872" i="3"/>
  <c r="L871" i="3"/>
  <c r="J871" i="3"/>
  <c r="I871" i="3"/>
  <c r="H871" i="3"/>
  <c r="L870" i="3"/>
  <c r="J870" i="3"/>
  <c r="I870" i="3"/>
  <c r="H870" i="3"/>
  <c r="L869" i="3"/>
  <c r="J869" i="3"/>
  <c r="I869" i="3"/>
  <c r="H869" i="3"/>
  <c r="L868" i="3"/>
  <c r="J868" i="3"/>
  <c r="I868" i="3"/>
  <c r="H868" i="3"/>
  <c r="L867" i="3"/>
  <c r="J867" i="3"/>
  <c r="I867" i="3"/>
  <c r="H867" i="3"/>
  <c r="L866" i="3"/>
  <c r="J866" i="3"/>
  <c r="I866" i="3"/>
  <c r="H866" i="3"/>
  <c r="L865" i="3"/>
  <c r="J865" i="3"/>
  <c r="I865" i="3"/>
  <c r="H865" i="3"/>
  <c r="L864" i="3"/>
  <c r="J864" i="3"/>
  <c r="I864" i="3"/>
  <c r="H864" i="3"/>
  <c r="L863" i="3"/>
  <c r="J863" i="3"/>
  <c r="I863" i="3"/>
  <c r="H863" i="3"/>
  <c r="L862" i="3"/>
  <c r="J862" i="3"/>
  <c r="I862" i="3"/>
  <c r="H862" i="3"/>
  <c r="L861" i="3"/>
  <c r="J861" i="3"/>
  <c r="I861" i="3"/>
  <c r="H861" i="3"/>
  <c r="L860" i="3"/>
  <c r="J860" i="3"/>
  <c r="I860" i="3"/>
  <c r="H860" i="3"/>
  <c r="L859" i="3"/>
  <c r="J859" i="3"/>
  <c r="I859" i="3"/>
  <c r="H859" i="3"/>
  <c r="L858" i="3"/>
  <c r="J858" i="3"/>
  <c r="I858" i="3"/>
  <c r="H858" i="3"/>
  <c r="L857" i="3"/>
  <c r="J857" i="3"/>
  <c r="I857" i="3"/>
  <c r="H857" i="3"/>
  <c r="L856" i="3"/>
  <c r="J856" i="3"/>
  <c r="I856" i="3"/>
  <c r="H856" i="3"/>
  <c r="L855" i="3"/>
  <c r="J855" i="3"/>
  <c r="I855" i="3"/>
  <c r="H855" i="3"/>
  <c r="L854" i="3"/>
  <c r="J854" i="3"/>
  <c r="I854" i="3"/>
  <c r="H854" i="3"/>
  <c r="L853" i="3"/>
  <c r="J853" i="3"/>
  <c r="I853" i="3"/>
  <c r="H853" i="3"/>
  <c r="L852" i="3"/>
  <c r="J852" i="3"/>
  <c r="I852" i="3"/>
  <c r="H852" i="3"/>
  <c r="L851" i="3"/>
  <c r="J851" i="3"/>
  <c r="I851" i="3"/>
  <c r="H851" i="3"/>
  <c r="L850" i="3"/>
  <c r="J850" i="3"/>
  <c r="I850" i="3"/>
  <c r="H850" i="3"/>
  <c r="L849" i="3"/>
  <c r="J849" i="3"/>
  <c r="I849" i="3"/>
  <c r="H849" i="3"/>
  <c r="L848" i="3"/>
  <c r="J848" i="3"/>
  <c r="I848" i="3"/>
  <c r="H848" i="3"/>
  <c r="L847" i="3"/>
  <c r="J847" i="3"/>
  <c r="I847" i="3"/>
  <c r="H847" i="3"/>
  <c r="L846" i="3"/>
  <c r="J846" i="3"/>
  <c r="I846" i="3"/>
  <c r="H846" i="3"/>
  <c r="L845" i="3"/>
  <c r="J845" i="3"/>
  <c r="I845" i="3"/>
  <c r="H845" i="3"/>
  <c r="L844" i="3"/>
  <c r="J844" i="3"/>
  <c r="I844" i="3"/>
  <c r="H844" i="3"/>
  <c r="L843" i="3"/>
  <c r="J843" i="3"/>
  <c r="I843" i="3"/>
  <c r="H843" i="3"/>
  <c r="L842" i="3"/>
  <c r="J842" i="3"/>
  <c r="I842" i="3"/>
  <c r="H842" i="3"/>
  <c r="L841" i="3"/>
  <c r="J841" i="3"/>
  <c r="I841" i="3"/>
  <c r="H841" i="3"/>
  <c r="L840" i="3"/>
  <c r="J840" i="3"/>
  <c r="I840" i="3"/>
  <c r="H840" i="3"/>
  <c r="L839" i="3"/>
  <c r="J839" i="3"/>
  <c r="I839" i="3"/>
  <c r="H839" i="3"/>
  <c r="L838" i="3"/>
  <c r="J838" i="3"/>
  <c r="I838" i="3"/>
  <c r="H838" i="3"/>
  <c r="L837" i="3"/>
  <c r="J837" i="3"/>
  <c r="I837" i="3"/>
  <c r="H837" i="3"/>
  <c r="L836" i="3"/>
  <c r="J836" i="3"/>
  <c r="I836" i="3"/>
  <c r="H836" i="3"/>
  <c r="L835" i="3"/>
  <c r="J835" i="3"/>
  <c r="I835" i="3"/>
  <c r="H835" i="3"/>
  <c r="L834" i="3"/>
  <c r="J834" i="3"/>
  <c r="I834" i="3"/>
  <c r="H834" i="3"/>
  <c r="L833" i="3"/>
  <c r="J833" i="3"/>
  <c r="I833" i="3"/>
  <c r="H833" i="3"/>
  <c r="L832" i="3"/>
  <c r="J832" i="3"/>
  <c r="I832" i="3"/>
  <c r="H832" i="3"/>
  <c r="L831" i="3"/>
  <c r="J831" i="3"/>
  <c r="I831" i="3"/>
  <c r="H831" i="3"/>
  <c r="L830" i="3"/>
  <c r="J830" i="3"/>
  <c r="I830" i="3"/>
  <c r="H830" i="3"/>
  <c r="L829" i="3"/>
  <c r="J829" i="3"/>
  <c r="I829" i="3"/>
  <c r="H829" i="3"/>
  <c r="L828" i="3"/>
  <c r="J828" i="3"/>
  <c r="I828" i="3"/>
  <c r="H828" i="3"/>
  <c r="L827" i="3"/>
  <c r="J827" i="3"/>
  <c r="I827" i="3"/>
  <c r="H827" i="3"/>
  <c r="L826" i="3"/>
  <c r="J826" i="3"/>
  <c r="I826" i="3"/>
  <c r="H826" i="3"/>
  <c r="L825" i="3"/>
  <c r="J825" i="3"/>
  <c r="I825" i="3"/>
  <c r="H825" i="3"/>
  <c r="L824" i="3"/>
  <c r="J824" i="3"/>
  <c r="I824" i="3"/>
  <c r="H824" i="3"/>
  <c r="L823" i="3"/>
  <c r="J823" i="3"/>
  <c r="I823" i="3"/>
  <c r="H823" i="3"/>
  <c r="L822" i="3"/>
  <c r="J822" i="3"/>
  <c r="I822" i="3"/>
  <c r="H822" i="3"/>
  <c r="L821" i="3"/>
  <c r="J821" i="3"/>
  <c r="I821" i="3"/>
  <c r="H821" i="3"/>
  <c r="L820" i="3"/>
  <c r="J820" i="3"/>
  <c r="I820" i="3"/>
  <c r="H820" i="3"/>
  <c r="L819" i="3"/>
  <c r="J819" i="3"/>
  <c r="I819" i="3"/>
  <c r="H819" i="3"/>
  <c r="L818" i="3"/>
  <c r="J818" i="3"/>
  <c r="I818" i="3"/>
  <c r="H818" i="3"/>
  <c r="L817" i="3"/>
  <c r="J817" i="3"/>
  <c r="I817" i="3"/>
  <c r="H817" i="3"/>
  <c r="L816" i="3"/>
  <c r="J816" i="3"/>
  <c r="I816" i="3"/>
  <c r="H816" i="3"/>
  <c r="L815" i="3"/>
  <c r="J815" i="3"/>
  <c r="I815" i="3"/>
  <c r="H815" i="3"/>
  <c r="L814" i="3"/>
  <c r="J814" i="3"/>
  <c r="I814" i="3"/>
  <c r="H814" i="3"/>
  <c r="L813" i="3"/>
  <c r="J813" i="3"/>
  <c r="I813" i="3"/>
  <c r="H813" i="3"/>
  <c r="L812" i="3"/>
  <c r="J812" i="3"/>
  <c r="I812" i="3"/>
  <c r="H812" i="3"/>
  <c r="L811" i="3"/>
  <c r="J811" i="3"/>
  <c r="I811" i="3"/>
  <c r="H811" i="3"/>
  <c r="L810" i="3"/>
  <c r="J810" i="3"/>
  <c r="I810" i="3"/>
  <c r="H810" i="3"/>
  <c r="L809" i="3"/>
  <c r="J809" i="3"/>
  <c r="I809" i="3"/>
  <c r="H809" i="3"/>
  <c r="L808" i="3"/>
  <c r="J808" i="3"/>
  <c r="I808" i="3"/>
  <c r="H808" i="3"/>
  <c r="L807" i="3"/>
  <c r="J807" i="3"/>
  <c r="I807" i="3"/>
  <c r="H807" i="3"/>
  <c r="L806" i="3"/>
  <c r="J806" i="3"/>
  <c r="I806" i="3"/>
  <c r="H806" i="3"/>
  <c r="L805" i="3"/>
  <c r="J805" i="3"/>
  <c r="I805" i="3"/>
  <c r="H805" i="3"/>
  <c r="L804" i="3"/>
  <c r="J804" i="3"/>
  <c r="I804" i="3"/>
  <c r="H804" i="3"/>
  <c r="L803" i="3"/>
  <c r="J803" i="3"/>
  <c r="I803" i="3"/>
  <c r="H803" i="3"/>
  <c r="L802" i="3"/>
  <c r="J802" i="3"/>
  <c r="I802" i="3"/>
  <c r="H802" i="3"/>
  <c r="L801" i="3"/>
  <c r="J801" i="3"/>
  <c r="I801" i="3"/>
  <c r="H801" i="3"/>
  <c r="L800" i="3"/>
  <c r="J800" i="3"/>
  <c r="I800" i="3"/>
  <c r="H800" i="3"/>
  <c r="L799" i="3"/>
  <c r="J799" i="3"/>
  <c r="I799" i="3"/>
  <c r="H799" i="3"/>
  <c r="L798" i="3"/>
  <c r="J798" i="3"/>
  <c r="I798" i="3"/>
  <c r="H798" i="3"/>
  <c r="L797" i="3"/>
  <c r="J797" i="3"/>
  <c r="I797" i="3"/>
  <c r="H797" i="3"/>
  <c r="L796" i="3"/>
  <c r="J796" i="3"/>
  <c r="I796" i="3"/>
  <c r="H796" i="3"/>
  <c r="L795" i="3"/>
  <c r="J795" i="3"/>
  <c r="I795" i="3"/>
  <c r="H795" i="3"/>
  <c r="L794" i="3"/>
  <c r="J794" i="3"/>
  <c r="I794" i="3"/>
  <c r="H794" i="3"/>
  <c r="L793" i="3"/>
  <c r="J793" i="3"/>
  <c r="I793" i="3"/>
  <c r="H793" i="3"/>
  <c r="L792" i="3"/>
  <c r="J792" i="3"/>
  <c r="I792" i="3"/>
  <c r="H792" i="3"/>
  <c r="L791" i="3"/>
  <c r="J791" i="3"/>
  <c r="I791" i="3"/>
  <c r="H791" i="3"/>
  <c r="L790" i="3"/>
  <c r="J790" i="3"/>
  <c r="I790" i="3"/>
  <c r="H790" i="3"/>
  <c r="L789" i="3"/>
  <c r="J789" i="3"/>
  <c r="I789" i="3"/>
  <c r="H789" i="3"/>
  <c r="L788" i="3"/>
  <c r="J788" i="3"/>
  <c r="I788" i="3"/>
  <c r="H788" i="3"/>
  <c r="L787" i="3"/>
  <c r="J787" i="3"/>
  <c r="I787" i="3"/>
  <c r="H787" i="3"/>
  <c r="L786" i="3"/>
  <c r="J786" i="3"/>
  <c r="I786" i="3"/>
  <c r="H786" i="3"/>
  <c r="L785" i="3"/>
  <c r="J785" i="3"/>
  <c r="I785" i="3"/>
  <c r="H785" i="3"/>
  <c r="L784" i="3"/>
  <c r="J784" i="3"/>
  <c r="I784" i="3"/>
  <c r="H784" i="3"/>
  <c r="L783" i="3"/>
  <c r="J783" i="3"/>
  <c r="I783" i="3"/>
  <c r="H783" i="3"/>
  <c r="L782" i="3"/>
  <c r="J782" i="3"/>
  <c r="I782" i="3"/>
  <c r="H782" i="3"/>
  <c r="L781" i="3"/>
  <c r="J781" i="3"/>
  <c r="I781" i="3"/>
  <c r="H781" i="3"/>
  <c r="L780" i="3"/>
  <c r="J780" i="3"/>
  <c r="I780" i="3"/>
  <c r="H780" i="3"/>
  <c r="L779" i="3"/>
  <c r="J779" i="3"/>
  <c r="I779" i="3"/>
  <c r="H779" i="3"/>
  <c r="L778" i="3"/>
  <c r="J778" i="3"/>
  <c r="I778" i="3"/>
  <c r="H778" i="3"/>
  <c r="L777" i="3"/>
  <c r="J777" i="3"/>
  <c r="I777" i="3"/>
  <c r="H777" i="3"/>
  <c r="L776" i="3"/>
  <c r="J776" i="3"/>
  <c r="I776" i="3"/>
  <c r="H776" i="3"/>
  <c r="L775" i="3"/>
  <c r="J775" i="3"/>
  <c r="I775" i="3"/>
  <c r="H775" i="3"/>
  <c r="L774" i="3"/>
  <c r="J774" i="3"/>
  <c r="I774" i="3"/>
  <c r="H774" i="3"/>
  <c r="L773" i="3"/>
  <c r="J773" i="3"/>
  <c r="I773" i="3"/>
  <c r="H773" i="3"/>
  <c r="L772" i="3"/>
  <c r="J772" i="3"/>
  <c r="I772" i="3"/>
  <c r="H772" i="3"/>
  <c r="L771" i="3"/>
  <c r="J771" i="3"/>
  <c r="I771" i="3"/>
  <c r="H771" i="3"/>
  <c r="L770" i="3"/>
  <c r="J770" i="3"/>
  <c r="I770" i="3"/>
  <c r="H770" i="3"/>
  <c r="L769" i="3"/>
  <c r="J769" i="3"/>
  <c r="I769" i="3"/>
  <c r="H769" i="3"/>
  <c r="L768" i="3"/>
  <c r="J768" i="3"/>
  <c r="I768" i="3"/>
  <c r="H768" i="3"/>
  <c r="L767" i="3"/>
  <c r="J767" i="3"/>
  <c r="I767" i="3"/>
  <c r="H767" i="3"/>
  <c r="L766" i="3"/>
  <c r="J766" i="3"/>
  <c r="I766" i="3"/>
  <c r="H766" i="3"/>
  <c r="L765" i="3"/>
  <c r="J765" i="3"/>
  <c r="I765" i="3"/>
  <c r="H765" i="3"/>
  <c r="L764" i="3"/>
  <c r="J764" i="3"/>
  <c r="I764" i="3"/>
  <c r="H764" i="3"/>
  <c r="L763" i="3"/>
  <c r="J763" i="3"/>
  <c r="I763" i="3"/>
  <c r="H763" i="3"/>
  <c r="L762" i="3"/>
  <c r="J762" i="3"/>
  <c r="I762" i="3"/>
  <c r="H762" i="3"/>
  <c r="L761" i="3"/>
  <c r="J761" i="3"/>
  <c r="I761" i="3"/>
  <c r="H761" i="3"/>
  <c r="L760" i="3"/>
  <c r="J760" i="3"/>
  <c r="I760" i="3"/>
  <c r="H760" i="3"/>
  <c r="L759" i="3"/>
  <c r="J759" i="3"/>
  <c r="I759" i="3"/>
  <c r="H759" i="3"/>
  <c r="L758" i="3"/>
  <c r="J758" i="3"/>
  <c r="I758" i="3"/>
  <c r="H758" i="3"/>
  <c r="L757" i="3"/>
  <c r="J757" i="3"/>
  <c r="I757" i="3"/>
  <c r="H757" i="3"/>
  <c r="L756" i="3"/>
  <c r="J756" i="3"/>
  <c r="I756" i="3"/>
  <c r="H756" i="3"/>
  <c r="L755" i="3"/>
  <c r="J755" i="3"/>
  <c r="I755" i="3"/>
  <c r="H755" i="3"/>
  <c r="L754" i="3"/>
  <c r="J754" i="3"/>
  <c r="I754" i="3"/>
  <c r="H754" i="3"/>
  <c r="L753" i="3"/>
  <c r="J753" i="3"/>
  <c r="I753" i="3"/>
  <c r="H753" i="3"/>
  <c r="L752" i="3"/>
  <c r="J752" i="3"/>
  <c r="I752" i="3"/>
  <c r="H752" i="3"/>
  <c r="L751" i="3"/>
  <c r="J751" i="3"/>
  <c r="I751" i="3"/>
  <c r="H751" i="3"/>
  <c r="L750" i="3"/>
  <c r="J750" i="3"/>
  <c r="I750" i="3"/>
  <c r="H750" i="3"/>
  <c r="L749" i="3"/>
  <c r="J749" i="3"/>
  <c r="I749" i="3"/>
  <c r="H749" i="3"/>
  <c r="L748" i="3"/>
  <c r="J748" i="3"/>
  <c r="I748" i="3"/>
  <c r="H748" i="3"/>
  <c r="L747" i="3"/>
  <c r="J747" i="3"/>
  <c r="I747" i="3"/>
  <c r="H747" i="3"/>
  <c r="L746" i="3"/>
  <c r="J746" i="3"/>
  <c r="I746" i="3"/>
  <c r="H746" i="3"/>
  <c r="L745" i="3"/>
  <c r="J745" i="3"/>
  <c r="I745" i="3"/>
  <c r="H745" i="3"/>
  <c r="L744" i="3"/>
  <c r="J744" i="3"/>
  <c r="I744" i="3"/>
  <c r="H744" i="3"/>
  <c r="L743" i="3"/>
  <c r="J743" i="3"/>
  <c r="I743" i="3"/>
  <c r="H743" i="3"/>
  <c r="L742" i="3"/>
  <c r="J742" i="3"/>
  <c r="I742" i="3"/>
  <c r="H742" i="3"/>
  <c r="L741" i="3"/>
  <c r="J741" i="3"/>
  <c r="I741" i="3"/>
  <c r="H741" i="3"/>
  <c r="L740" i="3"/>
  <c r="J740" i="3"/>
  <c r="I740" i="3"/>
  <c r="H740" i="3"/>
  <c r="L739" i="3"/>
  <c r="J739" i="3"/>
  <c r="I739" i="3"/>
  <c r="H739" i="3"/>
  <c r="L738" i="3"/>
  <c r="J738" i="3"/>
  <c r="I738" i="3"/>
  <c r="H738" i="3"/>
  <c r="L737" i="3"/>
  <c r="J737" i="3"/>
  <c r="I737" i="3"/>
  <c r="H737" i="3"/>
  <c r="L736" i="3"/>
  <c r="J736" i="3"/>
  <c r="I736" i="3"/>
  <c r="H736" i="3"/>
  <c r="L735" i="3"/>
  <c r="J735" i="3"/>
  <c r="I735" i="3"/>
  <c r="H735" i="3"/>
  <c r="L734" i="3"/>
  <c r="J734" i="3"/>
  <c r="I734" i="3"/>
  <c r="H734" i="3"/>
  <c r="L733" i="3"/>
  <c r="J733" i="3"/>
  <c r="I733" i="3"/>
  <c r="H733" i="3"/>
  <c r="L732" i="3"/>
  <c r="J732" i="3"/>
  <c r="I732" i="3"/>
  <c r="H732" i="3"/>
  <c r="L731" i="3"/>
  <c r="J731" i="3"/>
  <c r="I731" i="3"/>
  <c r="H731" i="3"/>
  <c r="L730" i="3"/>
  <c r="J730" i="3"/>
  <c r="I730" i="3"/>
  <c r="H730" i="3"/>
  <c r="L729" i="3"/>
  <c r="J729" i="3"/>
  <c r="I729" i="3"/>
  <c r="H729" i="3"/>
  <c r="L728" i="3"/>
  <c r="J728" i="3"/>
  <c r="I728" i="3"/>
  <c r="H728" i="3"/>
  <c r="L727" i="3"/>
  <c r="J727" i="3"/>
  <c r="I727" i="3"/>
  <c r="H727" i="3"/>
  <c r="L726" i="3"/>
  <c r="J726" i="3"/>
  <c r="I726" i="3"/>
  <c r="H726" i="3"/>
  <c r="L725" i="3"/>
  <c r="J725" i="3"/>
  <c r="I725" i="3"/>
  <c r="H725" i="3"/>
  <c r="L724" i="3"/>
  <c r="J724" i="3"/>
  <c r="I724" i="3"/>
  <c r="H724" i="3"/>
  <c r="L723" i="3"/>
  <c r="J723" i="3"/>
  <c r="I723" i="3"/>
  <c r="H723" i="3"/>
  <c r="L722" i="3"/>
  <c r="J722" i="3"/>
  <c r="I722" i="3"/>
  <c r="H722" i="3"/>
  <c r="L721" i="3"/>
  <c r="J721" i="3"/>
  <c r="I721" i="3"/>
  <c r="H721" i="3"/>
  <c r="L720" i="3"/>
  <c r="J720" i="3"/>
  <c r="I720" i="3"/>
  <c r="H720" i="3"/>
  <c r="L719" i="3"/>
  <c r="J719" i="3"/>
  <c r="I719" i="3"/>
  <c r="H719" i="3"/>
  <c r="L718" i="3"/>
  <c r="J718" i="3"/>
  <c r="I718" i="3"/>
  <c r="H718" i="3"/>
  <c r="L717" i="3"/>
  <c r="J717" i="3"/>
  <c r="I717" i="3"/>
  <c r="H717" i="3"/>
  <c r="L716" i="3"/>
  <c r="J716" i="3"/>
  <c r="I716" i="3"/>
  <c r="H716" i="3"/>
  <c r="L715" i="3"/>
  <c r="J715" i="3"/>
  <c r="I715" i="3"/>
  <c r="H715" i="3"/>
  <c r="L714" i="3"/>
  <c r="J714" i="3"/>
  <c r="I714" i="3"/>
  <c r="H714" i="3"/>
  <c r="L713" i="3"/>
  <c r="J713" i="3"/>
  <c r="I713" i="3"/>
  <c r="H713" i="3"/>
  <c r="L712" i="3"/>
  <c r="J712" i="3"/>
  <c r="I712" i="3"/>
  <c r="H712" i="3"/>
  <c r="L711" i="3"/>
  <c r="J711" i="3"/>
  <c r="I711" i="3"/>
  <c r="H711" i="3"/>
  <c r="L710" i="3"/>
  <c r="J710" i="3"/>
  <c r="I710" i="3"/>
  <c r="H710" i="3"/>
  <c r="L709" i="3"/>
  <c r="J709" i="3"/>
  <c r="I709" i="3"/>
  <c r="H709" i="3"/>
  <c r="L708" i="3"/>
  <c r="J708" i="3"/>
  <c r="I708" i="3"/>
  <c r="H708" i="3"/>
  <c r="L707" i="3"/>
  <c r="J707" i="3"/>
  <c r="I707" i="3"/>
  <c r="H707" i="3"/>
  <c r="L706" i="3"/>
  <c r="J706" i="3"/>
  <c r="I706" i="3"/>
  <c r="H706" i="3"/>
  <c r="L705" i="3"/>
  <c r="J705" i="3"/>
  <c r="I705" i="3"/>
  <c r="H705" i="3"/>
  <c r="L704" i="3"/>
  <c r="J704" i="3"/>
  <c r="I704" i="3"/>
  <c r="H704" i="3"/>
  <c r="L703" i="3"/>
  <c r="J703" i="3"/>
  <c r="I703" i="3"/>
  <c r="H703" i="3"/>
  <c r="L702" i="3"/>
  <c r="J702" i="3"/>
  <c r="I702" i="3"/>
  <c r="H702" i="3"/>
  <c r="L701" i="3"/>
  <c r="J701" i="3"/>
  <c r="I701" i="3"/>
  <c r="H701" i="3"/>
  <c r="L700" i="3"/>
  <c r="J700" i="3"/>
  <c r="I700" i="3"/>
  <c r="H700" i="3"/>
  <c r="L699" i="3"/>
  <c r="J699" i="3"/>
  <c r="I699" i="3"/>
  <c r="H699" i="3"/>
  <c r="L698" i="3"/>
  <c r="J698" i="3"/>
  <c r="I698" i="3"/>
  <c r="H698" i="3"/>
  <c r="L697" i="3"/>
  <c r="J697" i="3"/>
  <c r="I697" i="3"/>
  <c r="H697" i="3"/>
  <c r="L696" i="3"/>
  <c r="J696" i="3"/>
  <c r="I696" i="3"/>
  <c r="H696" i="3"/>
  <c r="L695" i="3"/>
  <c r="J695" i="3"/>
  <c r="I695" i="3"/>
  <c r="H695" i="3"/>
  <c r="L694" i="3"/>
  <c r="J694" i="3"/>
  <c r="I694" i="3"/>
  <c r="H694" i="3"/>
  <c r="L693" i="3"/>
  <c r="J693" i="3"/>
  <c r="I693" i="3"/>
  <c r="H693" i="3"/>
  <c r="L692" i="3"/>
  <c r="J692" i="3"/>
  <c r="I692" i="3"/>
  <c r="H692" i="3"/>
  <c r="L691" i="3"/>
  <c r="J691" i="3"/>
  <c r="I691" i="3"/>
  <c r="H691" i="3"/>
  <c r="L690" i="3"/>
  <c r="J690" i="3"/>
  <c r="I690" i="3"/>
  <c r="H690" i="3"/>
  <c r="L689" i="3"/>
  <c r="J689" i="3"/>
  <c r="I689" i="3"/>
  <c r="H689" i="3"/>
  <c r="L688" i="3"/>
  <c r="J688" i="3"/>
  <c r="I688" i="3"/>
  <c r="H688" i="3"/>
  <c r="L687" i="3"/>
  <c r="J687" i="3"/>
  <c r="I687" i="3"/>
  <c r="H687" i="3"/>
  <c r="L686" i="3"/>
  <c r="J686" i="3"/>
  <c r="I686" i="3"/>
  <c r="H686" i="3"/>
  <c r="L685" i="3"/>
  <c r="J685" i="3"/>
  <c r="I685" i="3"/>
  <c r="H685" i="3"/>
  <c r="L684" i="3"/>
  <c r="J684" i="3"/>
  <c r="I684" i="3"/>
  <c r="H684" i="3"/>
  <c r="L683" i="3"/>
  <c r="J683" i="3"/>
  <c r="I683" i="3"/>
  <c r="H683" i="3"/>
  <c r="L682" i="3"/>
  <c r="J682" i="3"/>
  <c r="I682" i="3"/>
  <c r="H682" i="3"/>
  <c r="L681" i="3"/>
  <c r="J681" i="3"/>
  <c r="I681" i="3"/>
  <c r="H681" i="3"/>
  <c r="L680" i="3"/>
  <c r="J680" i="3"/>
  <c r="I680" i="3"/>
  <c r="H680" i="3"/>
  <c r="L679" i="3"/>
  <c r="J679" i="3"/>
  <c r="I679" i="3"/>
  <c r="H679" i="3"/>
  <c r="L678" i="3"/>
  <c r="J678" i="3"/>
  <c r="I678" i="3"/>
  <c r="H678" i="3"/>
  <c r="L677" i="3"/>
  <c r="J677" i="3"/>
  <c r="I677" i="3"/>
  <c r="H677" i="3"/>
  <c r="L676" i="3"/>
  <c r="J676" i="3"/>
  <c r="I676" i="3"/>
  <c r="H676" i="3"/>
  <c r="L675" i="3"/>
  <c r="J675" i="3"/>
  <c r="I675" i="3"/>
  <c r="H675" i="3"/>
  <c r="L674" i="3"/>
  <c r="J674" i="3"/>
  <c r="I674" i="3"/>
  <c r="H674" i="3"/>
  <c r="L673" i="3"/>
  <c r="J673" i="3"/>
  <c r="I673" i="3"/>
  <c r="H673" i="3"/>
  <c r="L672" i="3"/>
  <c r="J672" i="3"/>
  <c r="I672" i="3"/>
  <c r="H672" i="3"/>
  <c r="L671" i="3"/>
  <c r="J671" i="3"/>
  <c r="I671" i="3"/>
  <c r="H671" i="3"/>
  <c r="L670" i="3"/>
  <c r="J670" i="3"/>
  <c r="I670" i="3"/>
  <c r="H670" i="3"/>
  <c r="L669" i="3"/>
  <c r="J669" i="3"/>
  <c r="I669" i="3"/>
  <c r="H669" i="3"/>
  <c r="L668" i="3"/>
  <c r="J668" i="3"/>
  <c r="I668" i="3"/>
  <c r="H668" i="3"/>
  <c r="L667" i="3"/>
  <c r="J667" i="3"/>
  <c r="I667" i="3"/>
  <c r="H667" i="3"/>
  <c r="L666" i="3"/>
  <c r="J666" i="3"/>
  <c r="I666" i="3"/>
  <c r="H666" i="3"/>
  <c r="L665" i="3"/>
  <c r="J665" i="3"/>
  <c r="I665" i="3"/>
  <c r="H665" i="3"/>
  <c r="L664" i="3"/>
  <c r="J664" i="3"/>
  <c r="I664" i="3"/>
  <c r="H664" i="3"/>
  <c r="L663" i="3"/>
  <c r="J663" i="3"/>
  <c r="I663" i="3"/>
  <c r="H663" i="3"/>
  <c r="L662" i="3"/>
  <c r="J662" i="3"/>
  <c r="I662" i="3"/>
  <c r="H662" i="3"/>
  <c r="L661" i="3"/>
  <c r="J661" i="3"/>
  <c r="I661" i="3"/>
  <c r="H661" i="3"/>
  <c r="L660" i="3"/>
  <c r="J660" i="3"/>
  <c r="I660" i="3"/>
  <c r="H660" i="3"/>
  <c r="L659" i="3"/>
  <c r="J659" i="3"/>
  <c r="I659" i="3"/>
  <c r="H659" i="3"/>
  <c r="L658" i="3"/>
  <c r="J658" i="3"/>
  <c r="I658" i="3"/>
  <c r="H658" i="3"/>
  <c r="L657" i="3"/>
  <c r="J657" i="3"/>
  <c r="I657" i="3"/>
  <c r="H657" i="3"/>
  <c r="L656" i="3"/>
  <c r="J656" i="3"/>
  <c r="I656" i="3"/>
  <c r="H656" i="3"/>
  <c r="L655" i="3"/>
  <c r="J655" i="3"/>
  <c r="I655" i="3"/>
  <c r="H655" i="3"/>
  <c r="L654" i="3"/>
  <c r="J654" i="3"/>
  <c r="I654" i="3"/>
  <c r="H654" i="3"/>
  <c r="L653" i="3"/>
  <c r="J653" i="3"/>
  <c r="I653" i="3"/>
  <c r="H653" i="3"/>
  <c r="L652" i="3"/>
  <c r="J652" i="3"/>
  <c r="I652" i="3"/>
  <c r="H652" i="3"/>
  <c r="L651" i="3"/>
  <c r="J651" i="3"/>
  <c r="I651" i="3"/>
  <c r="H651" i="3"/>
  <c r="L650" i="3"/>
  <c r="J650" i="3"/>
  <c r="I650" i="3"/>
  <c r="H650" i="3"/>
  <c r="L649" i="3"/>
  <c r="J649" i="3"/>
  <c r="I649" i="3"/>
  <c r="H649" i="3"/>
  <c r="L648" i="3"/>
  <c r="J648" i="3"/>
  <c r="I648" i="3"/>
  <c r="H648" i="3"/>
  <c r="L647" i="3"/>
  <c r="J647" i="3"/>
  <c r="I647" i="3"/>
  <c r="H647" i="3"/>
  <c r="L646" i="3"/>
  <c r="J646" i="3"/>
  <c r="I646" i="3"/>
  <c r="H646" i="3"/>
  <c r="L645" i="3"/>
  <c r="J645" i="3"/>
  <c r="I645" i="3"/>
  <c r="H645" i="3"/>
  <c r="L644" i="3"/>
  <c r="J644" i="3"/>
  <c r="I644" i="3"/>
  <c r="H644" i="3"/>
  <c r="L643" i="3"/>
  <c r="J643" i="3"/>
  <c r="I643" i="3"/>
  <c r="H643" i="3"/>
  <c r="L642" i="3"/>
  <c r="J642" i="3"/>
  <c r="I642" i="3"/>
  <c r="H642" i="3"/>
  <c r="L641" i="3"/>
  <c r="J641" i="3"/>
  <c r="I641" i="3"/>
  <c r="H641" i="3"/>
  <c r="L640" i="3"/>
  <c r="J640" i="3"/>
  <c r="I640" i="3"/>
  <c r="H640" i="3"/>
  <c r="L639" i="3"/>
  <c r="J639" i="3"/>
  <c r="I639" i="3"/>
  <c r="H639" i="3"/>
  <c r="L638" i="3"/>
  <c r="J638" i="3"/>
  <c r="I638" i="3"/>
  <c r="H638" i="3"/>
  <c r="L637" i="3"/>
  <c r="J637" i="3"/>
  <c r="I637" i="3"/>
  <c r="H637" i="3"/>
  <c r="L636" i="3"/>
  <c r="J636" i="3"/>
  <c r="I636" i="3"/>
  <c r="H636" i="3"/>
  <c r="L635" i="3"/>
  <c r="J635" i="3"/>
  <c r="I635" i="3"/>
  <c r="H635" i="3"/>
  <c r="L634" i="3"/>
  <c r="J634" i="3"/>
  <c r="I634" i="3"/>
  <c r="H634" i="3"/>
  <c r="L633" i="3"/>
  <c r="J633" i="3"/>
  <c r="I633" i="3"/>
  <c r="H633" i="3"/>
  <c r="L632" i="3"/>
  <c r="J632" i="3"/>
  <c r="I632" i="3"/>
  <c r="H632" i="3"/>
  <c r="L631" i="3"/>
  <c r="J631" i="3"/>
  <c r="I631" i="3"/>
  <c r="H631" i="3"/>
  <c r="L630" i="3"/>
  <c r="J630" i="3"/>
  <c r="I630" i="3"/>
  <c r="H630" i="3"/>
  <c r="L629" i="3"/>
  <c r="J629" i="3"/>
  <c r="I629" i="3"/>
  <c r="H629" i="3"/>
  <c r="L628" i="3"/>
  <c r="J628" i="3"/>
  <c r="I628" i="3"/>
  <c r="H628" i="3"/>
  <c r="L627" i="3"/>
  <c r="J627" i="3"/>
  <c r="I627" i="3"/>
  <c r="H627" i="3"/>
  <c r="L626" i="3"/>
  <c r="J626" i="3"/>
  <c r="I626" i="3"/>
  <c r="H626" i="3"/>
  <c r="L625" i="3"/>
  <c r="J625" i="3"/>
  <c r="I625" i="3"/>
  <c r="H625" i="3"/>
  <c r="L624" i="3"/>
  <c r="J624" i="3"/>
  <c r="I624" i="3"/>
  <c r="H624" i="3"/>
  <c r="L623" i="3"/>
  <c r="J623" i="3"/>
  <c r="I623" i="3"/>
  <c r="H623" i="3"/>
  <c r="L622" i="3"/>
  <c r="J622" i="3"/>
  <c r="I622" i="3"/>
  <c r="H622" i="3"/>
  <c r="L621" i="3"/>
  <c r="J621" i="3"/>
  <c r="I621" i="3"/>
  <c r="H621" i="3"/>
  <c r="L620" i="3"/>
  <c r="J620" i="3"/>
  <c r="I620" i="3"/>
  <c r="H620" i="3"/>
  <c r="L619" i="3"/>
  <c r="J619" i="3"/>
  <c r="I619" i="3"/>
  <c r="H619" i="3"/>
  <c r="L618" i="3"/>
  <c r="J618" i="3"/>
  <c r="I618" i="3"/>
  <c r="H618" i="3"/>
  <c r="L617" i="3"/>
  <c r="J617" i="3"/>
  <c r="I617" i="3"/>
  <c r="H617" i="3"/>
  <c r="L616" i="3"/>
  <c r="J616" i="3"/>
  <c r="I616" i="3"/>
  <c r="H616" i="3"/>
  <c r="L615" i="3"/>
  <c r="J615" i="3"/>
  <c r="I615" i="3"/>
  <c r="H615" i="3"/>
  <c r="L614" i="3"/>
  <c r="J614" i="3"/>
  <c r="I614" i="3"/>
  <c r="H614" i="3"/>
  <c r="L613" i="3"/>
  <c r="J613" i="3"/>
  <c r="I613" i="3"/>
  <c r="H613" i="3"/>
  <c r="L612" i="3"/>
  <c r="J612" i="3"/>
  <c r="I612" i="3"/>
  <c r="H612" i="3"/>
  <c r="L611" i="3"/>
  <c r="J611" i="3"/>
  <c r="I611" i="3"/>
  <c r="H611" i="3"/>
  <c r="L610" i="3"/>
  <c r="J610" i="3"/>
  <c r="I610" i="3"/>
  <c r="H610" i="3"/>
  <c r="L609" i="3"/>
  <c r="J609" i="3"/>
  <c r="I609" i="3"/>
  <c r="H609" i="3"/>
  <c r="L608" i="3"/>
  <c r="J608" i="3"/>
  <c r="I608" i="3"/>
  <c r="H608" i="3"/>
  <c r="L607" i="3"/>
  <c r="J607" i="3"/>
  <c r="I607" i="3"/>
  <c r="H607" i="3"/>
  <c r="L606" i="3"/>
  <c r="J606" i="3"/>
  <c r="I606" i="3"/>
  <c r="H606" i="3"/>
  <c r="L605" i="3"/>
  <c r="J605" i="3"/>
  <c r="I605" i="3"/>
  <c r="H605" i="3"/>
  <c r="L604" i="3"/>
  <c r="J604" i="3"/>
  <c r="I604" i="3"/>
  <c r="H604" i="3"/>
  <c r="L603" i="3"/>
  <c r="J603" i="3"/>
  <c r="I603" i="3"/>
  <c r="H603" i="3"/>
  <c r="L602" i="3"/>
  <c r="J602" i="3"/>
  <c r="I602" i="3"/>
  <c r="H602" i="3"/>
  <c r="L601" i="3"/>
  <c r="J601" i="3"/>
  <c r="I601" i="3"/>
  <c r="H601" i="3"/>
  <c r="L600" i="3"/>
  <c r="J600" i="3"/>
  <c r="I600" i="3"/>
  <c r="H600" i="3"/>
  <c r="L599" i="3"/>
  <c r="J599" i="3"/>
  <c r="I599" i="3"/>
  <c r="H599" i="3"/>
  <c r="L598" i="3"/>
  <c r="J598" i="3"/>
  <c r="I598" i="3"/>
  <c r="H598" i="3"/>
  <c r="L597" i="3"/>
  <c r="J597" i="3"/>
  <c r="I597" i="3"/>
  <c r="H597" i="3"/>
  <c r="L596" i="3"/>
  <c r="J596" i="3"/>
  <c r="I596" i="3"/>
  <c r="H596" i="3"/>
  <c r="L595" i="3"/>
  <c r="J595" i="3"/>
  <c r="I595" i="3"/>
  <c r="H595" i="3"/>
  <c r="L594" i="3"/>
  <c r="J594" i="3"/>
  <c r="I594" i="3"/>
  <c r="H594" i="3"/>
  <c r="L593" i="3"/>
  <c r="J593" i="3"/>
  <c r="I593" i="3"/>
  <c r="H593" i="3"/>
  <c r="L592" i="3"/>
  <c r="J592" i="3"/>
  <c r="I592" i="3"/>
  <c r="H592" i="3"/>
  <c r="L591" i="3"/>
  <c r="J591" i="3"/>
  <c r="I591" i="3"/>
  <c r="H591" i="3"/>
  <c r="L590" i="3"/>
  <c r="J590" i="3"/>
  <c r="I590" i="3"/>
  <c r="H590" i="3"/>
  <c r="L589" i="3"/>
  <c r="J589" i="3"/>
  <c r="I589" i="3"/>
  <c r="H589" i="3"/>
  <c r="L588" i="3"/>
  <c r="J588" i="3"/>
  <c r="I588" i="3"/>
  <c r="H588" i="3"/>
  <c r="L587" i="3"/>
  <c r="J587" i="3"/>
  <c r="I587" i="3"/>
  <c r="H587" i="3"/>
  <c r="L586" i="3"/>
  <c r="J586" i="3"/>
  <c r="I586" i="3"/>
  <c r="H586" i="3"/>
  <c r="L585" i="3"/>
  <c r="J585" i="3"/>
  <c r="I585" i="3"/>
  <c r="H585" i="3"/>
  <c r="L584" i="3"/>
  <c r="J584" i="3"/>
  <c r="I584" i="3"/>
  <c r="H584" i="3"/>
  <c r="L583" i="3"/>
  <c r="J583" i="3"/>
  <c r="I583" i="3"/>
  <c r="H583" i="3"/>
  <c r="L582" i="3"/>
  <c r="J582" i="3"/>
  <c r="I582" i="3"/>
  <c r="H582" i="3"/>
  <c r="L581" i="3"/>
  <c r="J581" i="3"/>
  <c r="I581" i="3"/>
  <c r="H581" i="3"/>
  <c r="L580" i="3"/>
  <c r="J580" i="3"/>
  <c r="I580" i="3"/>
  <c r="H580" i="3"/>
  <c r="L579" i="3"/>
  <c r="J579" i="3"/>
  <c r="I579" i="3"/>
  <c r="H579" i="3"/>
  <c r="L578" i="3"/>
  <c r="J578" i="3"/>
  <c r="I578" i="3"/>
  <c r="H578" i="3"/>
  <c r="L577" i="3"/>
  <c r="J577" i="3"/>
  <c r="I577" i="3"/>
  <c r="H577" i="3"/>
  <c r="L576" i="3"/>
  <c r="J576" i="3"/>
  <c r="I576" i="3"/>
  <c r="H576" i="3"/>
  <c r="L575" i="3"/>
  <c r="J575" i="3"/>
  <c r="I575" i="3"/>
  <c r="H575" i="3"/>
  <c r="L574" i="3"/>
  <c r="J574" i="3"/>
  <c r="I574" i="3"/>
  <c r="H574" i="3"/>
  <c r="L573" i="3"/>
  <c r="J573" i="3"/>
  <c r="I573" i="3"/>
  <c r="H573" i="3"/>
  <c r="L572" i="3"/>
  <c r="J572" i="3"/>
  <c r="I572" i="3"/>
  <c r="H572" i="3"/>
  <c r="L571" i="3"/>
  <c r="J571" i="3"/>
  <c r="I571" i="3"/>
  <c r="H571" i="3"/>
  <c r="L570" i="3"/>
  <c r="J570" i="3"/>
  <c r="I570" i="3"/>
  <c r="H570" i="3"/>
  <c r="L569" i="3"/>
  <c r="J569" i="3"/>
  <c r="I569" i="3"/>
  <c r="H569" i="3"/>
  <c r="L568" i="3"/>
  <c r="J568" i="3"/>
  <c r="I568" i="3"/>
  <c r="H568" i="3"/>
  <c r="L567" i="3"/>
  <c r="J567" i="3"/>
  <c r="I567" i="3"/>
  <c r="H567" i="3"/>
  <c r="L566" i="3"/>
  <c r="J566" i="3"/>
  <c r="I566" i="3"/>
  <c r="H566" i="3"/>
  <c r="L565" i="3"/>
  <c r="J565" i="3"/>
  <c r="I565" i="3"/>
  <c r="H565" i="3"/>
  <c r="L564" i="3"/>
  <c r="J564" i="3"/>
  <c r="I564" i="3"/>
  <c r="H564" i="3"/>
  <c r="L563" i="3"/>
  <c r="J563" i="3"/>
  <c r="I563" i="3"/>
  <c r="H563" i="3"/>
  <c r="L562" i="3"/>
  <c r="J562" i="3"/>
  <c r="I562" i="3"/>
  <c r="H562" i="3"/>
  <c r="L561" i="3"/>
  <c r="J561" i="3"/>
  <c r="I561" i="3"/>
  <c r="H561" i="3"/>
  <c r="L560" i="3"/>
  <c r="J560" i="3"/>
  <c r="I560" i="3"/>
  <c r="H560" i="3"/>
  <c r="L559" i="3"/>
  <c r="J559" i="3"/>
  <c r="I559" i="3"/>
  <c r="H559" i="3"/>
  <c r="L558" i="3"/>
  <c r="J558" i="3"/>
  <c r="I558" i="3"/>
  <c r="H558" i="3"/>
  <c r="L557" i="3"/>
  <c r="J557" i="3"/>
  <c r="I557" i="3"/>
  <c r="H557" i="3"/>
  <c r="L556" i="3"/>
  <c r="J556" i="3"/>
  <c r="I556" i="3"/>
  <c r="H556" i="3"/>
  <c r="L555" i="3"/>
  <c r="J555" i="3"/>
  <c r="I555" i="3"/>
  <c r="H555" i="3"/>
  <c r="L554" i="3"/>
  <c r="J554" i="3"/>
  <c r="I554" i="3"/>
  <c r="H554" i="3"/>
  <c r="L553" i="3"/>
  <c r="J553" i="3"/>
  <c r="I553" i="3"/>
  <c r="H553" i="3"/>
  <c r="L552" i="3"/>
  <c r="J552" i="3"/>
  <c r="I552" i="3"/>
  <c r="H552" i="3"/>
  <c r="L551" i="3"/>
  <c r="J551" i="3"/>
  <c r="I551" i="3"/>
  <c r="H551" i="3"/>
  <c r="L550" i="3"/>
  <c r="J550" i="3"/>
  <c r="I550" i="3"/>
  <c r="H550" i="3"/>
  <c r="L549" i="3"/>
  <c r="J549" i="3"/>
  <c r="I549" i="3"/>
  <c r="H549" i="3"/>
  <c r="L548" i="3"/>
  <c r="J548" i="3"/>
  <c r="I548" i="3"/>
  <c r="H548" i="3"/>
  <c r="L547" i="3"/>
  <c r="J547" i="3"/>
  <c r="I547" i="3"/>
  <c r="H547" i="3"/>
  <c r="L546" i="3"/>
  <c r="J546" i="3"/>
  <c r="I546" i="3"/>
  <c r="H546" i="3"/>
  <c r="L545" i="3"/>
  <c r="J545" i="3"/>
  <c r="I545" i="3"/>
  <c r="H545" i="3"/>
  <c r="L544" i="3"/>
  <c r="J544" i="3"/>
  <c r="I544" i="3"/>
  <c r="H544" i="3"/>
  <c r="L543" i="3"/>
  <c r="J543" i="3"/>
  <c r="I543" i="3"/>
  <c r="H543" i="3"/>
  <c r="L542" i="3"/>
  <c r="J542" i="3"/>
  <c r="I542" i="3"/>
  <c r="H542" i="3"/>
  <c r="L541" i="3"/>
  <c r="J541" i="3"/>
  <c r="I541" i="3"/>
  <c r="H541" i="3"/>
  <c r="L540" i="3"/>
  <c r="J540" i="3"/>
  <c r="I540" i="3"/>
  <c r="H540" i="3"/>
  <c r="L539" i="3"/>
  <c r="J539" i="3"/>
  <c r="I539" i="3"/>
  <c r="H539" i="3"/>
  <c r="L538" i="3"/>
  <c r="J538" i="3"/>
  <c r="I538" i="3"/>
  <c r="H538" i="3"/>
  <c r="L537" i="3"/>
  <c r="J537" i="3"/>
  <c r="I537" i="3"/>
  <c r="H537" i="3"/>
  <c r="L536" i="3"/>
  <c r="J536" i="3"/>
  <c r="I536" i="3"/>
  <c r="H536" i="3"/>
  <c r="L535" i="3"/>
  <c r="J535" i="3"/>
  <c r="I535" i="3"/>
  <c r="H535" i="3"/>
  <c r="L534" i="3"/>
  <c r="J534" i="3"/>
  <c r="I534" i="3"/>
  <c r="H534" i="3"/>
  <c r="L533" i="3"/>
  <c r="J533" i="3"/>
  <c r="I533" i="3"/>
  <c r="H533" i="3"/>
  <c r="L532" i="3"/>
  <c r="J532" i="3"/>
  <c r="I532" i="3"/>
  <c r="H532" i="3"/>
  <c r="L531" i="3"/>
  <c r="J531" i="3"/>
  <c r="I531" i="3"/>
  <c r="H531" i="3"/>
  <c r="L530" i="3"/>
  <c r="J530" i="3"/>
  <c r="I530" i="3"/>
  <c r="H530" i="3"/>
  <c r="L529" i="3"/>
  <c r="J529" i="3"/>
  <c r="I529" i="3"/>
  <c r="H529" i="3"/>
  <c r="L528" i="3"/>
  <c r="J528" i="3"/>
  <c r="I528" i="3"/>
  <c r="H528" i="3"/>
  <c r="L527" i="3"/>
  <c r="J527" i="3"/>
  <c r="I527" i="3"/>
  <c r="H527" i="3"/>
  <c r="L526" i="3"/>
  <c r="J526" i="3"/>
  <c r="I526" i="3"/>
  <c r="H526" i="3"/>
  <c r="L525" i="3"/>
  <c r="J525" i="3"/>
  <c r="I525" i="3"/>
  <c r="H525" i="3"/>
  <c r="L524" i="3"/>
  <c r="J524" i="3"/>
  <c r="I524" i="3"/>
  <c r="H524" i="3"/>
  <c r="L523" i="3"/>
  <c r="J523" i="3"/>
  <c r="I523" i="3"/>
  <c r="H523" i="3"/>
  <c r="L522" i="3"/>
  <c r="J522" i="3"/>
  <c r="I522" i="3"/>
  <c r="H522" i="3"/>
  <c r="L521" i="3"/>
  <c r="J521" i="3"/>
  <c r="I521" i="3"/>
  <c r="H521" i="3"/>
  <c r="L520" i="3"/>
  <c r="J520" i="3"/>
  <c r="I520" i="3"/>
  <c r="H520" i="3"/>
  <c r="L519" i="3"/>
  <c r="J519" i="3"/>
  <c r="I519" i="3"/>
  <c r="H519" i="3"/>
  <c r="L518" i="3"/>
  <c r="J518" i="3"/>
  <c r="I518" i="3"/>
  <c r="H518" i="3"/>
  <c r="L517" i="3"/>
  <c r="J517" i="3"/>
  <c r="I517" i="3"/>
  <c r="H517" i="3"/>
  <c r="L516" i="3"/>
  <c r="J516" i="3"/>
  <c r="I516" i="3"/>
  <c r="H516" i="3"/>
  <c r="L515" i="3"/>
  <c r="J515" i="3"/>
  <c r="I515" i="3"/>
  <c r="H515" i="3"/>
  <c r="L514" i="3"/>
  <c r="J514" i="3"/>
  <c r="I514" i="3"/>
  <c r="H514" i="3"/>
  <c r="L513" i="3"/>
  <c r="J513" i="3"/>
  <c r="I513" i="3"/>
  <c r="H513" i="3"/>
  <c r="L512" i="3"/>
  <c r="J512" i="3"/>
  <c r="I512" i="3"/>
  <c r="H512" i="3"/>
  <c r="L511" i="3"/>
  <c r="J511" i="3"/>
  <c r="I511" i="3"/>
  <c r="H511" i="3"/>
  <c r="L510" i="3"/>
  <c r="J510" i="3"/>
  <c r="I510" i="3"/>
  <c r="H510" i="3"/>
  <c r="L509" i="3"/>
  <c r="J509" i="3"/>
  <c r="I509" i="3"/>
  <c r="H509" i="3"/>
  <c r="L508" i="3"/>
  <c r="J508" i="3"/>
  <c r="I508" i="3"/>
  <c r="H508" i="3"/>
  <c r="L507" i="3"/>
  <c r="J507" i="3"/>
  <c r="I507" i="3"/>
  <c r="H507" i="3"/>
  <c r="L506" i="3"/>
  <c r="J506" i="3"/>
  <c r="I506" i="3"/>
  <c r="H506" i="3"/>
  <c r="L505" i="3"/>
  <c r="J505" i="3"/>
  <c r="I505" i="3"/>
  <c r="H505" i="3"/>
  <c r="L504" i="3"/>
  <c r="J504" i="3"/>
  <c r="I504" i="3"/>
  <c r="H504" i="3"/>
  <c r="L503" i="3"/>
  <c r="J503" i="3"/>
  <c r="I503" i="3"/>
  <c r="H503" i="3"/>
  <c r="L502" i="3"/>
  <c r="J502" i="3"/>
  <c r="I502" i="3"/>
  <c r="H502" i="3"/>
  <c r="L501" i="3"/>
  <c r="J501" i="3"/>
  <c r="I501" i="3"/>
  <c r="H501" i="3"/>
  <c r="L500" i="3"/>
  <c r="J500" i="3"/>
  <c r="I500" i="3"/>
  <c r="H500" i="3"/>
  <c r="L499" i="3"/>
  <c r="J499" i="3"/>
  <c r="I499" i="3"/>
  <c r="H499" i="3"/>
  <c r="L498" i="3"/>
  <c r="J498" i="3"/>
  <c r="I498" i="3"/>
  <c r="H498" i="3"/>
  <c r="L497" i="3"/>
  <c r="J497" i="3"/>
  <c r="I497" i="3"/>
  <c r="H497" i="3"/>
  <c r="L496" i="3"/>
  <c r="J496" i="3"/>
  <c r="I496" i="3"/>
  <c r="H496" i="3"/>
  <c r="L495" i="3"/>
  <c r="J495" i="3"/>
  <c r="I495" i="3"/>
  <c r="H495" i="3"/>
  <c r="L494" i="3"/>
  <c r="J494" i="3"/>
  <c r="I494" i="3"/>
  <c r="H494" i="3"/>
  <c r="L493" i="3"/>
  <c r="J493" i="3"/>
  <c r="I493" i="3"/>
  <c r="H493" i="3"/>
  <c r="L492" i="3"/>
  <c r="J492" i="3"/>
  <c r="I492" i="3"/>
  <c r="H492" i="3"/>
  <c r="L491" i="3"/>
  <c r="J491" i="3"/>
  <c r="I491" i="3"/>
  <c r="H491" i="3"/>
  <c r="L490" i="3"/>
  <c r="J490" i="3"/>
  <c r="I490" i="3"/>
  <c r="H490" i="3"/>
  <c r="L489" i="3"/>
  <c r="J489" i="3"/>
  <c r="I489" i="3"/>
  <c r="H489" i="3"/>
  <c r="L488" i="3"/>
  <c r="J488" i="3"/>
  <c r="I488" i="3"/>
  <c r="H488" i="3"/>
  <c r="L487" i="3"/>
  <c r="J487" i="3"/>
  <c r="I487" i="3"/>
  <c r="H487" i="3"/>
  <c r="L486" i="3"/>
  <c r="J486" i="3"/>
  <c r="I486" i="3"/>
  <c r="H486" i="3"/>
  <c r="L485" i="3"/>
  <c r="J485" i="3"/>
  <c r="I485" i="3"/>
  <c r="H485" i="3"/>
  <c r="L484" i="3"/>
  <c r="J484" i="3"/>
  <c r="I484" i="3"/>
  <c r="H484" i="3"/>
  <c r="L483" i="3"/>
  <c r="J483" i="3"/>
  <c r="I483" i="3"/>
  <c r="H483" i="3"/>
  <c r="L482" i="3"/>
  <c r="J482" i="3"/>
  <c r="I482" i="3"/>
  <c r="H482" i="3"/>
  <c r="L481" i="3"/>
  <c r="J481" i="3"/>
  <c r="I481" i="3"/>
  <c r="H481" i="3"/>
  <c r="L480" i="3"/>
  <c r="J480" i="3"/>
  <c r="I480" i="3"/>
  <c r="H480" i="3"/>
  <c r="L479" i="3"/>
  <c r="J479" i="3"/>
  <c r="I479" i="3"/>
  <c r="H479" i="3"/>
  <c r="L478" i="3"/>
  <c r="J478" i="3"/>
  <c r="I478" i="3"/>
  <c r="H478" i="3"/>
  <c r="L477" i="3"/>
  <c r="J477" i="3"/>
  <c r="I477" i="3"/>
  <c r="H477" i="3"/>
  <c r="L476" i="3"/>
  <c r="J476" i="3"/>
  <c r="I476" i="3"/>
  <c r="H476" i="3"/>
  <c r="L475" i="3"/>
  <c r="J475" i="3"/>
  <c r="I475" i="3"/>
  <c r="H475" i="3"/>
  <c r="L474" i="3"/>
  <c r="J474" i="3"/>
  <c r="I474" i="3"/>
  <c r="H474" i="3"/>
  <c r="L473" i="3"/>
  <c r="J473" i="3"/>
  <c r="I473" i="3"/>
  <c r="H473" i="3"/>
  <c r="L472" i="3"/>
  <c r="J472" i="3"/>
  <c r="I472" i="3"/>
  <c r="H472" i="3"/>
  <c r="L471" i="3"/>
  <c r="J471" i="3"/>
  <c r="I471" i="3"/>
  <c r="H471" i="3"/>
  <c r="L470" i="3"/>
  <c r="J470" i="3"/>
  <c r="I470" i="3"/>
  <c r="H470" i="3"/>
  <c r="L469" i="3"/>
  <c r="J469" i="3"/>
  <c r="I469" i="3"/>
  <c r="H469" i="3"/>
  <c r="L468" i="3"/>
  <c r="J468" i="3"/>
  <c r="I468" i="3"/>
  <c r="H468" i="3"/>
  <c r="L467" i="3"/>
  <c r="J467" i="3"/>
  <c r="I467" i="3"/>
  <c r="H467" i="3"/>
  <c r="L466" i="3"/>
  <c r="J466" i="3"/>
  <c r="I466" i="3"/>
  <c r="H466" i="3"/>
  <c r="L465" i="3"/>
  <c r="J465" i="3"/>
  <c r="I465" i="3"/>
  <c r="H465" i="3"/>
  <c r="L464" i="3"/>
  <c r="J464" i="3"/>
  <c r="I464" i="3"/>
  <c r="H464" i="3"/>
  <c r="L463" i="3"/>
  <c r="J463" i="3"/>
  <c r="I463" i="3"/>
  <c r="H463" i="3"/>
  <c r="L462" i="3"/>
  <c r="J462" i="3"/>
  <c r="I462" i="3"/>
  <c r="H462" i="3"/>
  <c r="L461" i="3"/>
  <c r="J461" i="3"/>
  <c r="I461" i="3"/>
  <c r="H461" i="3"/>
  <c r="L460" i="3"/>
  <c r="J460" i="3"/>
  <c r="I460" i="3"/>
  <c r="H460" i="3"/>
  <c r="L459" i="3"/>
  <c r="J459" i="3"/>
  <c r="I459" i="3"/>
  <c r="H459" i="3"/>
  <c r="L458" i="3"/>
  <c r="J458" i="3"/>
  <c r="I458" i="3"/>
  <c r="H458" i="3"/>
  <c r="L457" i="3"/>
  <c r="J457" i="3"/>
  <c r="I457" i="3"/>
  <c r="H457" i="3"/>
  <c r="L456" i="3"/>
  <c r="J456" i="3"/>
  <c r="I456" i="3"/>
  <c r="H456" i="3"/>
  <c r="L455" i="3"/>
  <c r="J455" i="3"/>
  <c r="I455" i="3"/>
  <c r="H455" i="3"/>
  <c r="L454" i="3"/>
  <c r="J454" i="3"/>
  <c r="I454" i="3"/>
  <c r="H454" i="3"/>
  <c r="L453" i="3"/>
  <c r="J453" i="3"/>
  <c r="I453" i="3"/>
  <c r="H453" i="3"/>
  <c r="L452" i="3"/>
  <c r="J452" i="3"/>
  <c r="I452" i="3"/>
  <c r="H452" i="3"/>
  <c r="L451" i="3"/>
  <c r="J451" i="3"/>
  <c r="I451" i="3"/>
  <c r="H451" i="3"/>
  <c r="L450" i="3"/>
  <c r="J450" i="3"/>
  <c r="I450" i="3"/>
  <c r="H450" i="3"/>
  <c r="L449" i="3"/>
  <c r="J449" i="3"/>
  <c r="I449" i="3"/>
  <c r="H449" i="3"/>
  <c r="L448" i="3"/>
  <c r="J448" i="3"/>
  <c r="I448" i="3"/>
  <c r="H448" i="3"/>
  <c r="L447" i="3"/>
  <c r="J447" i="3"/>
  <c r="I447" i="3"/>
  <c r="H447" i="3"/>
  <c r="L446" i="3"/>
  <c r="J446" i="3"/>
  <c r="I446" i="3"/>
  <c r="H446" i="3"/>
  <c r="L445" i="3"/>
  <c r="J445" i="3"/>
  <c r="I445" i="3"/>
  <c r="H445" i="3"/>
  <c r="L444" i="3"/>
  <c r="J444" i="3"/>
  <c r="I444" i="3"/>
  <c r="H444" i="3"/>
  <c r="L443" i="3"/>
  <c r="J443" i="3"/>
  <c r="I443" i="3"/>
  <c r="H443" i="3"/>
  <c r="L442" i="3"/>
  <c r="J442" i="3"/>
  <c r="I442" i="3"/>
  <c r="H442" i="3"/>
  <c r="L441" i="3"/>
  <c r="J441" i="3"/>
  <c r="I441" i="3"/>
  <c r="H441" i="3"/>
  <c r="L440" i="3"/>
  <c r="J440" i="3"/>
  <c r="I440" i="3"/>
  <c r="H440" i="3"/>
  <c r="L439" i="3"/>
  <c r="J439" i="3"/>
  <c r="I439" i="3"/>
  <c r="H439" i="3"/>
  <c r="L438" i="3"/>
  <c r="J438" i="3"/>
  <c r="I438" i="3"/>
  <c r="H438" i="3"/>
  <c r="L437" i="3"/>
  <c r="J437" i="3"/>
  <c r="I437" i="3"/>
  <c r="H437" i="3"/>
  <c r="L436" i="3"/>
  <c r="J436" i="3"/>
  <c r="I436" i="3"/>
  <c r="H436" i="3"/>
  <c r="L435" i="3"/>
  <c r="J435" i="3"/>
  <c r="I435" i="3"/>
  <c r="H435" i="3"/>
  <c r="L434" i="3"/>
  <c r="J434" i="3"/>
  <c r="I434" i="3"/>
  <c r="H434" i="3"/>
  <c r="L433" i="3"/>
  <c r="J433" i="3"/>
  <c r="I433" i="3"/>
  <c r="H433" i="3"/>
  <c r="L432" i="3"/>
  <c r="J432" i="3"/>
  <c r="I432" i="3"/>
  <c r="H432" i="3"/>
  <c r="L431" i="3"/>
  <c r="J431" i="3"/>
  <c r="I431" i="3"/>
  <c r="H431" i="3"/>
  <c r="L430" i="3"/>
  <c r="J430" i="3"/>
  <c r="I430" i="3"/>
  <c r="H430" i="3"/>
  <c r="L429" i="3"/>
  <c r="J429" i="3"/>
  <c r="I429" i="3"/>
  <c r="H429" i="3"/>
  <c r="L428" i="3"/>
  <c r="J428" i="3"/>
  <c r="I428" i="3"/>
  <c r="H428" i="3"/>
  <c r="L427" i="3"/>
  <c r="J427" i="3"/>
  <c r="I427" i="3"/>
  <c r="H427" i="3"/>
  <c r="L426" i="3"/>
  <c r="J426" i="3"/>
  <c r="I426" i="3"/>
  <c r="H426" i="3"/>
  <c r="L425" i="3"/>
  <c r="J425" i="3"/>
  <c r="I425" i="3"/>
  <c r="H425" i="3"/>
  <c r="L424" i="3"/>
  <c r="J424" i="3"/>
  <c r="I424" i="3"/>
  <c r="H424" i="3"/>
  <c r="L423" i="3"/>
  <c r="J423" i="3"/>
  <c r="I423" i="3"/>
  <c r="H423" i="3"/>
  <c r="L422" i="3"/>
  <c r="J422" i="3"/>
  <c r="I422" i="3"/>
  <c r="H422" i="3"/>
  <c r="L421" i="3"/>
  <c r="J421" i="3"/>
  <c r="I421" i="3"/>
  <c r="H421" i="3"/>
  <c r="L420" i="3"/>
  <c r="J420" i="3"/>
  <c r="I420" i="3"/>
  <c r="H420" i="3"/>
  <c r="L419" i="3"/>
  <c r="J419" i="3"/>
  <c r="I419" i="3"/>
  <c r="H419" i="3"/>
  <c r="L418" i="3"/>
  <c r="J418" i="3"/>
  <c r="I418" i="3"/>
  <c r="H418" i="3"/>
  <c r="L417" i="3"/>
  <c r="J417" i="3"/>
  <c r="I417" i="3"/>
  <c r="H417" i="3"/>
  <c r="L416" i="3"/>
  <c r="J416" i="3"/>
  <c r="I416" i="3"/>
  <c r="H416" i="3"/>
  <c r="L415" i="3"/>
  <c r="J415" i="3"/>
  <c r="I415" i="3"/>
  <c r="H415" i="3"/>
  <c r="L414" i="3"/>
  <c r="J414" i="3"/>
  <c r="I414" i="3"/>
  <c r="H414" i="3"/>
  <c r="L413" i="3"/>
  <c r="J413" i="3"/>
  <c r="I413" i="3"/>
  <c r="H413" i="3"/>
  <c r="L412" i="3"/>
  <c r="J412" i="3"/>
  <c r="I412" i="3"/>
  <c r="H412" i="3"/>
  <c r="L411" i="3"/>
  <c r="J411" i="3"/>
  <c r="I411" i="3"/>
  <c r="H411" i="3"/>
  <c r="L410" i="3"/>
  <c r="J410" i="3"/>
  <c r="I410" i="3"/>
  <c r="H410" i="3"/>
  <c r="L409" i="3"/>
  <c r="J409" i="3"/>
  <c r="I409" i="3"/>
  <c r="H409" i="3"/>
  <c r="L408" i="3"/>
  <c r="J408" i="3"/>
  <c r="I408" i="3"/>
  <c r="H408" i="3"/>
  <c r="L407" i="3"/>
  <c r="J407" i="3"/>
  <c r="I407" i="3"/>
  <c r="H407" i="3"/>
  <c r="L406" i="3"/>
  <c r="J406" i="3"/>
  <c r="I406" i="3"/>
  <c r="H406" i="3"/>
  <c r="L405" i="3"/>
  <c r="J405" i="3"/>
  <c r="I405" i="3"/>
  <c r="H405" i="3"/>
  <c r="L404" i="3"/>
  <c r="J404" i="3"/>
  <c r="I404" i="3"/>
  <c r="H404" i="3"/>
  <c r="L403" i="3"/>
  <c r="J403" i="3"/>
  <c r="I403" i="3"/>
  <c r="H403" i="3"/>
  <c r="L402" i="3"/>
  <c r="J402" i="3"/>
  <c r="I402" i="3"/>
  <c r="H402" i="3"/>
  <c r="L401" i="3"/>
  <c r="J401" i="3"/>
  <c r="I401" i="3"/>
  <c r="H401" i="3"/>
  <c r="L400" i="3"/>
  <c r="J400" i="3"/>
  <c r="I400" i="3"/>
  <c r="H400" i="3"/>
  <c r="L399" i="3"/>
  <c r="J399" i="3"/>
  <c r="I399" i="3"/>
  <c r="H399" i="3"/>
  <c r="L398" i="3"/>
  <c r="J398" i="3"/>
  <c r="I398" i="3"/>
  <c r="H398" i="3"/>
  <c r="L397" i="3"/>
  <c r="J397" i="3"/>
  <c r="I397" i="3"/>
  <c r="H397" i="3"/>
  <c r="L396" i="3"/>
  <c r="J396" i="3"/>
  <c r="I396" i="3"/>
  <c r="H396" i="3"/>
  <c r="L395" i="3"/>
  <c r="J395" i="3"/>
  <c r="I395" i="3"/>
  <c r="H395" i="3"/>
  <c r="L394" i="3"/>
  <c r="J394" i="3"/>
  <c r="I394" i="3"/>
  <c r="H394" i="3"/>
  <c r="L393" i="3"/>
  <c r="J393" i="3"/>
  <c r="I393" i="3"/>
  <c r="H393" i="3"/>
  <c r="L392" i="3"/>
  <c r="J392" i="3"/>
  <c r="I392" i="3"/>
  <c r="H392" i="3"/>
  <c r="L391" i="3"/>
  <c r="J391" i="3"/>
  <c r="I391" i="3"/>
  <c r="H391" i="3"/>
  <c r="L390" i="3"/>
  <c r="J390" i="3"/>
  <c r="I390" i="3"/>
  <c r="H390" i="3"/>
  <c r="L389" i="3"/>
  <c r="J389" i="3"/>
  <c r="I389" i="3"/>
  <c r="H389" i="3"/>
  <c r="L388" i="3"/>
  <c r="J388" i="3"/>
  <c r="I388" i="3"/>
  <c r="H388" i="3"/>
  <c r="L387" i="3"/>
  <c r="J387" i="3"/>
  <c r="I387" i="3"/>
  <c r="H387" i="3"/>
  <c r="L386" i="3"/>
  <c r="J386" i="3"/>
  <c r="I386" i="3"/>
  <c r="H386" i="3"/>
  <c r="L385" i="3"/>
  <c r="J385" i="3"/>
  <c r="I385" i="3"/>
  <c r="H385" i="3"/>
  <c r="L384" i="3"/>
  <c r="J384" i="3"/>
  <c r="I384" i="3"/>
  <c r="H384" i="3"/>
  <c r="L383" i="3"/>
  <c r="J383" i="3"/>
  <c r="I383" i="3"/>
  <c r="H383" i="3"/>
  <c r="L382" i="3"/>
  <c r="J382" i="3"/>
  <c r="I382" i="3"/>
  <c r="H382" i="3"/>
  <c r="L381" i="3"/>
  <c r="J381" i="3"/>
  <c r="I381" i="3"/>
  <c r="H381" i="3"/>
  <c r="L380" i="3"/>
  <c r="J380" i="3"/>
  <c r="I380" i="3"/>
  <c r="H380" i="3"/>
  <c r="L379" i="3"/>
  <c r="J379" i="3"/>
  <c r="I379" i="3"/>
  <c r="H379" i="3"/>
  <c r="L378" i="3"/>
  <c r="J378" i="3"/>
  <c r="I378" i="3"/>
  <c r="H378" i="3"/>
  <c r="L377" i="3"/>
  <c r="J377" i="3"/>
  <c r="I377" i="3"/>
  <c r="H377" i="3"/>
  <c r="L376" i="3"/>
  <c r="J376" i="3"/>
  <c r="I376" i="3"/>
  <c r="H376" i="3"/>
  <c r="L375" i="3"/>
  <c r="J375" i="3"/>
  <c r="I375" i="3"/>
  <c r="H375" i="3"/>
  <c r="L374" i="3"/>
  <c r="J374" i="3"/>
  <c r="I374" i="3"/>
  <c r="H374" i="3"/>
  <c r="L373" i="3"/>
  <c r="J373" i="3"/>
  <c r="I373" i="3"/>
  <c r="H373" i="3"/>
  <c r="L372" i="3"/>
  <c r="J372" i="3"/>
  <c r="I372" i="3"/>
  <c r="H372" i="3"/>
  <c r="L371" i="3"/>
  <c r="J371" i="3"/>
  <c r="I371" i="3"/>
  <c r="H371" i="3"/>
  <c r="L370" i="3"/>
  <c r="J370" i="3"/>
  <c r="I370" i="3"/>
  <c r="H370" i="3"/>
  <c r="L369" i="3"/>
  <c r="J369" i="3"/>
  <c r="I369" i="3"/>
  <c r="H369" i="3"/>
  <c r="L368" i="3"/>
  <c r="J368" i="3"/>
  <c r="I368" i="3"/>
  <c r="H368" i="3"/>
  <c r="L367" i="3"/>
  <c r="J367" i="3"/>
  <c r="I367" i="3"/>
  <c r="H367" i="3"/>
  <c r="L366" i="3"/>
  <c r="J366" i="3"/>
  <c r="I366" i="3"/>
  <c r="H366" i="3"/>
  <c r="L365" i="3"/>
  <c r="J365" i="3"/>
  <c r="I365" i="3"/>
  <c r="H365" i="3"/>
  <c r="L364" i="3"/>
  <c r="J364" i="3"/>
  <c r="I364" i="3"/>
  <c r="H364" i="3"/>
  <c r="L363" i="3"/>
  <c r="J363" i="3"/>
  <c r="I363" i="3"/>
  <c r="H363" i="3"/>
  <c r="L362" i="3"/>
  <c r="J362" i="3"/>
  <c r="I362" i="3"/>
  <c r="H362" i="3"/>
  <c r="L361" i="3"/>
  <c r="J361" i="3"/>
  <c r="I361" i="3"/>
  <c r="H361" i="3"/>
  <c r="L360" i="3"/>
  <c r="J360" i="3"/>
  <c r="I360" i="3"/>
  <c r="H360" i="3"/>
  <c r="L359" i="3"/>
  <c r="J359" i="3"/>
  <c r="I359" i="3"/>
  <c r="H359" i="3"/>
  <c r="L358" i="3"/>
  <c r="J358" i="3"/>
  <c r="I358" i="3"/>
  <c r="H358" i="3"/>
  <c r="L357" i="3"/>
  <c r="J357" i="3"/>
  <c r="I357" i="3"/>
  <c r="H357" i="3"/>
  <c r="L356" i="3"/>
  <c r="J356" i="3"/>
  <c r="I356" i="3"/>
  <c r="H356" i="3"/>
  <c r="L355" i="3"/>
  <c r="J355" i="3"/>
  <c r="I355" i="3"/>
  <c r="H355" i="3"/>
  <c r="L354" i="3"/>
  <c r="J354" i="3"/>
  <c r="I354" i="3"/>
  <c r="H354" i="3"/>
  <c r="L353" i="3"/>
  <c r="J353" i="3"/>
  <c r="I353" i="3"/>
  <c r="H353" i="3"/>
  <c r="L352" i="3"/>
  <c r="J352" i="3"/>
  <c r="I352" i="3"/>
  <c r="H352" i="3"/>
  <c r="L351" i="3"/>
  <c r="J351" i="3"/>
  <c r="I351" i="3"/>
  <c r="H351" i="3"/>
  <c r="L350" i="3"/>
  <c r="J350" i="3"/>
  <c r="I350" i="3"/>
  <c r="H350" i="3"/>
  <c r="L349" i="3"/>
  <c r="J349" i="3"/>
  <c r="I349" i="3"/>
  <c r="H349" i="3"/>
  <c r="L348" i="3"/>
  <c r="J348" i="3"/>
  <c r="I348" i="3"/>
  <c r="H348" i="3"/>
  <c r="L347" i="3"/>
  <c r="J347" i="3"/>
  <c r="I347" i="3"/>
  <c r="H347" i="3"/>
  <c r="L346" i="3"/>
  <c r="J346" i="3"/>
  <c r="I346" i="3"/>
  <c r="H346" i="3"/>
  <c r="L345" i="3"/>
  <c r="J345" i="3"/>
  <c r="I345" i="3"/>
  <c r="H345" i="3"/>
  <c r="L344" i="3"/>
  <c r="J344" i="3"/>
  <c r="I344" i="3"/>
  <c r="H344" i="3"/>
  <c r="L343" i="3"/>
  <c r="J343" i="3"/>
  <c r="I343" i="3"/>
  <c r="H343" i="3"/>
  <c r="L342" i="3"/>
  <c r="J342" i="3"/>
  <c r="I342" i="3"/>
  <c r="H342" i="3"/>
  <c r="L341" i="3"/>
  <c r="J341" i="3"/>
  <c r="I341" i="3"/>
  <c r="H341" i="3"/>
  <c r="L340" i="3"/>
  <c r="J340" i="3"/>
  <c r="I340" i="3"/>
  <c r="H340" i="3"/>
  <c r="L339" i="3"/>
  <c r="J339" i="3"/>
  <c r="I339" i="3"/>
  <c r="H339" i="3"/>
  <c r="L338" i="3"/>
  <c r="J338" i="3"/>
  <c r="I338" i="3"/>
  <c r="H338" i="3"/>
  <c r="L337" i="3"/>
  <c r="J337" i="3"/>
  <c r="I337" i="3"/>
  <c r="H337" i="3"/>
  <c r="L336" i="3"/>
  <c r="J336" i="3"/>
  <c r="I336" i="3"/>
  <c r="H336" i="3"/>
  <c r="L335" i="3"/>
  <c r="J335" i="3"/>
  <c r="I335" i="3"/>
  <c r="H335" i="3"/>
  <c r="L334" i="3"/>
  <c r="J334" i="3"/>
  <c r="I334" i="3"/>
  <c r="H334" i="3"/>
  <c r="L333" i="3"/>
  <c r="J333" i="3"/>
  <c r="I333" i="3"/>
  <c r="H333" i="3"/>
  <c r="L332" i="3"/>
  <c r="J332" i="3"/>
  <c r="I332" i="3"/>
  <c r="H332" i="3"/>
  <c r="L331" i="3"/>
  <c r="J331" i="3"/>
  <c r="I331" i="3"/>
  <c r="H331" i="3"/>
  <c r="L330" i="3"/>
  <c r="J330" i="3"/>
  <c r="I330" i="3"/>
  <c r="H330" i="3"/>
  <c r="L329" i="3"/>
  <c r="J329" i="3"/>
  <c r="I329" i="3"/>
  <c r="H329" i="3"/>
  <c r="L328" i="3"/>
  <c r="J328" i="3"/>
  <c r="I328" i="3"/>
  <c r="H328" i="3"/>
  <c r="L327" i="3"/>
  <c r="J327" i="3"/>
  <c r="I327" i="3"/>
  <c r="H327" i="3"/>
  <c r="L326" i="3"/>
  <c r="J326" i="3"/>
  <c r="I326" i="3"/>
  <c r="H326" i="3"/>
  <c r="L325" i="3"/>
  <c r="J325" i="3"/>
  <c r="I325" i="3"/>
  <c r="H325" i="3"/>
  <c r="L324" i="3"/>
  <c r="J324" i="3"/>
  <c r="I324" i="3"/>
  <c r="H324" i="3"/>
  <c r="L323" i="3"/>
  <c r="J323" i="3"/>
  <c r="I323" i="3"/>
  <c r="H323" i="3"/>
  <c r="L322" i="3"/>
  <c r="J322" i="3"/>
  <c r="I322" i="3"/>
  <c r="H322" i="3"/>
  <c r="L321" i="3"/>
  <c r="J321" i="3"/>
  <c r="I321" i="3"/>
  <c r="H321" i="3"/>
  <c r="L320" i="3"/>
  <c r="J320" i="3"/>
  <c r="I320" i="3"/>
  <c r="H320" i="3"/>
  <c r="L319" i="3"/>
  <c r="J319" i="3"/>
  <c r="I319" i="3"/>
  <c r="H319" i="3"/>
  <c r="L318" i="3"/>
  <c r="J318" i="3"/>
  <c r="I318" i="3"/>
  <c r="H318" i="3"/>
  <c r="L317" i="3"/>
  <c r="J317" i="3"/>
  <c r="I317" i="3"/>
  <c r="H317" i="3"/>
  <c r="L316" i="3"/>
  <c r="J316" i="3"/>
  <c r="I316" i="3"/>
  <c r="H316" i="3"/>
  <c r="L315" i="3"/>
  <c r="J315" i="3"/>
  <c r="I315" i="3"/>
  <c r="H315" i="3"/>
  <c r="L314" i="3"/>
  <c r="J314" i="3"/>
  <c r="I314" i="3"/>
  <c r="H314" i="3"/>
  <c r="L313" i="3"/>
  <c r="J313" i="3"/>
  <c r="I313" i="3"/>
  <c r="H313" i="3"/>
  <c r="L312" i="3"/>
  <c r="J312" i="3"/>
  <c r="I312" i="3"/>
  <c r="H312" i="3"/>
  <c r="L311" i="3"/>
  <c r="J311" i="3"/>
  <c r="I311" i="3"/>
  <c r="H311" i="3"/>
  <c r="L310" i="3"/>
  <c r="J310" i="3"/>
  <c r="I310" i="3"/>
  <c r="H310" i="3"/>
  <c r="L309" i="3"/>
  <c r="J309" i="3"/>
  <c r="I309" i="3"/>
  <c r="H309" i="3"/>
  <c r="L308" i="3"/>
  <c r="J308" i="3"/>
  <c r="I308" i="3"/>
  <c r="H308" i="3"/>
  <c r="L307" i="3"/>
  <c r="J307" i="3"/>
  <c r="I307" i="3"/>
  <c r="H307" i="3"/>
  <c r="L306" i="3"/>
  <c r="J306" i="3"/>
  <c r="I306" i="3"/>
  <c r="H306" i="3"/>
  <c r="J305" i="3"/>
  <c r="I305" i="3"/>
  <c r="H305" i="3"/>
  <c r="L305" i="3" s="1"/>
  <c r="J304" i="3"/>
  <c r="I304" i="3"/>
  <c r="H304" i="3"/>
  <c r="L304" i="3" s="1"/>
  <c r="J303" i="3"/>
  <c r="I303" i="3"/>
  <c r="H303" i="3"/>
  <c r="L303" i="3" s="1"/>
  <c r="J302" i="3"/>
  <c r="I302" i="3"/>
  <c r="H302" i="3"/>
  <c r="L302" i="3" s="1"/>
  <c r="J301" i="3"/>
  <c r="I301" i="3"/>
  <c r="H301" i="3"/>
  <c r="L301" i="3" s="1"/>
  <c r="J300" i="3"/>
  <c r="I300" i="3"/>
  <c r="H300" i="3"/>
  <c r="L300" i="3" s="1"/>
  <c r="J299" i="3"/>
  <c r="I299" i="3"/>
  <c r="H299" i="3"/>
  <c r="L299" i="3" s="1"/>
  <c r="J298" i="3"/>
  <c r="I298" i="3"/>
  <c r="H298" i="3"/>
  <c r="L298" i="3" s="1"/>
  <c r="J297" i="3"/>
  <c r="I297" i="3"/>
  <c r="H297" i="3"/>
  <c r="L297" i="3" s="1"/>
  <c r="J296" i="3"/>
  <c r="I296" i="3"/>
  <c r="H296" i="3"/>
  <c r="L296" i="3" s="1"/>
  <c r="J295" i="3"/>
  <c r="I295" i="3"/>
  <c r="H295" i="3"/>
  <c r="L295" i="3" s="1"/>
  <c r="J294" i="3"/>
  <c r="I294" i="3"/>
  <c r="H294" i="3"/>
  <c r="L294" i="3" s="1"/>
  <c r="J293" i="3"/>
  <c r="I293" i="3"/>
  <c r="H293" i="3"/>
  <c r="L293" i="3" s="1"/>
  <c r="J292" i="3"/>
  <c r="I292" i="3"/>
  <c r="H292" i="3"/>
  <c r="L292" i="3" s="1"/>
  <c r="J291" i="3"/>
  <c r="I291" i="3"/>
  <c r="H291" i="3"/>
  <c r="L291" i="3" s="1"/>
  <c r="J290" i="3"/>
  <c r="I290" i="3"/>
  <c r="H290" i="3"/>
  <c r="L290" i="3" s="1"/>
  <c r="J289" i="3"/>
  <c r="I289" i="3"/>
  <c r="H289" i="3"/>
  <c r="L289" i="3" s="1"/>
  <c r="J288" i="3"/>
  <c r="I288" i="3"/>
  <c r="H288" i="3"/>
  <c r="L288" i="3" s="1"/>
  <c r="J287" i="3"/>
  <c r="I287" i="3"/>
  <c r="H287" i="3"/>
  <c r="L287" i="3" s="1"/>
  <c r="J286" i="3"/>
  <c r="I286" i="3"/>
  <c r="H286" i="3"/>
  <c r="L286" i="3" s="1"/>
  <c r="J285" i="3"/>
  <c r="I285" i="3"/>
  <c r="H285" i="3"/>
  <c r="L285" i="3" s="1"/>
  <c r="J284" i="3"/>
  <c r="I284" i="3"/>
  <c r="H284" i="3"/>
  <c r="L284" i="3" s="1"/>
  <c r="J283" i="3"/>
  <c r="I283" i="3"/>
  <c r="H283" i="3"/>
  <c r="L283" i="3" s="1"/>
  <c r="J282" i="3"/>
  <c r="I282" i="3"/>
  <c r="H282" i="3"/>
  <c r="L282" i="3" s="1"/>
  <c r="J281" i="3"/>
  <c r="I281" i="3"/>
  <c r="H281" i="3"/>
  <c r="L281" i="3" s="1"/>
  <c r="J280" i="3"/>
  <c r="I280" i="3"/>
  <c r="H280" i="3"/>
  <c r="L280" i="3" s="1"/>
  <c r="J279" i="3"/>
  <c r="I279" i="3"/>
  <c r="H279" i="3"/>
  <c r="L279" i="3" s="1"/>
  <c r="J278" i="3"/>
  <c r="I278" i="3"/>
  <c r="H278" i="3"/>
  <c r="L278" i="3" s="1"/>
  <c r="J277" i="3"/>
  <c r="I277" i="3"/>
  <c r="H277" i="3"/>
  <c r="L277" i="3" s="1"/>
  <c r="J276" i="3"/>
  <c r="I276" i="3"/>
  <c r="H276" i="3"/>
  <c r="L276" i="3" s="1"/>
  <c r="J275" i="3"/>
  <c r="I275" i="3"/>
  <c r="H275" i="3"/>
  <c r="L275" i="3" s="1"/>
  <c r="J274" i="3"/>
  <c r="I274" i="3"/>
  <c r="H274" i="3"/>
  <c r="L274" i="3" s="1"/>
  <c r="J273" i="3"/>
  <c r="I273" i="3"/>
  <c r="H273" i="3"/>
  <c r="L273" i="3" s="1"/>
  <c r="J272" i="3"/>
  <c r="I272" i="3"/>
  <c r="H272" i="3"/>
  <c r="L272" i="3" s="1"/>
  <c r="J271" i="3"/>
  <c r="I271" i="3"/>
  <c r="H271" i="3"/>
  <c r="L271" i="3" s="1"/>
  <c r="J270" i="3"/>
  <c r="I270" i="3"/>
  <c r="H270" i="3"/>
  <c r="L270" i="3" s="1"/>
  <c r="J269" i="3"/>
  <c r="I269" i="3"/>
  <c r="H269" i="3"/>
  <c r="L269" i="3" s="1"/>
  <c r="J268" i="3"/>
  <c r="I268" i="3"/>
  <c r="H268" i="3"/>
  <c r="L268" i="3" s="1"/>
  <c r="J267" i="3"/>
  <c r="I267" i="3"/>
  <c r="H267" i="3"/>
  <c r="L267" i="3" s="1"/>
  <c r="J266" i="3"/>
  <c r="I266" i="3"/>
  <c r="H266" i="3"/>
  <c r="L266" i="3" s="1"/>
  <c r="J265" i="3"/>
  <c r="I265" i="3"/>
  <c r="H265" i="3"/>
  <c r="L265" i="3" s="1"/>
  <c r="J264" i="3"/>
  <c r="I264" i="3"/>
  <c r="H264" i="3"/>
  <c r="L264" i="3" s="1"/>
  <c r="J263" i="3"/>
  <c r="I263" i="3"/>
  <c r="H263" i="3"/>
  <c r="L263" i="3" s="1"/>
  <c r="J262" i="3"/>
  <c r="I262" i="3"/>
  <c r="H262" i="3"/>
  <c r="L262" i="3" s="1"/>
  <c r="J261" i="3"/>
  <c r="I261" i="3"/>
  <c r="H261" i="3"/>
  <c r="L261" i="3" s="1"/>
  <c r="J260" i="3"/>
  <c r="I260" i="3"/>
  <c r="H260" i="3"/>
  <c r="L260" i="3" s="1"/>
  <c r="J259" i="3"/>
  <c r="I259" i="3"/>
  <c r="H259" i="3"/>
  <c r="L259" i="3" s="1"/>
  <c r="J258" i="3"/>
  <c r="I258" i="3"/>
  <c r="H258" i="3"/>
  <c r="L258" i="3" s="1"/>
  <c r="J257" i="3"/>
  <c r="I257" i="3"/>
  <c r="H257" i="3"/>
  <c r="L257" i="3" s="1"/>
  <c r="J256" i="3"/>
  <c r="I256" i="3"/>
  <c r="H256" i="3"/>
  <c r="L256" i="3" s="1"/>
  <c r="J255" i="3"/>
  <c r="I255" i="3"/>
  <c r="H255" i="3"/>
  <c r="L255" i="3" s="1"/>
  <c r="J254" i="3"/>
  <c r="I254" i="3"/>
  <c r="H254" i="3"/>
  <c r="L254" i="3" s="1"/>
  <c r="J253" i="3"/>
  <c r="I253" i="3"/>
  <c r="H253" i="3"/>
  <c r="L253" i="3" s="1"/>
  <c r="J252" i="3"/>
  <c r="I252" i="3"/>
  <c r="H252" i="3"/>
  <c r="L252" i="3" s="1"/>
  <c r="J251" i="3"/>
  <c r="I251" i="3"/>
  <c r="H251" i="3"/>
  <c r="L251" i="3" s="1"/>
  <c r="J250" i="3"/>
  <c r="I250" i="3"/>
  <c r="H250" i="3"/>
  <c r="L250" i="3" s="1"/>
  <c r="J249" i="3"/>
  <c r="I249" i="3"/>
  <c r="H249" i="3"/>
  <c r="L249" i="3" s="1"/>
  <c r="J248" i="3"/>
  <c r="I248" i="3"/>
  <c r="H248" i="3"/>
  <c r="L248" i="3" s="1"/>
  <c r="J247" i="3"/>
  <c r="I247" i="3"/>
  <c r="H247" i="3"/>
  <c r="L247" i="3" s="1"/>
  <c r="J246" i="3"/>
  <c r="I246" i="3"/>
  <c r="H246" i="3"/>
  <c r="L246" i="3" s="1"/>
  <c r="J245" i="3"/>
  <c r="I245" i="3"/>
  <c r="H245" i="3"/>
  <c r="L245" i="3" s="1"/>
  <c r="J244" i="3"/>
  <c r="I244" i="3"/>
  <c r="H244" i="3"/>
  <c r="L244" i="3" s="1"/>
  <c r="J243" i="3"/>
  <c r="I243" i="3"/>
  <c r="H243" i="3"/>
  <c r="L243" i="3" s="1"/>
  <c r="J242" i="3"/>
  <c r="I242" i="3"/>
  <c r="H242" i="3"/>
  <c r="L242" i="3" s="1"/>
  <c r="J241" i="3"/>
  <c r="I241" i="3"/>
  <c r="H241" i="3"/>
  <c r="L241" i="3" s="1"/>
  <c r="J240" i="3"/>
  <c r="I240" i="3"/>
  <c r="H240" i="3"/>
  <c r="L240" i="3" s="1"/>
  <c r="J239" i="3"/>
  <c r="I239" i="3"/>
  <c r="H239" i="3"/>
  <c r="L239" i="3" s="1"/>
  <c r="J238" i="3"/>
  <c r="I238" i="3"/>
  <c r="H238" i="3"/>
  <c r="L238" i="3" s="1"/>
  <c r="J237" i="3"/>
  <c r="I237" i="3"/>
  <c r="H237" i="3"/>
  <c r="L237" i="3" s="1"/>
  <c r="J236" i="3"/>
  <c r="I236" i="3"/>
  <c r="H236" i="3"/>
  <c r="L236" i="3" s="1"/>
  <c r="J235" i="3"/>
  <c r="I235" i="3"/>
  <c r="H235" i="3"/>
  <c r="L235" i="3" s="1"/>
  <c r="J234" i="3"/>
  <c r="I234" i="3"/>
  <c r="H234" i="3"/>
  <c r="L234" i="3" s="1"/>
  <c r="J233" i="3"/>
  <c r="I233" i="3"/>
  <c r="H233" i="3"/>
  <c r="L233" i="3" s="1"/>
  <c r="J232" i="3"/>
  <c r="I232" i="3"/>
  <c r="H232" i="3"/>
  <c r="L232" i="3" s="1"/>
  <c r="J231" i="3"/>
  <c r="I231" i="3"/>
  <c r="H231" i="3"/>
  <c r="L231" i="3" s="1"/>
  <c r="J230" i="3"/>
  <c r="I230" i="3"/>
  <c r="H230" i="3"/>
  <c r="L230" i="3" s="1"/>
  <c r="J229" i="3"/>
  <c r="I229" i="3"/>
  <c r="H229" i="3"/>
  <c r="L229" i="3" s="1"/>
  <c r="J228" i="3"/>
  <c r="I228" i="3"/>
  <c r="H228" i="3"/>
  <c r="L228" i="3" s="1"/>
  <c r="J227" i="3"/>
  <c r="I227" i="3"/>
  <c r="H227" i="3"/>
  <c r="L227" i="3" s="1"/>
  <c r="J226" i="3"/>
  <c r="I226" i="3"/>
  <c r="H226" i="3"/>
  <c r="L226" i="3" s="1"/>
  <c r="J225" i="3"/>
  <c r="I225" i="3"/>
  <c r="H225" i="3"/>
  <c r="L225" i="3" s="1"/>
  <c r="J224" i="3"/>
  <c r="I224" i="3"/>
  <c r="H224" i="3"/>
  <c r="L224" i="3" s="1"/>
  <c r="J223" i="3"/>
  <c r="I223" i="3"/>
  <c r="H223" i="3"/>
  <c r="L223" i="3" s="1"/>
  <c r="J222" i="3"/>
  <c r="I222" i="3"/>
  <c r="H222" i="3"/>
  <c r="L222" i="3" s="1"/>
  <c r="J221" i="3"/>
  <c r="I221" i="3"/>
  <c r="H221" i="3"/>
  <c r="L221" i="3" s="1"/>
  <c r="J220" i="3"/>
  <c r="I220" i="3"/>
  <c r="H220" i="3"/>
  <c r="L220" i="3" s="1"/>
  <c r="J219" i="3"/>
  <c r="I219" i="3"/>
  <c r="H219" i="3"/>
  <c r="L219" i="3" s="1"/>
  <c r="J218" i="3"/>
  <c r="I218" i="3"/>
  <c r="H218" i="3"/>
  <c r="L218" i="3" s="1"/>
  <c r="J217" i="3"/>
  <c r="I217" i="3"/>
  <c r="H217" i="3"/>
  <c r="L217" i="3" s="1"/>
  <c r="J216" i="3"/>
  <c r="I216" i="3"/>
  <c r="H216" i="3"/>
  <c r="L216" i="3" s="1"/>
  <c r="J215" i="3"/>
  <c r="I215" i="3"/>
  <c r="H215" i="3"/>
  <c r="L215" i="3" s="1"/>
  <c r="J214" i="3"/>
  <c r="I214" i="3"/>
  <c r="H214" i="3"/>
  <c r="L214" i="3" s="1"/>
  <c r="J213" i="3"/>
  <c r="I213" i="3"/>
  <c r="H213" i="3"/>
  <c r="L213" i="3" s="1"/>
  <c r="J212" i="3"/>
  <c r="I212" i="3"/>
  <c r="H212" i="3"/>
  <c r="L212" i="3" s="1"/>
  <c r="J211" i="3"/>
  <c r="I211" i="3"/>
  <c r="H211" i="3"/>
  <c r="L211" i="3" s="1"/>
  <c r="J210" i="3"/>
  <c r="I210" i="3"/>
  <c r="H210" i="3"/>
  <c r="L210" i="3" s="1"/>
  <c r="J209" i="3"/>
  <c r="I209" i="3"/>
  <c r="H209" i="3"/>
  <c r="L209" i="3" s="1"/>
  <c r="J208" i="3"/>
  <c r="I208" i="3"/>
  <c r="H208" i="3"/>
  <c r="L208" i="3" s="1"/>
  <c r="J207" i="3"/>
  <c r="I207" i="3"/>
  <c r="H207" i="3"/>
  <c r="L207" i="3" s="1"/>
  <c r="J206" i="3"/>
  <c r="I206" i="3"/>
  <c r="H206" i="3"/>
  <c r="L206" i="3" s="1"/>
  <c r="J205" i="3"/>
  <c r="I205" i="3"/>
  <c r="H205" i="3"/>
  <c r="L205" i="3" s="1"/>
  <c r="J204" i="3"/>
  <c r="I204" i="3"/>
  <c r="H204" i="3"/>
  <c r="L204" i="3" s="1"/>
  <c r="J203" i="3"/>
  <c r="I203" i="3"/>
  <c r="H203" i="3"/>
  <c r="L203" i="3" s="1"/>
  <c r="J202" i="3"/>
  <c r="I202" i="3"/>
  <c r="H202" i="3"/>
  <c r="L202" i="3" s="1"/>
  <c r="J201" i="3"/>
  <c r="I201" i="3"/>
  <c r="H201" i="3"/>
  <c r="L201" i="3" s="1"/>
  <c r="J200" i="3"/>
  <c r="I200" i="3"/>
  <c r="H200" i="3"/>
  <c r="L200" i="3" s="1"/>
  <c r="J199" i="3"/>
  <c r="I199" i="3"/>
  <c r="H199" i="3"/>
  <c r="L199" i="3" s="1"/>
  <c r="J198" i="3"/>
  <c r="I198" i="3"/>
  <c r="H198" i="3"/>
  <c r="L198" i="3" s="1"/>
  <c r="J197" i="3"/>
  <c r="I197" i="3"/>
  <c r="H197" i="3"/>
  <c r="L197" i="3" s="1"/>
  <c r="J196" i="3"/>
  <c r="I196" i="3"/>
  <c r="H196" i="3"/>
  <c r="L196" i="3" s="1"/>
  <c r="J195" i="3"/>
  <c r="I195" i="3"/>
  <c r="H195" i="3"/>
  <c r="L195" i="3" s="1"/>
  <c r="J194" i="3"/>
  <c r="I194" i="3"/>
  <c r="H194" i="3"/>
  <c r="L194" i="3" s="1"/>
  <c r="J193" i="3"/>
  <c r="I193" i="3"/>
  <c r="H193" i="3"/>
  <c r="L193" i="3" s="1"/>
  <c r="J192" i="3"/>
  <c r="I192" i="3"/>
  <c r="H192" i="3"/>
  <c r="L192" i="3" s="1"/>
  <c r="J191" i="3"/>
  <c r="I191" i="3"/>
  <c r="H191" i="3"/>
  <c r="L191" i="3" s="1"/>
  <c r="J190" i="3"/>
  <c r="I190" i="3"/>
  <c r="H190" i="3"/>
  <c r="L190" i="3" s="1"/>
  <c r="J189" i="3"/>
  <c r="I189" i="3"/>
  <c r="H189" i="3"/>
  <c r="L189" i="3" s="1"/>
  <c r="J188" i="3"/>
  <c r="I188" i="3"/>
  <c r="H188" i="3"/>
  <c r="L188" i="3" s="1"/>
  <c r="J187" i="3"/>
  <c r="I187" i="3"/>
  <c r="H187" i="3"/>
  <c r="L187" i="3" s="1"/>
  <c r="J186" i="3"/>
  <c r="I186" i="3"/>
  <c r="H186" i="3"/>
  <c r="L186" i="3" s="1"/>
  <c r="J185" i="3"/>
  <c r="I185" i="3"/>
  <c r="H185" i="3"/>
  <c r="L185" i="3" s="1"/>
  <c r="J184" i="3"/>
  <c r="I184" i="3"/>
  <c r="H184" i="3"/>
  <c r="L184" i="3" s="1"/>
  <c r="J183" i="3"/>
  <c r="I183" i="3"/>
  <c r="H183" i="3"/>
  <c r="L183" i="3" s="1"/>
  <c r="J182" i="3"/>
  <c r="I182" i="3"/>
  <c r="H182" i="3"/>
  <c r="L182" i="3" s="1"/>
  <c r="J181" i="3"/>
  <c r="I181" i="3"/>
  <c r="H181" i="3"/>
  <c r="L181" i="3" s="1"/>
  <c r="J180" i="3"/>
  <c r="I180" i="3"/>
  <c r="H180" i="3"/>
  <c r="L180" i="3" s="1"/>
  <c r="J179" i="3"/>
  <c r="I179" i="3"/>
  <c r="H179" i="3"/>
  <c r="L179" i="3" s="1"/>
  <c r="J178" i="3"/>
  <c r="I178" i="3"/>
  <c r="H178" i="3"/>
  <c r="L178" i="3" s="1"/>
  <c r="J177" i="3"/>
  <c r="I177" i="3"/>
  <c r="H177" i="3"/>
  <c r="L177" i="3" s="1"/>
  <c r="J176" i="3"/>
  <c r="I176" i="3"/>
  <c r="H176" i="3"/>
  <c r="L176" i="3" s="1"/>
  <c r="J175" i="3"/>
  <c r="I175" i="3"/>
  <c r="H175" i="3"/>
  <c r="L175" i="3" s="1"/>
  <c r="J174" i="3"/>
  <c r="I174" i="3"/>
  <c r="H174" i="3"/>
  <c r="L174" i="3" s="1"/>
  <c r="J173" i="3"/>
  <c r="I173" i="3"/>
  <c r="H173" i="3"/>
  <c r="L173" i="3" s="1"/>
  <c r="J172" i="3"/>
  <c r="I172" i="3"/>
  <c r="H172" i="3"/>
  <c r="L172" i="3" s="1"/>
  <c r="J171" i="3"/>
  <c r="I171" i="3"/>
  <c r="H171" i="3"/>
  <c r="L171" i="3" s="1"/>
  <c r="J170" i="3"/>
  <c r="I170" i="3"/>
  <c r="H170" i="3"/>
  <c r="L170" i="3" s="1"/>
  <c r="J169" i="3"/>
  <c r="I169" i="3"/>
  <c r="H169" i="3"/>
  <c r="L169" i="3" s="1"/>
  <c r="J168" i="3"/>
  <c r="I168" i="3"/>
  <c r="H168" i="3"/>
  <c r="L168" i="3" s="1"/>
  <c r="J167" i="3"/>
  <c r="I167" i="3"/>
  <c r="H167" i="3"/>
  <c r="L167" i="3" s="1"/>
  <c r="J166" i="3"/>
  <c r="I166" i="3"/>
  <c r="H166" i="3"/>
  <c r="L166" i="3" s="1"/>
  <c r="J165" i="3"/>
  <c r="I165" i="3"/>
  <c r="H165" i="3"/>
  <c r="L165" i="3" s="1"/>
  <c r="J164" i="3"/>
  <c r="I164" i="3"/>
  <c r="H164" i="3"/>
  <c r="L164" i="3" s="1"/>
  <c r="J163" i="3"/>
  <c r="I163" i="3"/>
  <c r="H163" i="3"/>
  <c r="L163" i="3" s="1"/>
  <c r="J162" i="3"/>
  <c r="I162" i="3"/>
  <c r="H162" i="3"/>
  <c r="L162" i="3" s="1"/>
  <c r="J161" i="3"/>
  <c r="I161" i="3"/>
  <c r="H161" i="3"/>
  <c r="L161" i="3" s="1"/>
  <c r="J160" i="3"/>
  <c r="I160" i="3"/>
  <c r="H160" i="3"/>
  <c r="L160" i="3" s="1"/>
  <c r="J159" i="3"/>
  <c r="I159" i="3"/>
  <c r="H159" i="3"/>
  <c r="L159" i="3" s="1"/>
  <c r="J158" i="3"/>
  <c r="I158" i="3"/>
  <c r="H158" i="3"/>
  <c r="L158" i="3" s="1"/>
  <c r="J157" i="3"/>
  <c r="I157" i="3"/>
  <c r="H157" i="3"/>
  <c r="L157" i="3" s="1"/>
  <c r="J156" i="3"/>
  <c r="I156" i="3"/>
  <c r="H156" i="3"/>
  <c r="L156" i="3" s="1"/>
  <c r="J155" i="3"/>
  <c r="I155" i="3"/>
  <c r="H155" i="3"/>
  <c r="L155" i="3" s="1"/>
  <c r="J154" i="3"/>
  <c r="I154" i="3"/>
  <c r="H154" i="3"/>
  <c r="L154" i="3" s="1"/>
  <c r="J153" i="3"/>
  <c r="I153" i="3"/>
  <c r="H153" i="3"/>
  <c r="L153" i="3" s="1"/>
  <c r="J152" i="3"/>
  <c r="I152" i="3"/>
  <c r="H152" i="3"/>
  <c r="L152" i="3" s="1"/>
  <c r="J151" i="3"/>
  <c r="I151" i="3"/>
  <c r="H151" i="3"/>
  <c r="L151" i="3" s="1"/>
  <c r="J150" i="3"/>
  <c r="I150" i="3"/>
  <c r="H150" i="3"/>
  <c r="L150" i="3" s="1"/>
  <c r="J149" i="3"/>
  <c r="I149" i="3"/>
  <c r="H149" i="3"/>
  <c r="L149" i="3" s="1"/>
  <c r="J148" i="3"/>
  <c r="I148" i="3"/>
  <c r="H148" i="3"/>
  <c r="L148" i="3" s="1"/>
  <c r="J147" i="3"/>
  <c r="I147" i="3"/>
  <c r="H147" i="3"/>
  <c r="L147" i="3" s="1"/>
  <c r="J146" i="3"/>
  <c r="I146" i="3"/>
  <c r="H146" i="3"/>
  <c r="L146" i="3" s="1"/>
  <c r="J145" i="3"/>
  <c r="I145" i="3"/>
  <c r="H145" i="3"/>
  <c r="L145" i="3" s="1"/>
  <c r="J144" i="3"/>
  <c r="I144" i="3"/>
  <c r="H144" i="3"/>
  <c r="L144" i="3" s="1"/>
  <c r="J143" i="3"/>
  <c r="I143" i="3"/>
  <c r="H143" i="3"/>
  <c r="L143" i="3" s="1"/>
  <c r="J142" i="3"/>
  <c r="I142" i="3"/>
  <c r="H142" i="3"/>
  <c r="L142" i="3" s="1"/>
  <c r="J141" i="3"/>
  <c r="I141" i="3"/>
  <c r="H141" i="3"/>
  <c r="L141" i="3" s="1"/>
  <c r="J140" i="3"/>
  <c r="I140" i="3"/>
  <c r="H140" i="3"/>
  <c r="L140" i="3" s="1"/>
  <c r="J139" i="3"/>
  <c r="I139" i="3"/>
  <c r="H139" i="3"/>
  <c r="L139" i="3" s="1"/>
  <c r="J138" i="3"/>
  <c r="I138" i="3"/>
  <c r="H138" i="3"/>
  <c r="L138" i="3" s="1"/>
  <c r="J137" i="3"/>
  <c r="I137" i="3"/>
  <c r="H137" i="3"/>
  <c r="L137" i="3" s="1"/>
  <c r="J136" i="3"/>
  <c r="I136" i="3"/>
  <c r="H136" i="3"/>
  <c r="L136" i="3" s="1"/>
  <c r="J135" i="3"/>
  <c r="I135" i="3"/>
  <c r="H135" i="3"/>
  <c r="L135" i="3" s="1"/>
  <c r="J134" i="3"/>
  <c r="I134" i="3"/>
  <c r="H134" i="3"/>
  <c r="L134" i="3" s="1"/>
  <c r="J133" i="3"/>
  <c r="I133" i="3"/>
  <c r="H133" i="3"/>
  <c r="L133" i="3" s="1"/>
  <c r="J132" i="3"/>
  <c r="I132" i="3"/>
  <c r="H132" i="3"/>
  <c r="L132" i="3" s="1"/>
  <c r="J131" i="3"/>
  <c r="I131" i="3"/>
  <c r="H131" i="3"/>
  <c r="L131" i="3" s="1"/>
  <c r="J130" i="3"/>
  <c r="I130" i="3"/>
  <c r="H130" i="3"/>
  <c r="L130" i="3" s="1"/>
  <c r="J129" i="3"/>
  <c r="I129" i="3"/>
  <c r="H129" i="3"/>
  <c r="L129" i="3" s="1"/>
  <c r="J128" i="3"/>
  <c r="I128" i="3"/>
  <c r="H128" i="3"/>
  <c r="L128" i="3" s="1"/>
  <c r="J127" i="3"/>
  <c r="I127" i="3"/>
  <c r="H127" i="3"/>
  <c r="L127" i="3" s="1"/>
  <c r="J126" i="3"/>
  <c r="I126" i="3"/>
  <c r="H126" i="3"/>
  <c r="L126" i="3" s="1"/>
  <c r="J125" i="3"/>
  <c r="I125" i="3"/>
  <c r="H125" i="3"/>
  <c r="L125" i="3" s="1"/>
  <c r="J124" i="3"/>
  <c r="I124" i="3"/>
  <c r="H124" i="3"/>
  <c r="L124" i="3" s="1"/>
  <c r="J123" i="3"/>
  <c r="I123" i="3"/>
  <c r="H123" i="3"/>
  <c r="L123" i="3" s="1"/>
  <c r="J122" i="3"/>
  <c r="I122" i="3"/>
  <c r="H122" i="3"/>
  <c r="L122" i="3" s="1"/>
  <c r="J121" i="3"/>
  <c r="I121" i="3"/>
  <c r="H121" i="3"/>
  <c r="L121" i="3" s="1"/>
  <c r="J120" i="3"/>
  <c r="I120" i="3"/>
  <c r="H120" i="3"/>
  <c r="L120" i="3" s="1"/>
  <c r="J119" i="3"/>
  <c r="I119" i="3"/>
  <c r="H119" i="3"/>
  <c r="L119" i="3" s="1"/>
  <c r="J118" i="3"/>
  <c r="I118" i="3"/>
  <c r="H118" i="3"/>
  <c r="L118" i="3" s="1"/>
  <c r="J117" i="3"/>
  <c r="I117" i="3"/>
  <c r="H117" i="3"/>
  <c r="L117" i="3" s="1"/>
  <c r="J116" i="3"/>
  <c r="I116" i="3"/>
  <c r="H116" i="3"/>
  <c r="L116" i="3" s="1"/>
  <c r="J115" i="3"/>
  <c r="I115" i="3"/>
  <c r="H115" i="3"/>
  <c r="L115" i="3" s="1"/>
  <c r="J114" i="3"/>
  <c r="I114" i="3"/>
  <c r="H114" i="3"/>
  <c r="L114" i="3" s="1"/>
  <c r="J113" i="3"/>
  <c r="I113" i="3"/>
  <c r="H113" i="3"/>
  <c r="L113" i="3" s="1"/>
  <c r="J112" i="3"/>
  <c r="I112" i="3"/>
  <c r="H112" i="3"/>
  <c r="L112" i="3" s="1"/>
  <c r="J111" i="3"/>
  <c r="I111" i="3"/>
  <c r="H111" i="3"/>
  <c r="L111" i="3" s="1"/>
  <c r="J110" i="3"/>
  <c r="I110" i="3"/>
  <c r="H110" i="3"/>
  <c r="L110" i="3" s="1"/>
  <c r="J109" i="3"/>
  <c r="I109" i="3"/>
  <c r="H109" i="3"/>
  <c r="L109" i="3" s="1"/>
  <c r="J108" i="3"/>
  <c r="I108" i="3"/>
  <c r="H108" i="3"/>
  <c r="L108" i="3" s="1"/>
  <c r="J107" i="3"/>
  <c r="I107" i="3"/>
  <c r="H107" i="3"/>
  <c r="L107" i="3" s="1"/>
  <c r="J106" i="3"/>
  <c r="I106" i="3"/>
  <c r="H106" i="3"/>
  <c r="L106" i="3" s="1"/>
  <c r="J105" i="3"/>
  <c r="I105" i="3"/>
  <c r="H105" i="3"/>
  <c r="L105" i="3" s="1"/>
  <c r="J104" i="3"/>
  <c r="I104" i="3"/>
  <c r="H104" i="3"/>
  <c r="L104" i="3" s="1"/>
  <c r="J103" i="3"/>
  <c r="I103" i="3"/>
  <c r="H103" i="3"/>
  <c r="L103" i="3" s="1"/>
  <c r="J102" i="3"/>
  <c r="I102" i="3"/>
  <c r="H102" i="3"/>
  <c r="L102" i="3" s="1"/>
  <c r="J101" i="3"/>
  <c r="I101" i="3"/>
  <c r="H101" i="3"/>
  <c r="L101" i="3" s="1"/>
  <c r="J100" i="3"/>
  <c r="I100" i="3"/>
  <c r="H100" i="3"/>
  <c r="L100" i="3" s="1"/>
  <c r="J99" i="3"/>
  <c r="I99" i="3"/>
  <c r="H99" i="3"/>
  <c r="L99" i="3" s="1"/>
  <c r="J98" i="3"/>
  <c r="I98" i="3"/>
  <c r="H98" i="3"/>
  <c r="L98" i="3" s="1"/>
  <c r="J97" i="3"/>
  <c r="I97" i="3"/>
  <c r="H97" i="3"/>
  <c r="L97" i="3" s="1"/>
  <c r="J96" i="3"/>
  <c r="I96" i="3"/>
  <c r="H96" i="3"/>
  <c r="L96" i="3" s="1"/>
  <c r="J95" i="3"/>
  <c r="I95" i="3"/>
  <c r="H95" i="3"/>
  <c r="L95" i="3" s="1"/>
  <c r="J94" i="3"/>
  <c r="I94" i="3"/>
  <c r="H94" i="3"/>
  <c r="L94" i="3" s="1"/>
  <c r="J93" i="3"/>
  <c r="I93" i="3"/>
  <c r="H93" i="3"/>
  <c r="L93" i="3" s="1"/>
  <c r="J92" i="3"/>
  <c r="I92" i="3"/>
  <c r="H92" i="3"/>
  <c r="L92" i="3" s="1"/>
  <c r="J91" i="3"/>
  <c r="I91" i="3"/>
  <c r="H91" i="3"/>
  <c r="L91" i="3" s="1"/>
  <c r="J90" i="3"/>
  <c r="I90" i="3"/>
  <c r="H90" i="3"/>
  <c r="L90" i="3" s="1"/>
  <c r="J89" i="3"/>
  <c r="I89" i="3"/>
  <c r="H89" i="3"/>
  <c r="L89" i="3" s="1"/>
  <c r="J88" i="3"/>
  <c r="I88" i="3"/>
  <c r="H88" i="3"/>
  <c r="L88" i="3" s="1"/>
  <c r="J87" i="3"/>
  <c r="I87" i="3"/>
  <c r="H87" i="3"/>
  <c r="L87" i="3" s="1"/>
  <c r="J86" i="3"/>
  <c r="I86" i="3"/>
  <c r="H86" i="3"/>
  <c r="L86" i="3" s="1"/>
  <c r="J85" i="3"/>
  <c r="I85" i="3"/>
  <c r="H85" i="3"/>
  <c r="L85" i="3" s="1"/>
  <c r="J84" i="3"/>
  <c r="I84" i="3"/>
  <c r="H84" i="3"/>
  <c r="L84" i="3" s="1"/>
  <c r="J83" i="3"/>
  <c r="I83" i="3"/>
  <c r="H83" i="3"/>
  <c r="L83" i="3" s="1"/>
  <c r="J82" i="3"/>
  <c r="I82" i="3"/>
  <c r="H82" i="3"/>
  <c r="L82" i="3" s="1"/>
  <c r="J81" i="3"/>
  <c r="I81" i="3"/>
  <c r="H81" i="3"/>
  <c r="L81" i="3" s="1"/>
  <c r="J80" i="3"/>
  <c r="I80" i="3"/>
  <c r="H80" i="3"/>
  <c r="L80" i="3" s="1"/>
  <c r="J79" i="3"/>
  <c r="I79" i="3"/>
  <c r="H79" i="3"/>
  <c r="L79" i="3" s="1"/>
  <c r="J78" i="3"/>
  <c r="I78" i="3"/>
  <c r="H78" i="3"/>
  <c r="L78" i="3" s="1"/>
  <c r="J77" i="3"/>
  <c r="I77" i="3"/>
  <c r="H77" i="3"/>
  <c r="L77" i="3" s="1"/>
  <c r="J76" i="3"/>
  <c r="I76" i="3"/>
  <c r="H76" i="3"/>
  <c r="L76" i="3" s="1"/>
  <c r="J75" i="3"/>
  <c r="I75" i="3"/>
  <c r="H75" i="3"/>
  <c r="L75" i="3" s="1"/>
  <c r="J74" i="3"/>
  <c r="I74" i="3"/>
  <c r="H74" i="3"/>
  <c r="L74" i="3" s="1"/>
  <c r="J73" i="3"/>
  <c r="I73" i="3"/>
  <c r="H73" i="3"/>
  <c r="L73" i="3" s="1"/>
  <c r="J72" i="3"/>
  <c r="I72" i="3"/>
  <c r="H72" i="3"/>
  <c r="L72" i="3" s="1"/>
  <c r="J71" i="3"/>
  <c r="I71" i="3"/>
  <c r="H71" i="3"/>
  <c r="L71" i="3" s="1"/>
  <c r="J70" i="3"/>
  <c r="I70" i="3"/>
  <c r="H70" i="3"/>
  <c r="L70" i="3" s="1"/>
  <c r="J69" i="3"/>
  <c r="I69" i="3"/>
  <c r="H69" i="3"/>
  <c r="L69" i="3" s="1"/>
  <c r="J68" i="3"/>
  <c r="I68" i="3"/>
  <c r="H68" i="3"/>
  <c r="L68" i="3" s="1"/>
  <c r="J67" i="3"/>
  <c r="I67" i="3"/>
  <c r="H67" i="3"/>
  <c r="L67" i="3" s="1"/>
  <c r="J66" i="3"/>
  <c r="I66" i="3"/>
  <c r="H66" i="3"/>
  <c r="L66" i="3" s="1"/>
  <c r="J65" i="3"/>
  <c r="I65" i="3"/>
  <c r="H65" i="3"/>
  <c r="L65" i="3" s="1"/>
  <c r="J64" i="3"/>
  <c r="I64" i="3"/>
  <c r="H64" i="3"/>
  <c r="L64" i="3" s="1"/>
  <c r="J63" i="3"/>
  <c r="I63" i="3"/>
  <c r="H63" i="3"/>
  <c r="L63" i="3" s="1"/>
  <c r="J62" i="3"/>
  <c r="I62" i="3"/>
  <c r="H62" i="3"/>
  <c r="L62" i="3" s="1"/>
  <c r="J61" i="3"/>
  <c r="I61" i="3"/>
  <c r="H61" i="3"/>
  <c r="L61" i="3" s="1"/>
  <c r="J60" i="3"/>
  <c r="I60" i="3"/>
  <c r="H60" i="3"/>
  <c r="L60" i="3" s="1"/>
  <c r="J59" i="3"/>
  <c r="I59" i="3"/>
  <c r="H59" i="3"/>
  <c r="L59" i="3" s="1"/>
  <c r="J58" i="3"/>
  <c r="I58" i="3"/>
  <c r="H58" i="3"/>
  <c r="L58" i="3" s="1"/>
  <c r="J57" i="3"/>
  <c r="I57" i="3"/>
  <c r="H57" i="3"/>
  <c r="L57" i="3" s="1"/>
  <c r="J56" i="3"/>
  <c r="I56" i="3"/>
  <c r="H56" i="3"/>
  <c r="L56" i="3" s="1"/>
  <c r="J55" i="3"/>
  <c r="I55" i="3"/>
  <c r="H55" i="3"/>
  <c r="L55" i="3" s="1"/>
  <c r="J54" i="3"/>
  <c r="I54" i="3"/>
  <c r="H54" i="3"/>
  <c r="L54" i="3" s="1"/>
  <c r="J53" i="3"/>
  <c r="I53" i="3"/>
  <c r="H53" i="3"/>
  <c r="L53" i="3" s="1"/>
  <c r="J52" i="3"/>
  <c r="I52" i="3"/>
  <c r="H52" i="3"/>
  <c r="L52" i="3" s="1"/>
  <c r="J51" i="3"/>
  <c r="I51" i="3"/>
  <c r="H51" i="3"/>
  <c r="L51" i="3" s="1"/>
  <c r="J50" i="3"/>
  <c r="I50" i="3"/>
  <c r="H50" i="3"/>
  <c r="L50" i="3" s="1"/>
  <c r="J49" i="3"/>
  <c r="I49" i="3"/>
  <c r="H49" i="3"/>
  <c r="L49" i="3" s="1"/>
  <c r="J48" i="3"/>
  <c r="I48" i="3"/>
  <c r="H48" i="3"/>
  <c r="L48" i="3" s="1"/>
  <c r="J47" i="3"/>
  <c r="I47" i="3"/>
  <c r="H47" i="3"/>
  <c r="L47" i="3" s="1"/>
  <c r="J46" i="3"/>
  <c r="I46" i="3"/>
  <c r="H46" i="3"/>
  <c r="L46" i="3" s="1"/>
  <c r="J45" i="3"/>
  <c r="I45" i="3"/>
  <c r="H45" i="3"/>
  <c r="L45" i="3" s="1"/>
  <c r="J44" i="3"/>
  <c r="I44" i="3"/>
  <c r="H44" i="3"/>
  <c r="L44" i="3" s="1"/>
  <c r="J43" i="3"/>
  <c r="I43" i="3"/>
  <c r="H43" i="3"/>
  <c r="L43" i="3" s="1"/>
  <c r="J42" i="3"/>
  <c r="I42" i="3"/>
  <c r="H42" i="3"/>
  <c r="L42" i="3" s="1"/>
  <c r="J41" i="3"/>
  <c r="I41" i="3"/>
  <c r="H41" i="3"/>
  <c r="L41" i="3" s="1"/>
  <c r="J40" i="3"/>
  <c r="I40" i="3"/>
  <c r="H40" i="3"/>
  <c r="L40" i="3" s="1"/>
  <c r="J39" i="3"/>
  <c r="I39" i="3"/>
  <c r="H39" i="3"/>
  <c r="L39" i="3" s="1"/>
  <c r="J38" i="3"/>
  <c r="I38" i="3"/>
  <c r="H38" i="3"/>
  <c r="L38" i="3" s="1"/>
  <c r="J37" i="3"/>
  <c r="I37" i="3"/>
  <c r="H37" i="3"/>
  <c r="L37" i="3" s="1"/>
  <c r="J36" i="3"/>
  <c r="I36" i="3"/>
  <c r="H36" i="3"/>
  <c r="L36" i="3" s="1"/>
  <c r="J35" i="3"/>
  <c r="I35" i="3"/>
  <c r="H35" i="3"/>
  <c r="L35" i="3" s="1"/>
  <c r="J34" i="3"/>
  <c r="I34" i="3"/>
  <c r="H34" i="3"/>
  <c r="L34" i="3" s="1"/>
  <c r="J33" i="3"/>
  <c r="I33" i="3"/>
  <c r="H33" i="3"/>
  <c r="L33" i="3" s="1"/>
  <c r="J32" i="3"/>
  <c r="I32" i="3"/>
  <c r="H32" i="3"/>
  <c r="L32" i="3" s="1"/>
  <c r="J31" i="3"/>
  <c r="I31" i="3"/>
  <c r="H31" i="3"/>
  <c r="L31" i="3" s="1"/>
  <c r="J30" i="3"/>
  <c r="I30" i="3"/>
  <c r="H30" i="3"/>
  <c r="L30" i="3" s="1"/>
  <c r="J29" i="3"/>
  <c r="I29" i="3"/>
  <c r="H29" i="3"/>
  <c r="L29" i="3" s="1"/>
  <c r="J28" i="3"/>
  <c r="I28" i="3"/>
  <c r="H28" i="3"/>
  <c r="L28" i="3" s="1"/>
  <c r="J27" i="3"/>
  <c r="I27" i="3"/>
  <c r="H27" i="3"/>
  <c r="L27" i="3" s="1"/>
  <c r="J26" i="3"/>
  <c r="I26" i="3"/>
  <c r="H26" i="3"/>
  <c r="L26" i="3" s="1"/>
  <c r="J25" i="3"/>
  <c r="I25" i="3"/>
  <c r="H25" i="3"/>
  <c r="L25" i="3" s="1"/>
  <c r="J24" i="3"/>
  <c r="I24" i="3"/>
  <c r="H24" i="3"/>
  <c r="L24" i="3" s="1"/>
  <c r="J23" i="3"/>
  <c r="I23" i="3"/>
  <c r="H23" i="3"/>
  <c r="L23" i="3" s="1"/>
  <c r="J22" i="3"/>
  <c r="I22" i="3"/>
  <c r="H22" i="3"/>
  <c r="L22" i="3" s="1"/>
  <c r="J21" i="3"/>
  <c r="I21" i="3"/>
  <c r="H21" i="3"/>
  <c r="L21" i="3" s="1"/>
  <c r="J20" i="3"/>
  <c r="I20" i="3"/>
  <c r="H20" i="3"/>
  <c r="L20" i="3" s="1"/>
  <c r="J19" i="3"/>
  <c r="I19" i="3"/>
  <c r="H19" i="3"/>
  <c r="L19" i="3" s="1"/>
  <c r="J18" i="3"/>
  <c r="I18" i="3"/>
  <c r="H18" i="3"/>
  <c r="L18" i="3" s="1"/>
  <c r="J17" i="3"/>
  <c r="I17" i="3"/>
  <c r="H17" i="3"/>
  <c r="L17" i="3" s="1"/>
  <c r="J16" i="3"/>
  <c r="I16" i="3"/>
  <c r="H16" i="3"/>
  <c r="L16" i="3" s="1"/>
  <c r="J15" i="3"/>
  <c r="I15" i="3"/>
  <c r="H15" i="3"/>
  <c r="L15" i="3" s="1"/>
  <c r="J14" i="3"/>
  <c r="I14" i="3"/>
  <c r="H14" i="3"/>
  <c r="L14" i="3" s="1"/>
  <c r="J13" i="3"/>
  <c r="I13" i="3"/>
  <c r="H13" i="3"/>
  <c r="L13" i="3" s="1"/>
  <c r="J12" i="3"/>
  <c r="I12" i="3"/>
  <c r="H12" i="3"/>
  <c r="L12" i="3" s="1"/>
  <c r="J11" i="3"/>
  <c r="I11" i="3"/>
  <c r="H11" i="3"/>
  <c r="L11" i="3" s="1"/>
  <c r="J10" i="3"/>
  <c r="I10" i="3"/>
  <c r="H10" i="3"/>
  <c r="L10" i="3" s="1"/>
  <c r="J9" i="3"/>
  <c r="I9" i="3"/>
  <c r="H9" i="3"/>
  <c r="L9" i="3" s="1"/>
  <c r="J8" i="3"/>
  <c r="I8" i="3"/>
  <c r="H8" i="3"/>
  <c r="L8" i="3" s="1"/>
  <c r="J7" i="3"/>
  <c r="I7" i="3"/>
  <c r="H7" i="3"/>
  <c r="L7" i="3" s="1"/>
  <c r="J6" i="3"/>
  <c r="I6" i="3"/>
  <c r="H6" i="3"/>
  <c r="L6" i="3" s="1"/>
  <c r="B4" i="3"/>
  <c r="M37" i="2"/>
  <c r="M36" i="2"/>
  <c r="M35" i="2"/>
  <c r="M34" i="2"/>
  <c r="M33" i="2"/>
  <c r="M32" i="2"/>
  <c r="M31" i="2"/>
  <c r="M30" i="2"/>
  <c r="M29" i="2"/>
  <c r="M28" i="2"/>
  <c r="E20" i="2"/>
  <c r="E19" i="2"/>
  <c r="E18" i="2"/>
  <c r="E17" i="2"/>
  <c r="E16" i="2"/>
  <c r="F12" i="2"/>
  <c r="D12" i="2"/>
  <c r="H8" i="2"/>
  <c r="B8" i="2"/>
  <c r="B2" i="2"/>
  <c r="A37" i="1"/>
  <c r="A36" i="1"/>
  <c r="K11" i="7" l="1"/>
  <c r="K7" i="7"/>
  <c r="K10" i="7"/>
  <c r="K9" i="7"/>
  <c r="K8" i="7"/>
  <c r="B46" i="15"/>
  <c r="B45" i="15"/>
  <c r="B37" i="15"/>
  <c r="B36" i="15"/>
  <c r="B16" i="15"/>
  <c r="B17" i="15"/>
  <c r="H31" i="14"/>
  <c r="I6" i="14"/>
  <c r="I31" i="14" s="1"/>
  <c r="E34" i="13"/>
  <c r="C7" i="13"/>
  <c r="E33" i="13"/>
  <c r="C6" i="13"/>
  <c r="I10" i="13"/>
  <c r="G10" i="13" s="1"/>
  <c r="E10" i="13"/>
  <c r="I9" i="13"/>
  <c r="G9" i="13" s="1"/>
  <c r="E9" i="13"/>
  <c r="I8" i="13"/>
  <c r="G8" i="13" s="1"/>
  <c r="E8" i="13"/>
  <c r="B29" i="12"/>
  <c r="B30" i="12"/>
  <c r="B20" i="11"/>
  <c r="B19" i="11"/>
  <c r="M17" i="9"/>
  <c r="N17" i="9" s="1"/>
  <c r="O17" i="9"/>
  <c r="O16" i="9"/>
  <c r="M16" i="9"/>
  <c r="N16" i="9" s="1"/>
  <c r="O15" i="9"/>
  <c r="M15" i="9"/>
  <c r="N15" i="9" s="1"/>
  <c r="M14" i="9"/>
  <c r="N14" i="9" s="1"/>
  <c r="O14" i="9"/>
  <c r="M13" i="9"/>
  <c r="N13" i="9" s="1"/>
  <c r="O13" i="9"/>
  <c r="M12" i="9"/>
  <c r="N12" i="9" s="1"/>
  <c r="O12" i="9"/>
  <c r="M11" i="9"/>
  <c r="N11" i="9" s="1"/>
  <c r="O11" i="9"/>
  <c r="O10" i="9"/>
  <c r="M10" i="9"/>
  <c r="N10" i="9" s="1"/>
  <c r="O9" i="9"/>
  <c r="M9" i="9"/>
  <c r="N9" i="9" s="1"/>
  <c r="M8" i="9"/>
  <c r="N8" i="9" s="1"/>
  <c r="O8" i="9" s="1"/>
  <c r="Q8" i="9" s="1"/>
  <c r="M7" i="9"/>
  <c r="N7" i="9" s="1"/>
  <c r="O7" i="9" s="1"/>
  <c r="Q7" i="9" s="1"/>
  <c r="M6" i="9"/>
  <c r="L18" i="9"/>
  <c r="K18" i="9"/>
  <c r="M15" i="8"/>
  <c r="I15" i="8"/>
  <c r="N15" i="8" s="1"/>
  <c r="J15" i="8"/>
  <c r="K15" i="8"/>
  <c r="M14" i="8"/>
  <c r="I14" i="8"/>
  <c r="N14" i="8" s="1"/>
  <c r="J14" i="8"/>
  <c r="K14" i="8"/>
  <c r="M13" i="8"/>
  <c r="I13" i="8"/>
  <c r="N13" i="8" s="1"/>
  <c r="K13" i="8"/>
  <c r="J13" i="8"/>
  <c r="I12" i="8"/>
  <c r="N12" i="8" s="1"/>
  <c r="M12" i="8"/>
  <c r="J12" i="8"/>
  <c r="K12" i="8"/>
  <c r="M11" i="8"/>
  <c r="I11" i="8"/>
  <c r="N11" i="8" s="1"/>
  <c r="K11" i="8"/>
  <c r="J11" i="8"/>
  <c r="I10" i="8"/>
  <c r="N10" i="8" s="1"/>
  <c r="M10" i="8"/>
  <c r="J10" i="8"/>
  <c r="K10" i="8"/>
  <c r="I9" i="8"/>
  <c r="N9" i="8" s="1"/>
  <c r="M9" i="8"/>
  <c r="J9" i="8"/>
  <c r="K9" i="8"/>
  <c r="M8" i="8"/>
  <c r="I8" i="8"/>
  <c r="N8" i="8" s="1"/>
  <c r="K8" i="8"/>
  <c r="J8" i="8"/>
  <c r="M7" i="8"/>
  <c r="I7" i="8"/>
  <c r="K7" i="8"/>
  <c r="J7" i="8"/>
  <c r="I6" i="8"/>
  <c r="M6" i="8"/>
  <c r="K6" i="8"/>
  <c r="K16" i="8" s="1"/>
  <c r="J6" i="8"/>
  <c r="J16" i="8" s="1"/>
  <c r="G16" i="8"/>
  <c r="C19" i="8" s="1"/>
  <c r="L13" i="7"/>
  <c r="L12" i="7"/>
  <c r="K12" i="7"/>
  <c r="L11" i="7"/>
  <c r="L10" i="7"/>
  <c r="L9" i="7"/>
  <c r="L8" i="7"/>
  <c r="L7" i="7"/>
  <c r="M61" i="5"/>
  <c r="G61" i="5"/>
  <c r="N61" i="5"/>
  <c r="I61" i="5"/>
  <c r="D61" i="5"/>
  <c r="J61" i="5"/>
  <c r="L61" i="5"/>
  <c r="E46" i="4" s="1"/>
  <c r="O37" i="2" s="1"/>
  <c r="C61" i="5"/>
  <c r="F61" i="5"/>
  <c r="K61" i="5"/>
  <c r="H61" i="5"/>
  <c r="E61" i="5"/>
  <c r="R60" i="5"/>
  <c r="K60" i="5"/>
  <c r="M60" i="5"/>
  <c r="L60" i="5"/>
  <c r="E45" i="4" s="1"/>
  <c r="D60" i="5"/>
  <c r="G60" i="5"/>
  <c r="J60" i="5"/>
  <c r="F60" i="5"/>
  <c r="I60" i="5"/>
  <c r="E60" i="5"/>
  <c r="C60" i="5"/>
  <c r="N60" i="5"/>
  <c r="H60" i="5"/>
  <c r="M59" i="5"/>
  <c r="J59" i="5"/>
  <c r="E59" i="5"/>
  <c r="K59" i="5"/>
  <c r="F59" i="5"/>
  <c r="D59" i="5"/>
  <c r="I59" i="5"/>
  <c r="L59" i="5"/>
  <c r="E44" i="4" s="1"/>
  <c r="N59" i="5"/>
  <c r="G59" i="5"/>
  <c r="C59" i="5"/>
  <c r="H59" i="5"/>
  <c r="R58" i="5"/>
  <c r="I58" i="5"/>
  <c r="E58" i="5"/>
  <c r="K58" i="5"/>
  <c r="F58" i="5"/>
  <c r="G58" i="5"/>
  <c r="J58" i="5"/>
  <c r="M58" i="5"/>
  <c r="C58" i="5"/>
  <c r="H58" i="5"/>
  <c r="N58" i="5"/>
  <c r="L58" i="5"/>
  <c r="E43" i="4" s="1"/>
  <c r="D57" i="5"/>
  <c r="F57" i="5"/>
  <c r="H57" i="5"/>
  <c r="I57" i="5"/>
  <c r="L57" i="5"/>
  <c r="E42" i="4" s="1"/>
  <c r="N57" i="5"/>
  <c r="M57" i="5"/>
  <c r="J57" i="5"/>
  <c r="E57" i="5"/>
  <c r="C57" i="5"/>
  <c r="K57" i="5"/>
  <c r="G57" i="5"/>
  <c r="R56" i="5"/>
  <c r="D56" i="5"/>
  <c r="G56" i="5"/>
  <c r="C56" i="5"/>
  <c r="F56" i="5"/>
  <c r="J56" i="5"/>
  <c r="M56" i="5"/>
  <c r="N56" i="5"/>
  <c r="L56" i="5"/>
  <c r="E41" i="4" s="1"/>
  <c r="I56" i="5"/>
  <c r="E56" i="5"/>
  <c r="H56" i="5"/>
  <c r="K56" i="5"/>
  <c r="E55" i="5"/>
  <c r="G55" i="5"/>
  <c r="I55" i="5"/>
  <c r="M55" i="5"/>
  <c r="C55" i="5"/>
  <c r="D55" i="5"/>
  <c r="F55" i="5"/>
  <c r="K55" i="5"/>
  <c r="N55" i="5"/>
  <c r="L55" i="5"/>
  <c r="E40" i="4" s="1"/>
  <c r="H55" i="5"/>
  <c r="J55" i="5"/>
  <c r="G54" i="5"/>
  <c r="J54" i="5"/>
  <c r="N54" i="5"/>
  <c r="K54" i="5"/>
  <c r="M54" i="5"/>
  <c r="C54" i="5"/>
  <c r="H54" i="5"/>
  <c r="E54" i="5"/>
  <c r="D54" i="5"/>
  <c r="I54" i="5"/>
  <c r="F54" i="5"/>
  <c r="L54" i="5"/>
  <c r="E39" i="4" s="1"/>
  <c r="H53" i="5"/>
  <c r="N53" i="5"/>
  <c r="C53" i="5"/>
  <c r="G53" i="5"/>
  <c r="J53" i="5"/>
  <c r="E53" i="5"/>
  <c r="K53" i="5"/>
  <c r="M53" i="5"/>
  <c r="D53" i="5"/>
  <c r="F53" i="5"/>
  <c r="I53" i="5"/>
  <c r="L53" i="5"/>
  <c r="E38" i="4" s="1"/>
  <c r="G52" i="5"/>
  <c r="D52" i="5"/>
  <c r="N52" i="5"/>
  <c r="J52" i="5"/>
  <c r="E52" i="5"/>
  <c r="H52" i="5"/>
  <c r="K52" i="5"/>
  <c r="L52" i="5"/>
  <c r="E37" i="4" s="1"/>
  <c r="I52" i="5"/>
  <c r="F52" i="5"/>
  <c r="C52" i="5"/>
  <c r="M52" i="5"/>
  <c r="D51" i="5"/>
  <c r="H51" i="5"/>
  <c r="F51" i="5"/>
  <c r="M51" i="5"/>
  <c r="K51" i="5"/>
  <c r="J51" i="5"/>
  <c r="L51" i="5"/>
  <c r="E36" i="4" s="1"/>
  <c r="N51" i="5"/>
  <c r="E51" i="5"/>
  <c r="G51" i="5"/>
  <c r="I51" i="5"/>
  <c r="C51" i="5"/>
  <c r="K50" i="5"/>
  <c r="N50" i="5"/>
  <c r="C50" i="5"/>
  <c r="J50" i="5"/>
  <c r="G50" i="5"/>
  <c r="D50" i="5"/>
  <c r="F50" i="5"/>
  <c r="I50" i="5"/>
  <c r="M50" i="5"/>
  <c r="L50" i="5"/>
  <c r="E35" i="4" s="1"/>
  <c r="O35" i="2" s="1"/>
  <c r="H50" i="5"/>
  <c r="E50" i="5"/>
  <c r="H49" i="5"/>
  <c r="N49" i="5"/>
  <c r="K49" i="5"/>
  <c r="I49" i="5"/>
  <c r="F49" i="5"/>
  <c r="C49" i="5"/>
  <c r="J49" i="5"/>
  <c r="L49" i="5"/>
  <c r="E34" i="4" s="1"/>
  <c r="M49" i="5"/>
  <c r="D49" i="5"/>
  <c r="G49" i="5"/>
  <c r="E49" i="5"/>
  <c r="M48" i="5"/>
  <c r="J48" i="5"/>
  <c r="G48" i="5"/>
  <c r="E48" i="5"/>
  <c r="N48" i="5"/>
  <c r="L48" i="5"/>
  <c r="E33" i="4" s="1"/>
  <c r="I48" i="5"/>
  <c r="F48" i="5"/>
  <c r="C48" i="5"/>
  <c r="K48" i="5"/>
  <c r="D48" i="5"/>
  <c r="H48" i="5"/>
  <c r="N47" i="5"/>
  <c r="L47" i="5"/>
  <c r="E32" i="4" s="1"/>
  <c r="I47" i="5"/>
  <c r="F47" i="5"/>
  <c r="D47" i="5"/>
  <c r="M47" i="5"/>
  <c r="C47" i="5"/>
  <c r="G47" i="5"/>
  <c r="K47" i="5"/>
  <c r="J47" i="5"/>
  <c r="H47" i="5"/>
  <c r="E47" i="5"/>
  <c r="F46" i="5"/>
  <c r="N46" i="5"/>
  <c r="K46" i="5"/>
  <c r="M46" i="5"/>
  <c r="I46" i="5"/>
  <c r="E46" i="5"/>
  <c r="C46" i="5"/>
  <c r="D46" i="5"/>
  <c r="J46" i="5"/>
  <c r="G46" i="5"/>
  <c r="H46" i="5"/>
  <c r="L46" i="5"/>
  <c r="E31" i="4" s="1"/>
  <c r="D45" i="5"/>
  <c r="G45" i="5"/>
  <c r="J45" i="5"/>
  <c r="L45" i="5"/>
  <c r="E30" i="4" s="1"/>
  <c r="N45" i="5"/>
  <c r="I45" i="5"/>
  <c r="E45" i="5"/>
  <c r="C45" i="5"/>
  <c r="F45" i="5"/>
  <c r="H45" i="5"/>
  <c r="K45" i="5"/>
  <c r="M45" i="5"/>
  <c r="I44" i="5"/>
  <c r="L44" i="5"/>
  <c r="E29" i="4" s="1"/>
  <c r="N44" i="5"/>
  <c r="K44" i="5"/>
  <c r="H44" i="5"/>
  <c r="E44" i="5"/>
  <c r="D44" i="5"/>
  <c r="F44" i="5"/>
  <c r="M44" i="5"/>
  <c r="J44" i="5"/>
  <c r="G44" i="5"/>
  <c r="C44" i="5"/>
  <c r="O44" i="5" s="1"/>
  <c r="M43" i="5"/>
  <c r="E43" i="5"/>
  <c r="I43" i="5"/>
  <c r="H43" i="5"/>
  <c r="N43" i="5"/>
  <c r="L43" i="5"/>
  <c r="E28" i="4" s="1"/>
  <c r="F43" i="5"/>
  <c r="C43" i="5"/>
  <c r="J43" i="5"/>
  <c r="D43" i="5"/>
  <c r="G43" i="5"/>
  <c r="K43" i="5"/>
  <c r="F42" i="5"/>
  <c r="C42" i="5"/>
  <c r="G42" i="5"/>
  <c r="K42" i="5"/>
  <c r="E42" i="5"/>
  <c r="I42" i="5"/>
  <c r="M42" i="5"/>
  <c r="H42" i="5"/>
  <c r="D42" i="5"/>
  <c r="N42" i="5"/>
  <c r="J42" i="5"/>
  <c r="L42" i="5"/>
  <c r="E27" i="4" s="1"/>
  <c r="O33" i="2" s="1"/>
  <c r="N41" i="5"/>
  <c r="J41" i="5"/>
  <c r="G41" i="5"/>
  <c r="C41" i="5"/>
  <c r="E41" i="5"/>
  <c r="K41" i="5"/>
  <c r="I41" i="5"/>
  <c r="L41" i="5"/>
  <c r="E26" i="4" s="1"/>
  <c r="F41" i="5"/>
  <c r="D41" i="5"/>
  <c r="H41" i="5"/>
  <c r="M41" i="5"/>
  <c r="E40" i="5"/>
  <c r="G40" i="5"/>
  <c r="L40" i="5"/>
  <c r="E25" i="4" s="1"/>
  <c r="O32" i="2" s="1"/>
  <c r="F40" i="5"/>
  <c r="K40" i="5"/>
  <c r="C40" i="5"/>
  <c r="H40" i="5"/>
  <c r="I40" i="5"/>
  <c r="J40" i="5"/>
  <c r="M40" i="5"/>
  <c r="N40" i="5"/>
  <c r="D40" i="5"/>
  <c r="L39" i="5"/>
  <c r="E24" i="4" s="1"/>
  <c r="J39" i="5"/>
  <c r="F39" i="5"/>
  <c r="M39" i="5"/>
  <c r="H39" i="5"/>
  <c r="I39" i="5"/>
  <c r="E39" i="5"/>
  <c r="D39" i="5"/>
  <c r="C39" i="5"/>
  <c r="N39" i="5"/>
  <c r="K39" i="5"/>
  <c r="L38" i="5"/>
  <c r="E23" i="4" s="1"/>
  <c r="M38" i="5"/>
  <c r="K38" i="5"/>
  <c r="N38" i="5"/>
  <c r="I38" i="5"/>
  <c r="G38" i="5"/>
  <c r="C38" i="5"/>
  <c r="H38" i="5"/>
  <c r="E38" i="5"/>
  <c r="D38" i="5"/>
  <c r="F38" i="5"/>
  <c r="J38" i="5"/>
  <c r="R37" i="5"/>
  <c r="I37" i="5"/>
  <c r="F37" i="5"/>
  <c r="M37" i="5"/>
  <c r="J37" i="5"/>
  <c r="G37" i="5"/>
  <c r="E37" i="5"/>
  <c r="C37" i="5"/>
  <c r="N37" i="5"/>
  <c r="D37" i="5"/>
  <c r="H37" i="5"/>
  <c r="K37" i="5"/>
  <c r="L37" i="5"/>
  <c r="E22" i="4" s="1"/>
  <c r="J36" i="5"/>
  <c r="N36" i="5"/>
  <c r="K36" i="5"/>
  <c r="I36" i="5"/>
  <c r="F36" i="5"/>
  <c r="C36" i="5"/>
  <c r="M36" i="5"/>
  <c r="G36" i="5"/>
  <c r="D36" i="5"/>
  <c r="E36" i="5"/>
  <c r="H36" i="5"/>
  <c r="L36" i="5"/>
  <c r="E21" i="4" s="1"/>
  <c r="E35" i="5"/>
  <c r="L35" i="5"/>
  <c r="E20" i="4" s="1"/>
  <c r="M35" i="5"/>
  <c r="J35" i="5"/>
  <c r="G35" i="5"/>
  <c r="D35" i="5"/>
  <c r="C35" i="5"/>
  <c r="F35" i="5"/>
  <c r="I35" i="5"/>
  <c r="N35" i="5"/>
  <c r="K35" i="5"/>
  <c r="H35" i="5"/>
  <c r="H34" i="5"/>
  <c r="M34" i="5"/>
  <c r="C34" i="5"/>
  <c r="F34" i="5"/>
  <c r="D34" i="5"/>
  <c r="E34" i="5"/>
  <c r="I34" i="5"/>
  <c r="J34" i="5"/>
  <c r="G34" i="5"/>
  <c r="L34" i="5"/>
  <c r="E19" i="4" s="1"/>
  <c r="N34" i="5"/>
  <c r="K34" i="5"/>
  <c r="C33" i="5"/>
  <c r="N33" i="5"/>
  <c r="L33" i="5"/>
  <c r="E18" i="4" s="1"/>
  <c r="I33" i="5"/>
  <c r="F33" i="5"/>
  <c r="M33" i="5"/>
  <c r="E33" i="5"/>
  <c r="J33" i="5"/>
  <c r="K33" i="5"/>
  <c r="H33" i="5"/>
  <c r="G33" i="5"/>
  <c r="D33" i="5"/>
  <c r="L32" i="5"/>
  <c r="E17" i="4" s="1"/>
  <c r="O30" i="2" s="1"/>
  <c r="I32" i="5"/>
  <c r="G32" i="5"/>
  <c r="D32" i="5"/>
  <c r="M32" i="5"/>
  <c r="F32" i="5"/>
  <c r="J32" i="5"/>
  <c r="H32" i="5"/>
  <c r="C32" i="5"/>
  <c r="E32" i="5"/>
  <c r="K32" i="5"/>
  <c r="N32" i="5"/>
  <c r="M31" i="5"/>
  <c r="C31" i="5"/>
  <c r="L31" i="5"/>
  <c r="E16" i="4" s="1"/>
  <c r="F31" i="5"/>
  <c r="E31" i="5"/>
  <c r="I31" i="5"/>
  <c r="K31" i="5"/>
  <c r="N31" i="5"/>
  <c r="H31" i="5"/>
  <c r="D31" i="5"/>
  <c r="G31" i="5"/>
  <c r="J31" i="5"/>
  <c r="J30" i="5"/>
  <c r="M30" i="5"/>
  <c r="D30" i="5"/>
  <c r="G30" i="5"/>
  <c r="N30" i="5"/>
  <c r="K30" i="5"/>
  <c r="E30" i="5"/>
  <c r="H30" i="5"/>
  <c r="L30" i="5"/>
  <c r="E15" i="4" s="1"/>
  <c r="O29" i="2" s="1"/>
  <c r="I30" i="5"/>
  <c r="F30" i="5"/>
  <c r="C30" i="5"/>
  <c r="O30" i="5" s="1"/>
  <c r="R29" i="5"/>
  <c r="L29" i="5"/>
  <c r="E14" i="4" s="1"/>
  <c r="I29" i="5"/>
  <c r="F29" i="5"/>
  <c r="C29" i="5"/>
  <c r="M29" i="5"/>
  <c r="H29" i="5"/>
  <c r="G29" i="5"/>
  <c r="D29" i="5"/>
  <c r="K29" i="5"/>
  <c r="N29" i="5"/>
  <c r="J29" i="5"/>
  <c r="G28" i="5"/>
  <c r="M28" i="5"/>
  <c r="D28" i="5"/>
  <c r="K28" i="5"/>
  <c r="N28" i="5"/>
  <c r="L28" i="5"/>
  <c r="E13" i="4" s="1"/>
  <c r="J28" i="5"/>
  <c r="I28" i="5"/>
  <c r="F28" i="5"/>
  <c r="E28" i="5"/>
  <c r="C28" i="5"/>
  <c r="H28" i="5"/>
  <c r="H27" i="5"/>
  <c r="N27" i="5"/>
  <c r="L27" i="5"/>
  <c r="E12" i="4" s="1"/>
  <c r="J27" i="5"/>
  <c r="M27" i="5"/>
  <c r="D27" i="5"/>
  <c r="G27" i="5"/>
  <c r="E27" i="5"/>
  <c r="K27" i="5"/>
  <c r="C27" i="5"/>
  <c r="F27" i="5"/>
  <c r="I27" i="5"/>
  <c r="K26" i="5"/>
  <c r="M26" i="5"/>
  <c r="C26" i="5"/>
  <c r="N26" i="5"/>
  <c r="L26" i="5"/>
  <c r="E11" i="4" s="1"/>
  <c r="J26" i="5"/>
  <c r="H26" i="5"/>
  <c r="G26" i="5"/>
  <c r="E26" i="5"/>
  <c r="D26" i="5"/>
  <c r="F26" i="5"/>
  <c r="I26" i="5"/>
  <c r="J25" i="5"/>
  <c r="L25" i="5"/>
  <c r="E10" i="4" s="1"/>
  <c r="N25" i="5"/>
  <c r="C25" i="5"/>
  <c r="D25" i="5"/>
  <c r="E25" i="5"/>
  <c r="F25" i="5"/>
  <c r="G25" i="5"/>
  <c r="I25" i="5"/>
  <c r="K25" i="5"/>
  <c r="M25" i="5"/>
  <c r="L24" i="5"/>
  <c r="E9" i="4" s="1"/>
  <c r="G24" i="5"/>
  <c r="F24" i="5"/>
  <c r="D24" i="5"/>
  <c r="C24" i="5"/>
  <c r="I24" i="5"/>
  <c r="H24" i="5"/>
  <c r="J24" i="5"/>
  <c r="K24" i="5"/>
  <c r="M24" i="5"/>
  <c r="N24" i="5"/>
  <c r="E24" i="5"/>
  <c r="C23" i="5"/>
  <c r="D23" i="5"/>
  <c r="E23" i="5"/>
  <c r="F23" i="5"/>
  <c r="G23" i="5"/>
  <c r="H23" i="5"/>
  <c r="I23" i="5"/>
  <c r="K23" i="5"/>
  <c r="L23" i="5"/>
  <c r="E8" i="4" s="1"/>
  <c r="M23" i="5"/>
  <c r="N23" i="5"/>
  <c r="J23" i="5"/>
  <c r="C22" i="5"/>
  <c r="D22" i="5"/>
  <c r="E22" i="5"/>
  <c r="J22" i="5"/>
  <c r="G22" i="5"/>
  <c r="H22" i="5"/>
  <c r="L22" i="5"/>
  <c r="E7" i="4" s="1"/>
  <c r="M22" i="5"/>
  <c r="F22" i="5"/>
  <c r="K22" i="5"/>
  <c r="I22" i="5"/>
  <c r="N22" i="5"/>
  <c r="P62" i="5"/>
  <c r="D63" i="5"/>
  <c r="D6" i="6" s="1"/>
  <c r="N63" i="5"/>
  <c r="D16" i="6" s="1"/>
  <c r="K63" i="5"/>
  <c r="D13" i="6" s="1"/>
  <c r="H63" i="5"/>
  <c r="D10" i="6" s="1"/>
  <c r="L63" i="5"/>
  <c r="D14" i="6" s="1"/>
  <c r="G63" i="5"/>
  <c r="D9" i="6" s="1"/>
  <c r="J63" i="5"/>
  <c r="D12" i="6" s="1"/>
  <c r="E63" i="5"/>
  <c r="D7" i="6" s="1"/>
  <c r="M63" i="5"/>
  <c r="D15" i="6" s="1"/>
  <c r="C63" i="5"/>
  <c r="D5" i="6" s="1"/>
  <c r="F63" i="5"/>
  <c r="D8" i="6" s="1"/>
  <c r="I63" i="5"/>
  <c r="D11" i="6" s="1"/>
  <c r="H21" i="5"/>
  <c r="G21" i="5"/>
  <c r="F21" i="5"/>
  <c r="E21" i="5"/>
  <c r="D21" i="5"/>
  <c r="C21" i="5"/>
  <c r="K21" i="5"/>
  <c r="M21" i="5"/>
  <c r="L21" i="5"/>
  <c r="N21" i="5"/>
  <c r="J21" i="5"/>
  <c r="I21" i="5"/>
  <c r="N17" i="5"/>
  <c r="M17" i="5"/>
  <c r="L17" i="5"/>
  <c r="H17" i="5"/>
  <c r="K17" i="5"/>
  <c r="J17" i="5"/>
  <c r="I17" i="5"/>
  <c r="G17" i="5"/>
  <c r="C17" i="5"/>
  <c r="D17" i="5"/>
  <c r="E17" i="5"/>
  <c r="F17" i="5"/>
  <c r="C16" i="5"/>
  <c r="N16" i="5"/>
  <c r="M16" i="5"/>
  <c r="L16" i="5"/>
  <c r="K16" i="5"/>
  <c r="J16" i="5"/>
  <c r="I16" i="5"/>
  <c r="H16" i="5"/>
  <c r="G16" i="5"/>
  <c r="F16" i="5"/>
  <c r="E16" i="5"/>
  <c r="D16" i="5"/>
  <c r="J15" i="5"/>
  <c r="I15" i="5"/>
  <c r="H15" i="5"/>
  <c r="G15" i="5"/>
  <c r="F15" i="5"/>
  <c r="E15" i="5"/>
  <c r="D15" i="5"/>
  <c r="C15" i="5"/>
  <c r="M15" i="5"/>
  <c r="L15" i="5"/>
  <c r="K15" i="5"/>
  <c r="N15" i="5"/>
  <c r="H14" i="5"/>
  <c r="E14" i="5"/>
  <c r="D14" i="5"/>
  <c r="C14" i="5"/>
  <c r="K14" i="5"/>
  <c r="J14" i="5"/>
  <c r="I14" i="5"/>
  <c r="G14" i="5"/>
  <c r="F14" i="5"/>
  <c r="M14" i="5"/>
  <c r="N14" i="5"/>
  <c r="L14" i="5"/>
  <c r="J13" i="5"/>
  <c r="L13" i="5"/>
  <c r="M13" i="5"/>
  <c r="N13" i="5"/>
  <c r="E13" i="5"/>
  <c r="K13" i="5"/>
  <c r="I13" i="5"/>
  <c r="D13" i="5"/>
  <c r="C13" i="5"/>
  <c r="H13" i="5"/>
  <c r="G13" i="5"/>
  <c r="F13" i="5"/>
  <c r="D12" i="5"/>
  <c r="G12" i="5"/>
  <c r="H12" i="5"/>
  <c r="I12" i="5"/>
  <c r="J12" i="5"/>
  <c r="L12" i="5"/>
  <c r="M12" i="5"/>
  <c r="N12" i="5"/>
  <c r="F12" i="5"/>
  <c r="K12" i="5"/>
  <c r="E12" i="5"/>
  <c r="C12" i="5"/>
  <c r="O12" i="5" s="1"/>
  <c r="E11" i="5"/>
  <c r="G11" i="5"/>
  <c r="J11" i="5"/>
  <c r="K11" i="5"/>
  <c r="H11" i="5"/>
  <c r="F11" i="5"/>
  <c r="L11" i="5"/>
  <c r="C11" i="5"/>
  <c r="N11" i="5"/>
  <c r="M11" i="5"/>
  <c r="I11" i="5"/>
  <c r="D11" i="5"/>
  <c r="E10" i="5"/>
  <c r="G10" i="5"/>
  <c r="N10" i="5"/>
  <c r="L10" i="5"/>
  <c r="H10" i="5"/>
  <c r="F10" i="5"/>
  <c r="C10" i="5"/>
  <c r="M10" i="5"/>
  <c r="D10" i="5"/>
  <c r="K10" i="5"/>
  <c r="J10" i="5"/>
  <c r="I10" i="5"/>
  <c r="J9" i="5"/>
  <c r="D9" i="5"/>
  <c r="C9" i="5"/>
  <c r="L9" i="5"/>
  <c r="H9" i="5"/>
  <c r="E9" i="5"/>
  <c r="F9" i="5"/>
  <c r="I9" i="5"/>
  <c r="M9" i="5"/>
  <c r="G9" i="5"/>
  <c r="N9" i="5"/>
  <c r="K9" i="5"/>
  <c r="F8" i="5"/>
  <c r="I8" i="5"/>
  <c r="L8" i="5"/>
  <c r="E8" i="5"/>
  <c r="G8" i="5"/>
  <c r="J8" i="5"/>
  <c r="N8" i="5"/>
  <c r="H8" i="5"/>
  <c r="M8" i="5"/>
  <c r="K8" i="5"/>
  <c r="C8" i="5"/>
  <c r="D8" i="5"/>
  <c r="L7" i="5"/>
  <c r="M7" i="5"/>
  <c r="N7" i="5"/>
  <c r="E7" i="5"/>
  <c r="F7" i="5"/>
  <c r="D7" i="5"/>
  <c r="C7" i="5"/>
  <c r="G7" i="5"/>
  <c r="H7" i="5"/>
  <c r="I7" i="5"/>
  <c r="J7" i="5"/>
  <c r="K7" i="5"/>
  <c r="K6" i="5"/>
  <c r="K18" i="5" s="1"/>
  <c r="J6" i="5"/>
  <c r="J18" i="5" s="1"/>
  <c r="M6" i="5"/>
  <c r="M18" i="5" s="1"/>
  <c r="I6" i="5"/>
  <c r="I18" i="5" s="1"/>
  <c r="H6" i="5"/>
  <c r="H18" i="5" s="1"/>
  <c r="G6" i="5"/>
  <c r="G18" i="5" s="1"/>
  <c r="F6" i="5"/>
  <c r="F18" i="5" s="1"/>
  <c r="E6" i="5"/>
  <c r="E18" i="5" s="1"/>
  <c r="D6" i="5"/>
  <c r="D18" i="5" s="1"/>
  <c r="C6" i="5"/>
  <c r="N6" i="5"/>
  <c r="N18" i="5" s="1"/>
  <c r="L6" i="5"/>
  <c r="L18" i="5" s="1"/>
  <c r="D53" i="4"/>
  <c r="D54" i="4" s="1"/>
  <c r="J47" i="4"/>
  <c r="N37" i="2"/>
  <c r="N36" i="2"/>
  <c r="N35" i="2"/>
  <c r="N34" i="2"/>
  <c r="O34" i="2"/>
  <c r="N33" i="2"/>
  <c r="N32" i="2"/>
  <c r="N31" i="2"/>
  <c r="N30" i="2"/>
  <c r="N29" i="2"/>
  <c r="N28" i="2"/>
  <c r="M10" i="7" l="1"/>
  <c r="N10" i="7"/>
  <c r="O31" i="2"/>
  <c r="C61" i="4"/>
  <c r="O36" i="2"/>
  <c r="C60" i="4"/>
  <c r="E7" i="13"/>
  <c r="I7" i="13"/>
  <c r="G7" i="13" s="1"/>
  <c r="C11" i="13"/>
  <c r="E6" i="13"/>
  <c r="E11" i="13" s="1"/>
  <c r="I6" i="13"/>
  <c r="B31" i="12"/>
  <c r="B21" i="11"/>
  <c r="N6" i="9"/>
  <c r="M18" i="9"/>
  <c r="N6" i="8"/>
  <c r="I16" i="8"/>
  <c r="C21" i="10" s="1"/>
  <c r="C23" i="10" s="1"/>
  <c r="F46" i="4"/>
  <c r="G46" i="4"/>
  <c r="H46" i="4"/>
  <c r="M46" i="4"/>
  <c r="F45" i="4"/>
  <c r="H45" i="4"/>
  <c r="M45" i="4"/>
  <c r="F44" i="4"/>
  <c r="G44" i="4"/>
  <c r="H44" i="4"/>
  <c r="M44" i="4"/>
  <c r="F43" i="4"/>
  <c r="H43" i="4"/>
  <c r="M43" i="4"/>
  <c r="F42" i="4"/>
  <c r="G42" i="4"/>
  <c r="H42" i="4"/>
  <c r="M42" i="4"/>
  <c r="F41" i="4"/>
  <c r="H41" i="4"/>
  <c r="M41" i="4"/>
  <c r="F40" i="4"/>
  <c r="G40" i="4"/>
  <c r="H40" i="4"/>
  <c r="M40" i="4"/>
  <c r="F39" i="4"/>
  <c r="G39" i="4"/>
  <c r="H39" i="4"/>
  <c r="M39" i="4"/>
  <c r="F38" i="4"/>
  <c r="G38" i="4"/>
  <c r="H38" i="4"/>
  <c r="M38" i="4"/>
  <c r="F37" i="4"/>
  <c r="G37" i="4"/>
  <c r="H37" i="4"/>
  <c r="M37" i="4"/>
  <c r="F36" i="4"/>
  <c r="G36" i="4"/>
  <c r="H36" i="4"/>
  <c r="M36" i="4"/>
  <c r="F35" i="4"/>
  <c r="G35" i="4"/>
  <c r="H35" i="4"/>
  <c r="M35" i="4"/>
  <c r="F34" i="4"/>
  <c r="G34" i="4"/>
  <c r="H34" i="4"/>
  <c r="M34" i="4"/>
  <c r="F33" i="4"/>
  <c r="G33" i="4"/>
  <c r="H33" i="4"/>
  <c r="M33" i="4"/>
  <c r="F32" i="4"/>
  <c r="G32" i="4"/>
  <c r="H32" i="4"/>
  <c r="M32" i="4"/>
  <c r="F31" i="4"/>
  <c r="G31" i="4"/>
  <c r="H31" i="4"/>
  <c r="M31" i="4"/>
  <c r="F30" i="4"/>
  <c r="G30" i="4"/>
  <c r="H30" i="4"/>
  <c r="M30" i="4"/>
  <c r="F29" i="4"/>
  <c r="G29" i="4"/>
  <c r="H29" i="4"/>
  <c r="M29" i="4"/>
  <c r="F28" i="4"/>
  <c r="G28" i="4"/>
  <c r="H28" i="4"/>
  <c r="M28" i="4"/>
  <c r="F27" i="4"/>
  <c r="G27" i="4"/>
  <c r="H27" i="4"/>
  <c r="M27" i="4"/>
  <c r="F26" i="4"/>
  <c r="G26" i="4"/>
  <c r="H26" i="4"/>
  <c r="M26" i="4"/>
  <c r="F25" i="4"/>
  <c r="G25" i="4"/>
  <c r="H25" i="4"/>
  <c r="M25" i="4"/>
  <c r="F24" i="4"/>
  <c r="G24" i="4"/>
  <c r="H24" i="4"/>
  <c r="M24" i="4"/>
  <c r="F23" i="4"/>
  <c r="G23" i="4"/>
  <c r="H23" i="4"/>
  <c r="M23" i="4"/>
  <c r="F22" i="4"/>
  <c r="H22" i="4"/>
  <c r="M22" i="4"/>
  <c r="F21" i="4"/>
  <c r="G21" i="4"/>
  <c r="H21" i="4"/>
  <c r="M21" i="4"/>
  <c r="F20" i="4"/>
  <c r="G20" i="4"/>
  <c r="H20" i="4"/>
  <c r="M20" i="4"/>
  <c r="F19" i="4"/>
  <c r="G19" i="4"/>
  <c r="H19" i="4"/>
  <c r="M19" i="4"/>
  <c r="F18" i="4"/>
  <c r="G18" i="4"/>
  <c r="H18" i="4"/>
  <c r="M18" i="4"/>
  <c r="F17" i="4"/>
  <c r="G17" i="4"/>
  <c r="H17" i="4"/>
  <c r="M17" i="4"/>
  <c r="F16" i="4"/>
  <c r="G16" i="4"/>
  <c r="H16" i="4"/>
  <c r="M16" i="4"/>
  <c r="F15" i="4"/>
  <c r="G15" i="4"/>
  <c r="H15" i="4"/>
  <c r="M15" i="4"/>
  <c r="F14" i="4"/>
  <c r="H14" i="4"/>
  <c r="M14" i="4"/>
  <c r="F13" i="4"/>
  <c r="G13" i="4"/>
  <c r="H13" i="4"/>
  <c r="M13" i="4"/>
  <c r="F12" i="4"/>
  <c r="G12" i="4"/>
  <c r="H12" i="4"/>
  <c r="M12" i="4"/>
  <c r="F11" i="4"/>
  <c r="G11" i="4"/>
  <c r="H11" i="4"/>
  <c r="M11" i="4"/>
  <c r="F10" i="4"/>
  <c r="G10" i="4"/>
  <c r="H10" i="4"/>
  <c r="M10" i="4"/>
  <c r="F9" i="4"/>
  <c r="G9" i="4"/>
  <c r="H9" i="4"/>
  <c r="M9" i="4"/>
  <c r="F8" i="4"/>
  <c r="G8" i="4"/>
  <c r="H8" i="4"/>
  <c r="M8" i="4"/>
  <c r="F7" i="4"/>
  <c r="G7" i="4"/>
  <c r="H7" i="4"/>
  <c r="M7" i="4"/>
  <c r="O21" i="5"/>
  <c r="C62" i="5"/>
  <c r="E6" i="4"/>
  <c r="L62" i="5"/>
  <c r="B13" i="6"/>
  <c r="B12" i="6"/>
  <c r="M66" i="5"/>
  <c r="B15" i="6"/>
  <c r="B11" i="6"/>
  <c r="B10" i="6"/>
  <c r="B9" i="6"/>
  <c r="B8" i="6"/>
  <c r="B7" i="6"/>
  <c r="B6" i="6"/>
  <c r="O6" i="5"/>
  <c r="C18" i="5"/>
  <c r="N66" i="5"/>
  <c r="B16" i="6"/>
  <c r="D52" i="4"/>
  <c r="B14" i="6"/>
  <c r="N7" i="8"/>
  <c r="O61" i="5"/>
  <c r="O60" i="5"/>
  <c r="O56" i="5"/>
  <c r="O55" i="5"/>
  <c r="O53" i="5"/>
  <c r="O52" i="5"/>
  <c r="O48" i="5"/>
  <c r="O47" i="5"/>
  <c r="O46" i="5"/>
  <c r="O41" i="5"/>
  <c r="O34" i="5"/>
  <c r="O31" i="5"/>
  <c r="O29" i="5"/>
  <c r="O59" i="5"/>
  <c r="O58" i="5"/>
  <c r="O57" i="5"/>
  <c r="O54" i="5"/>
  <c r="O51" i="5"/>
  <c r="O50" i="5"/>
  <c r="O49" i="5"/>
  <c r="O45" i="5"/>
  <c r="O43" i="5"/>
  <c r="O32" i="5"/>
  <c r="O28" i="5"/>
  <c r="O27" i="5"/>
  <c r="O26" i="5"/>
  <c r="O25" i="5"/>
  <c r="O24" i="5"/>
  <c r="O23" i="5"/>
  <c r="O22" i="5"/>
  <c r="D17" i="6"/>
  <c r="H62" i="5"/>
  <c r="G62" i="5"/>
  <c r="F62" i="5"/>
  <c r="E62" i="5"/>
  <c r="D62" i="5"/>
  <c r="K62" i="5"/>
  <c r="M62" i="5"/>
  <c r="N62" i="5"/>
  <c r="J62" i="5"/>
  <c r="I62" i="5"/>
  <c r="O17" i="5"/>
  <c r="O9" i="5"/>
  <c r="O8" i="5"/>
  <c r="O7" i="5"/>
  <c r="O42" i="5"/>
  <c r="O40" i="5"/>
  <c r="O39" i="5"/>
  <c r="O37" i="5"/>
  <c r="O16" i="5"/>
  <c r="O15" i="5"/>
  <c r="O14" i="5"/>
  <c r="O13" i="5"/>
  <c r="O11" i="5"/>
  <c r="O10" i="5"/>
  <c r="O38" i="5"/>
  <c r="O36" i="5"/>
  <c r="O35" i="5"/>
  <c r="O33" i="5"/>
  <c r="M13" i="7"/>
  <c r="N13" i="7"/>
  <c r="M12" i="7"/>
  <c r="N12" i="7"/>
  <c r="M11" i="7"/>
  <c r="N11" i="7"/>
  <c r="M9" i="7"/>
  <c r="N9" i="7"/>
  <c r="M8" i="7"/>
  <c r="N8" i="7"/>
  <c r="M7" i="7"/>
  <c r="N7" i="7"/>
  <c r="K29" i="4"/>
  <c r="L29" i="4" s="1"/>
  <c r="R44" i="5"/>
  <c r="Q44" i="5"/>
  <c r="K15" i="4"/>
  <c r="L15" i="4" s="1"/>
  <c r="R30" i="5"/>
  <c r="Q30" i="5"/>
  <c r="G6" i="13" l="1"/>
  <c r="G11" i="13" s="1"/>
  <c r="I11" i="13"/>
  <c r="E26" i="11"/>
  <c r="E27" i="11"/>
  <c r="F27" i="11" s="1"/>
  <c r="E28" i="11"/>
  <c r="F28" i="11" s="1"/>
  <c r="E29" i="11"/>
  <c r="F29" i="11" s="1"/>
  <c r="E30" i="11"/>
  <c r="F30" i="11" s="1"/>
  <c r="E31" i="11"/>
  <c r="F31" i="11" s="1"/>
  <c r="B42" i="11"/>
  <c r="B51" i="11"/>
  <c r="O6" i="9"/>
  <c r="N18" i="9"/>
  <c r="C25" i="10"/>
  <c r="L7" i="2" s="1"/>
  <c r="C28" i="10"/>
  <c r="Q21" i="5"/>
  <c r="R21" i="5"/>
  <c r="K6" i="4"/>
  <c r="O62" i="5"/>
  <c r="C64" i="5"/>
  <c r="C65" i="5" s="1"/>
  <c r="C66" i="5" s="1"/>
  <c r="C5" i="6"/>
  <c r="O28" i="2"/>
  <c r="C59" i="4"/>
  <c r="D59" i="4" s="1"/>
  <c r="F6" i="4"/>
  <c r="F47" i="4" s="1"/>
  <c r="G6" i="4"/>
  <c r="H6" i="4"/>
  <c r="D21" i="2" s="1"/>
  <c r="F21" i="2" s="1"/>
  <c r="M6" i="4"/>
  <c r="E47" i="4"/>
  <c r="L64" i="5"/>
  <c r="L65" i="5" s="1"/>
  <c r="L66" i="5" s="1"/>
  <c r="C14" i="6"/>
  <c r="J13" i="6"/>
  <c r="F13" i="6"/>
  <c r="I13" i="6"/>
  <c r="J12" i="6"/>
  <c r="J15" i="6"/>
  <c r="G15" i="6"/>
  <c r="J11" i="6"/>
  <c r="J10" i="6"/>
  <c r="J9" i="6"/>
  <c r="J8" i="6"/>
  <c r="J7" i="6"/>
  <c r="J6" i="6"/>
  <c r="B5" i="6"/>
  <c r="J16" i="6"/>
  <c r="G16" i="6"/>
  <c r="D60" i="4"/>
  <c r="D20" i="2" s="1"/>
  <c r="F20" i="2" s="1"/>
  <c r="F60" i="4"/>
  <c r="D61" i="4"/>
  <c r="F61" i="4"/>
  <c r="J14" i="6"/>
  <c r="B7" i="2"/>
  <c r="Q61" i="5"/>
  <c r="R61" i="5"/>
  <c r="K46" i="4"/>
  <c r="L46" i="4" s="1"/>
  <c r="Q60" i="5"/>
  <c r="K45" i="4"/>
  <c r="L45" i="4" s="1"/>
  <c r="K41" i="4"/>
  <c r="L41" i="4" s="1"/>
  <c r="B36" i="11"/>
  <c r="Q56" i="5"/>
  <c r="B35" i="11"/>
  <c r="K40" i="4"/>
  <c r="L40" i="4" s="1"/>
  <c r="R55" i="5"/>
  <c r="Q55" i="5"/>
  <c r="O63" i="5"/>
  <c r="R53" i="5"/>
  <c r="Q53" i="5"/>
  <c r="K38" i="4"/>
  <c r="L38" i="4" s="1"/>
  <c r="B38" i="11"/>
  <c r="K37" i="4"/>
  <c r="L37" i="4" s="1"/>
  <c r="R52" i="5"/>
  <c r="Q52" i="5"/>
  <c r="Q48" i="5"/>
  <c r="R48" i="5"/>
  <c r="K33" i="4"/>
  <c r="L33" i="4" s="1"/>
  <c r="K32" i="4"/>
  <c r="L32" i="4" s="1"/>
  <c r="B32" i="12"/>
  <c r="B33" i="12" s="1"/>
  <c r="Q47" i="5"/>
  <c r="R47" i="5"/>
  <c r="R46" i="5"/>
  <c r="Q46" i="5"/>
  <c r="K31" i="4"/>
  <c r="L31" i="4" s="1"/>
  <c r="R41" i="5"/>
  <c r="Q41" i="5"/>
  <c r="K26" i="4"/>
  <c r="L26" i="4" s="1"/>
  <c r="R34" i="5"/>
  <c r="Q34" i="5"/>
  <c r="K19" i="4"/>
  <c r="L19" i="4" s="1"/>
  <c r="R31" i="5"/>
  <c r="Q31" i="5"/>
  <c r="K16" i="4"/>
  <c r="L16" i="4" s="1"/>
  <c r="Q29" i="5"/>
  <c r="K14" i="4"/>
  <c r="L14" i="4" s="1"/>
  <c r="R59" i="5"/>
  <c r="Q59" i="5"/>
  <c r="K44" i="4"/>
  <c r="L44" i="4" s="1"/>
  <c r="Q58" i="5"/>
  <c r="K43" i="4"/>
  <c r="L43" i="4" s="1"/>
  <c r="B37" i="11"/>
  <c r="K42" i="4"/>
  <c r="L42" i="4" s="1"/>
  <c r="Q57" i="5"/>
  <c r="R57" i="5"/>
  <c r="Q54" i="5"/>
  <c r="R54" i="5"/>
  <c r="K39" i="4"/>
  <c r="L39" i="4" s="1"/>
  <c r="R51" i="5"/>
  <c r="Q51" i="5"/>
  <c r="K36" i="4"/>
  <c r="L36" i="4" s="1"/>
  <c r="R50" i="5"/>
  <c r="Q50" i="5"/>
  <c r="K35" i="4"/>
  <c r="L35" i="4" s="1"/>
  <c r="Q49" i="5"/>
  <c r="R49" i="5"/>
  <c r="K34" i="4"/>
  <c r="L34" i="4" s="1"/>
  <c r="Q45" i="5"/>
  <c r="R45" i="5"/>
  <c r="K30" i="4"/>
  <c r="L30" i="4" s="1"/>
  <c r="R43" i="5"/>
  <c r="Q43" i="5"/>
  <c r="K28" i="4"/>
  <c r="L28" i="4" s="1"/>
  <c r="Q32" i="5"/>
  <c r="R32" i="5"/>
  <c r="K17" i="4"/>
  <c r="L17" i="4" s="1"/>
  <c r="R28" i="5"/>
  <c r="Q28" i="5"/>
  <c r="K13" i="4"/>
  <c r="L13" i="4" s="1"/>
  <c r="R27" i="5"/>
  <c r="Q27" i="5"/>
  <c r="K12" i="4"/>
  <c r="L12" i="4" s="1"/>
  <c r="R26" i="5"/>
  <c r="Q26" i="5"/>
  <c r="K11" i="4"/>
  <c r="L11" i="4" s="1"/>
  <c r="Q25" i="5"/>
  <c r="R25" i="5"/>
  <c r="K10" i="4"/>
  <c r="L10" i="4" s="1"/>
  <c r="R24" i="5"/>
  <c r="Q24" i="5"/>
  <c r="K9" i="4"/>
  <c r="L9" i="4" s="1"/>
  <c r="R23" i="5"/>
  <c r="Q23" i="5"/>
  <c r="K8" i="4"/>
  <c r="L8" i="4" s="1"/>
  <c r="Q22" i="5"/>
  <c r="R22" i="5"/>
  <c r="K7" i="4"/>
  <c r="L7" i="4" s="1"/>
  <c r="H64" i="5"/>
  <c r="H65" i="5" s="1"/>
  <c r="H66" i="5" s="1"/>
  <c r="C10" i="6"/>
  <c r="C9" i="6"/>
  <c r="G64" i="5"/>
  <c r="G65" i="5" s="1"/>
  <c r="G66" i="5" s="1"/>
  <c r="C8" i="6"/>
  <c r="F64" i="5"/>
  <c r="F65" i="5" s="1"/>
  <c r="F66" i="5" s="1"/>
  <c r="C7" i="6"/>
  <c r="E64" i="5"/>
  <c r="E65" i="5" s="1"/>
  <c r="E66" i="5" s="1"/>
  <c r="C6" i="6"/>
  <c r="D64" i="5"/>
  <c r="D65" i="5" s="1"/>
  <c r="D66" i="5" s="1"/>
  <c r="K64" i="5"/>
  <c r="K65" i="5" s="1"/>
  <c r="K66" i="5" s="1"/>
  <c r="C13" i="6"/>
  <c r="E13" i="6" s="1"/>
  <c r="C15" i="6"/>
  <c r="M64" i="5"/>
  <c r="M65" i="5" s="1"/>
  <c r="N64" i="5"/>
  <c r="N65" i="5" s="1"/>
  <c r="C16" i="6"/>
  <c r="C12" i="6"/>
  <c r="J64" i="5"/>
  <c r="J65" i="5" s="1"/>
  <c r="J66" i="5" s="1"/>
  <c r="C11" i="6"/>
  <c r="I64" i="5"/>
  <c r="I65" i="5" s="1"/>
  <c r="I66" i="5" s="1"/>
  <c r="R42" i="5"/>
  <c r="Q42" i="5"/>
  <c r="K27" i="4"/>
  <c r="L27" i="4" s="1"/>
  <c r="Q40" i="5"/>
  <c r="R40" i="5"/>
  <c r="K25" i="4"/>
  <c r="L25" i="4" s="1"/>
  <c r="Q39" i="5"/>
  <c r="R39" i="5"/>
  <c r="K24" i="4"/>
  <c r="L24" i="4" s="1"/>
  <c r="Q37" i="5"/>
  <c r="K22" i="4"/>
  <c r="L22" i="4" s="1"/>
  <c r="Q38" i="5"/>
  <c r="R38" i="5"/>
  <c r="K23" i="4"/>
  <c r="L23" i="4" s="1"/>
  <c r="Q36" i="5"/>
  <c r="R36" i="5"/>
  <c r="K21" i="4"/>
  <c r="L21" i="4" s="1"/>
  <c r="Q35" i="5"/>
  <c r="R35" i="5"/>
  <c r="K20" i="4"/>
  <c r="L20" i="4" s="1"/>
  <c r="Q33" i="5"/>
  <c r="R33" i="5"/>
  <c r="K18" i="4"/>
  <c r="L18" i="4" s="1"/>
  <c r="O18" i="5"/>
  <c r="F26" i="11" l="1"/>
  <c r="F32" i="11" s="1"/>
  <c r="B48" i="11" s="1"/>
  <c r="E32" i="11"/>
  <c r="Q6" i="9"/>
  <c r="O18" i="9"/>
  <c r="L6" i="4"/>
  <c r="L47" i="4" s="1"/>
  <c r="K47" i="4"/>
  <c r="Q62" i="5"/>
  <c r="R62" i="5"/>
  <c r="O64" i="5"/>
  <c r="E5" i="6"/>
  <c r="E17" i="6" s="1"/>
  <c r="E19" i="6" s="1"/>
  <c r="C17" i="6"/>
  <c r="C19" i="6" s="1"/>
  <c r="H17" i="2"/>
  <c r="H20" i="2"/>
  <c r="K16" i="2"/>
  <c r="M16" i="2" s="1"/>
  <c r="K18" i="2"/>
  <c r="M18" i="2" s="1"/>
  <c r="K20" i="2"/>
  <c r="M20" i="2" s="1"/>
  <c r="H16" i="2"/>
  <c r="K19" i="2"/>
  <c r="M19" i="2" s="1"/>
  <c r="K17" i="2"/>
  <c r="M17" i="2" s="1"/>
  <c r="H18" i="2"/>
  <c r="H19" i="2"/>
  <c r="G47" i="4"/>
  <c r="B11" i="2" s="1"/>
  <c r="K21" i="2"/>
  <c r="M21" i="2" s="1"/>
  <c r="D19" i="6"/>
  <c r="F5" i="6"/>
  <c r="G5" i="6"/>
  <c r="I5" i="6"/>
  <c r="I17" i="6" s="1"/>
  <c r="I19" i="6" s="1"/>
  <c r="J5" i="6"/>
  <c r="J17" i="6" s="1"/>
  <c r="J19" i="6" s="1"/>
  <c r="B17" i="6"/>
  <c r="O65" i="5"/>
  <c r="O66" i="5" s="1"/>
  <c r="B40" i="11"/>
  <c r="B41" i="11" s="1"/>
  <c r="B43" i="11" s="1"/>
  <c r="B45" i="11" s="1"/>
  <c r="B49" i="11" s="1"/>
  <c r="F59" i="4"/>
  <c r="D19" i="2"/>
  <c r="F19" i="2" s="1"/>
  <c r="E14" i="6"/>
  <c r="I14" i="6"/>
  <c r="K13" i="6"/>
  <c r="G13" i="6"/>
  <c r="E10" i="6"/>
  <c r="F10" i="6" s="1"/>
  <c r="I10" i="6"/>
  <c r="E9" i="6"/>
  <c r="F9" i="6" s="1"/>
  <c r="I9" i="6"/>
  <c r="E8" i="6"/>
  <c r="F8" i="6" s="1"/>
  <c r="I8" i="6"/>
  <c r="E7" i="6"/>
  <c r="F7" i="6" s="1"/>
  <c r="I7" i="6"/>
  <c r="E6" i="6"/>
  <c r="F6" i="6" s="1"/>
  <c r="I6" i="6"/>
  <c r="E15" i="6"/>
  <c r="F15" i="6" s="1"/>
  <c r="K15" i="6" s="1"/>
  <c r="I15" i="6"/>
  <c r="E16" i="6"/>
  <c r="F16" i="6" s="1"/>
  <c r="K16" i="6" s="1"/>
  <c r="I16" i="6"/>
  <c r="E12" i="6"/>
  <c r="F12" i="6" s="1"/>
  <c r="I12" i="6"/>
  <c r="E11" i="6"/>
  <c r="F11" i="6" s="1"/>
  <c r="I11" i="6"/>
  <c r="C6" i="7" l="1"/>
  <c r="C27" i="10"/>
  <c r="J11" i="2"/>
  <c r="K5" i="6"/>
  <c r="H10" i="6"/>
  <c r="F17" i="6"/>
  <c r="G17" i="6" s="1"/>
  <c r="D16" i="2" s="1"/>
  <c r="F16" i="2" s="1"/>
  <c r="H5" i="6"/>
  <c r="H6" i="6"/>
  <c r="H7" i="6"/>
  <c r="H8" i="6"/>
  <c r="H11" i="6"/>
  <c r="H14" i="6"/>
  <c r="H9" i="6"/>
  <c r="H13" i="6"/>
  <c r="H15" i="6"/>
  <c r="H16" i="6"/>
  <c r="H17" i="6" s="1"/>
  <c r="H12" i="6"/>
  <c r="B19" i="6"/>
  <c r="F14" i="6"/>
  <c r="D7" i="2"/>
  <c r="G10" i="6"/>
  <c r="K10" i="6"/>
  <c r="G9" i="6"/>
  <c r="K9" i="6"/>
  <c r="G8" i="6"/>
  <c r="K8" i="6"/>
  <c r="G7" i="6"/>
  <c r="K7" i="6"/>
  <c r="G6" i="6"/>
  <c r="K6" i="6"/>
  <c r="G12" i="6"/>
  <c r="K12" i="6"/>
  <c r="G11" i="6"/>
  <c r="K11" i="6"/>
  <c r="B50" i="11"/>
  <c r="B52" i="11" s="1"/>
  <c r="H6" i="7" l="1"/>
  <c r="H18" i="7" s="1"/>
  <c r="K6" i="7"/>
  <c r="K18" i="7" s="1"/>
  <c r="C18" i="7"/>
  <c r="I18" i="7" s="1"/>
  <c r="L11" i="2" s="1"/>
  <c r="L6" i="7"/>
  <c r="N6" i="7" s="1"/>
  <c r="I6" i="7"/>
  <c r="D11" i="2"/>
  <c r="D17" i="2"/>
  <c r="F17" i="2" s="1"/>
  <c r="J7" i="2"/>
  <c r="F19" i="6"/>
  <c r="H11" i="2"/>
  <c r="C20" i="8"/>
  <c r="C21" i="8" s="1"/>
  <c r="G19" i="6"/>
  <c r="F7" i="2"/>
  <c r="K14" i="6"/>
  <c r="K17" i="6" s="1"/>
  <c r="G14" i="6"/>
  <c r="H7" i="2" s="1"/>
  <c r="B56" i="11"/>
  <c r="B54" i="11"/>
  <c r="B55" i="11"/>
  <c r="M6" i="7" l="1"/>
  <c r="M18" i="7" s="1"/>
  <c r="L18" i="7"/>
  <c r="C23" i="8"/>
  <c r="F11" i="2"/>
  <c r="D18" i="2"/>
  <c r="F18" i="2" s="1"/>
  <c r="B22" i="2" s="1"/>
</calcChain>
</file>

<file path=xl/sharedStrings.xml><?xml version="1.0" encoding="utf-8"?>
<sst xmlns="http://schemas.openxmlformats.org/spreadsheetml/2006/main" count="2514" uniqueCount="809">
  <si>
    <t>Version 1.0  -  all amounts in BDT (Bangladeshi Taka, with lakh/crore digit grouping)  -  works in Microsoft Excel and Google Sheets</t>
  </si>
  <si>
    <t>WHAT IS SONCHOY?</t>
  </si>
  <si>
    <t>Name</t>
  </si>
  <si>
    <t>Sonchoy (সঞ্চয়) means 'savings' in Bangla. This workbook is a complete personal finance system built around how money actually works in Bangladesh: bKash/Nagad payments, lakh/crore numbers, DPS/FDR/Sanchayapatra, Eid bonuses and Qurbani, Zakat, NBR income-tax slabs, and loan EMIs.</t>
  </si>
  <si>
    <t>QUICK START (about 5 minutes)</t>
  </si>
  <si>
    <t>Step 1 - Settings</t>
  </si>
  <si>
    <t>Open Settings. Enter your name, tracking year and targets (savings rate, emergency-fund months, max debt-to-income). Review the tax slabs and exchange rates.</t>
  </si>
  <si>
    <t>Step 2 - Clear sample data</t>
  </si>
  <si>
    <t>The file ships with SAMPLE data (a fictional Dhaka salaried household, Jan-Oct 2026). In Transactions select the blue cells in rows 6 onward and press Delete. Also overwrite the sample rows in Savings Goals, Debt &amp; Loans, Investments, Net Worth, Bills and Festivals.</t>
  </si>
  <si>
    <t>Step 3 - Set your budget</t>
  </si>
  <si>
    <t>Open Budget and type a planned monthly amount (blue) next to every category. Set 'Planned Monthly Income' underneath.</t>
  </si>
  <si>
    <t>Step 4 - Log transactions</t>
  </si>
  <si>
    <t>In Transactions add one row per payment or receipt: Date, Type (Income/Expense), Category (dropdown), Description, Payment Method, Amount in BDT. Everything else is automatic.</t>
  </si>
  <si>
    <t>Step 5 - Read the Dashboard</t>
  </si>
  <si>
    <t>Pick a month at the top of the Dashboard. KPI cards, the health scorecard, the budget status and all charts refresh automatically.</t>
  </si>
  <si>
    <t>Step 6 - Monthly routine</t>
  </si>
  <si>
    <t>At month-end: pay down priority goals, update Net Worth values and record the closing Net Worth in the history table, update Bills due dates.</t>
  </si>
  <si>
    <t>Google Sheets</t>
  </si>
  <si>
    <t>Upload the .xlsx to Google Drive and open with Google Sheets (File &gt; Save as Google Sheets). Dropdowns, formulas, conditional formats and charts carry over; the lakh/crore format may show Western commas in Sheets.</t>
  </si>
  <si>
    <t>SHEET DIRECTORY (click a name to jump)</t>
  </si>
  <si>
    <t>Guide</t>
  </si>
  <si>
    <t>This page.</t>
  </si>
  <si>
    <t>Dashboard</t>
  </si>
  <si>
    <t>Headline KPIs, financial-health scorecard, top outflows and four charts. Pick the month here.</t>
  </si>
  <si>
    <t>Transactions</t>
  </si>
  <si>
    <t>The only place you must type daily: every income and expense (2,000-row capacity).</t>
  </si>
  <si>
    <t>Budget</t>
  </si>
  <si>
    <t>Monthly budget vs actual per category, status flags, YTD view and the 50/30/20 rule check.</t>
  </si>
  <si>
    <t>Annual Matrix</t>
  </si>
  <si>
    <t>Automatic category x month table for the whole year with annual budget variance.</t>
  </si>
  <si>
    <t>Monthly Summary</t>
  </si>
  <si>
    <t>Income, spending, net savings, savings rate and cumulative savings for each month.</t>
  </si>
  <si>
    <t>Savings Goals</t>
  </si>
  <si>
    <t>Hajj, education, flat, emergency fund and more: required monthly saving, projected value, on-track status.</t>
  </si>
  <si>
    <t>Debt &amp; Loans</t>
  </si>
  <si>
    <t>EMI, outstanding balance, interest cost, payoff date, avalanche priority and debt-to-income check.</t>
  </si>
  <si>
    <t>Investments</t>
  </si>
  <si>
    <t>DPS, FDR and Sanchayapatra maturity, source tax, net and real (inflation-adjusted) returns.</t>
  </si>
  <si>
    <t>Net Worth</t>
  </si>
  <si>
    <t>Assets (incl. gold by bhori) minus liabilities, emergency-fund coverage and net-worth history chart.</t>
  </si>
  <si>
    <t>Income Tax</t>
  </si>
  <si>
    <t>NBR slab-based individual tax estimator with exempt salary, investment rebate and minimum tax.</t>
  </si>
  <si>
    <t>Zakat</t>
  </si>
  <si>
    <t>Nisab-based Zakat calculator (silver or gold basis) pulling balances from Net Worth.</t>
  </si>
  <si>
    <t>Festivals</t>
  </si>
  <si>
    <t>Eid-ul-Fitr, Eid-ul-Adha, Boishakh, Puja and social-event budgets with Fitra and Qurbani calculators.</t>
  </si>
  <si>
    <t>Bills</t>
  </si>
  <si>
    <t>Utility, school, insurance, tax and subscription tracker with due-date status and annual cost.</t>
  </si>
  <si>
    <t>Quick Tools</t>
  </si>
  <si>
    <t>Currency converter, remittance with govt incentive, MFS cash-out fee, lakh/crore converter, inflation and growth planners.</t>
  </si>
  <si>
    <t>Settings</t>
  </si>
  <si>
    <t>All dropdown lists, categories, tax parameters, FX rates and fee tables. Rename a category once and it updates everywhere.</t>
  </si>
  <si>
    <t>COLOUR CODE</t>
  </si>
  <si>
    <t>1,25,000</t>
  </si>
  <si>
    <t>Blue text on pale yellow = INPUT cell. Type here (amounts, dates, rates, assumptions).</t>
  </si>
  <si>
    <t>Black text = FORMULA on the same sheet. Do not overwrite.</t>
  </si>
  <si>
    <t>Green text = value LINKED from another sheet. Do not overwrite.</t>
  </si>
  <si>
    <t>OVER</t>
  </si>
  <si>
    <t>Red = over budget / below target / warning. Amber = watch. Green fill = healthy / on track.</t>
  </si>
  <si>
    <t>TOTAL</t>
  </si>
  <si>
    <t>Pale green band = totals and key results. Dark bands = section headers.</t>
  </si>
  <si>
    <t>BANGLADESH-SPECIFIC FEATURES</t>
  </si>
  <si>
    <t>Feature 1</t>
  </si>
  <si>
    <t>Lakh / crore digit grouping (12,34,567) on all BDT amounts; Quick Tools converts BDT to lakh / crore / million.</t>
  </si>
  <si>
    <t>Feature 2</t>
  </si>
  <si>
    <t>Category set built for local life: DESCO / DPDC / REB electricity, Titas gas, WASA, broadband, Rickshaw / CNG / Pathao, bazar, maid, holding tax, Zakat &amp; Fitra, Qurbani, Eid / Boishakh / Puja.</t>
  </si>
  <si>
    <t>Feature 3</t>
  </si>
  <si>
    <t>bKash, Nagad, Rocket, Upay, BEFTN, cheque and auto-debit payment methods; MFS cash-out fee calculator.</t>
  </si>
  <si>
    <t>Feature 4</t>
  </si>
  <si>
    <t>DPS, FDR and Sanchayapatra maturity with source tax (10% with TIN) and real yield after inflation.</t>
  </si>
  <si>
    <t>Feature 5</t>
  </si>
  <si>
    <t>NBR individual income-tax slabs with category thresholds (general, women/senior, disabled, freedom fighter), minimum tax and investment rebate.</t>
  </si>
  <si>
    <t>Feature 6</t>
  </si>
  <si>
    <t>Eid bonus income category, Eid-ul-Fitr / Eid-ul-Adha / Boishakh / Puja planner, Fitra and Qurbani-share calculators.</t>
  </si>
  <si>
    <t>Feature 7</t>
  </si>
  <si>
    <t>Zakat on cash, gold (bhori / tola), silver, shares and savings with silver or gold nisab.</t>
  </si>
  <si>
    <t>Feature 8</t>
  </si>
  <si>
    <t>Gold valued per bhori (11.664 g); remittance calculator with government cash incentive; USD, SAR, AED, GBP, EUR, MYR, KWD, INR.</t>
  </si>
  <si>
    <t>Feature 9</t>
  </si>
  <si>
    <t>Home / car / motorcycle / personal / credit-card / microfinance loan types with EMI and debt-avalanche priority.</t>
  </si>
  <si>
    <t>ASSUMPTIONS, SOURCES &amp; DISCLAIMER</t>
  </si>
  <si>
    <t>Sample data</t>
  </si>
  <si>
    <t>All names, balances, transactions, loans and investments are fictional illustrations created for this template. Delete or overwrite them.</t>
  </si>
  <si>
    <t>Tax figures</t>
  </si>
  <si>
    <t>Slabs and thresholds (general Tk 3,75,000; women/65+ Tk 4,25,000; disabled/third gender Tk 5,00,000; freedom fighter Tk 5,25,000; rates 10/15/20/25/30%; minimum tax Tk 5,000) follow Bangladesh budget FY2026-27 press coverage (Daily Star, Dhaka Tribune, UNB, June 2026). Sources differ on some details and rules can change by Finance Act or NBR order - confirm with the NBR or a tax professional. All are editable in Settings. Salary-exemption cap and rebate percentages are standard-rule assumptions to verify.</t>
  </si>
  <si>
    <t>Rates &amp; fees</t>
  </si>
  <si>
    <t>Interest rates (DPS 8.5%, FDR 9%, Sanchayapatra 11.52%), exchange rates, MFS fees, gold/silver prices, Fitra and Qurbani prices are illustrative placeholders. Replace with figures from your bank, the National Savings Directorate, BAJUS, Bangladesh Bank and your provider.</t>
  </si>
  <si>
    <t>Calculations</t>
  </si>
  <si>
    <t>Savings = Income - Spending (spending excludes deposits to DPS/FDR/shares/gold/emergency fund, which count as savings). EMI uses reducing-balance maths. Projections assume constant rates.</t>
  </si>
  <si>
    <t>Disclaimer</t>
  </si>
  <si>
    <t>Sonchoy is a planning and record-keeping tool. It is not financial, tax, legal or religious advice. Consult qualified professionals (including a scholar for Zakat) before making decisions.</t>
  </si>
  <si>
    <t>VIEW MONTH  &gt;</t>
  </si>
  <si>
    <t>October</t>
  </si>
  <si>
    <t>Pick any month - KPIs, budget status and the breakdown charts update instantly.</t>
  </si>
  <si>
    <t>MONTH INCOME (BDT)</t>
  </si>
  <si>
    <t>MONTH SPENDING (BDT)</t>
  </si>
  <si>
    <t>MONTH NET SAVINGS (BDT)</t>
  </si>
  <si>
    <t>MONTH SAVINGS RATE</t>
  </si>
  <si>
    <t>YEAR-TO-DATE SAVINGS (BDT)</t>
  </si>
  <si>
    <t>NET WORTH (BDT)</t>
  </si>
  <si>
    <t>Excludes savings &amp; investments</t>
  </si>
  <si>
    <t>Income - Spending</t>
  </si>
  <si>
    <t>Jan to latest month</t>
  </si>
  <si>
    <t>Assets - Liabilities</t>
  </si>
  <si>
    <t>BUDGET USED (MONTH)</t>
  </si>
  <si>
    <t>EMERGENCY FUND (MONTHS)</t>
  </si>
  <si>
    <t>DEBT-TO-INCOME</t>
  </si>
  <si>
    <t>AVG MONTHLY INCOME (BDT)</t>
  </si>
  <si>
    <t>AVG MONTHLY SPENDING (BDT)</t>
  </si>
  <si>
    <t>SAVINGS GOALS PROGRESS</t>
  </si>
  <si>
    <t>All outflows vs total budget</t>
  </si>
  <si>
    <t>Months with income</t>
  </si>
  <si>
    <t>Across all goals</t>
  </si>
  <si>
    <t>FINANCIAL HEALTH SCORECARD</t>
  </si>
  <si>
    <t>TOP 5 OUTFLOWS THIS MONTH</t>
  </si>
  <si>
    <t>Check</t>
  </si>
  <si>
    <t>Your Value</t>
  </si>
  <si>
    <t>Target</t>
  </si>
  <si>
    <t>Status</t>
  </si>
  <si>
    <t>Category</t>
  </si>
  <si>
    <t>Amount (BDT)</t>
  </si>
  <si>
    <t>% of Total</t>
  </si>
  <si>
    <t>Savings rate (YTD)</t>
  </si>
  <si>
    <t>Emergency fund (months)</t>
  </si>
  <si>
    <t>Debt-to-income ratio</t>
  </si>
  <si>
    <t>Needs share of income (month)</t>
  </si>
  <si>
    <t>Wants share of income (month)</t>
  </si>
  <si>
    <t>Categories over budget (month)</t>
  </si>
  <si>
    <t>Total outflow this month</t>
  </si>
  <si>
    <t>TRENDS &amp; BREAKDOWN</t>
  </si>
  <si>
    <t>CHART DATA (automatic - do not edit)</t>
  </si>
  <si>
    <t>Expense Group</t>
  </si>
  <si>
    <t>Budget (BDT)</t>
  </si>
  <si>
    <t>Actual (BDT)</t>
  </si>
  <si>
    <t>Sonchoy is a planning aid, not financial, tax or religious advice. Verify tax, rate and fee assumptions in Settings. Go to the Guide tab for instructions.</t>
  </si>
  <si>
    <t>TRANSACTION LOG  |  লেনদেন</t>
  </si>
  <si>
    <t>Log every taka in or out. Fill only the blue cells; Group, Month, Year and Check are automatic. ROWS BELOW CONTAIN SAMPLE DATA (Jan-Oct 2026): select the blue cells and press Delete to start fresh.</t>
  </si>
  <si>
    <t>Entries logged:</t>
  </si>
  <si>
    <t>Capacity: 2,000 rows. Insert rows inside the table (not below row 2005) to extend.</t>
  </si>
  <si>
    <t>Date</t>
  </si>
  <si>
    <t>Type</t>
  </si>
  <si>
    <t>Description</t>
  </si>
  <si>
    <t>Payment Method</t>
  </si>
  <si>
    <t>Paid To / Received From</t>
  </si>
  <si>
    <t>Group</t>
  </si>
  <si>
    <t>Month #</t>
  </si>
  <si>
    <t>Year</t>
  </si>
  <si>
    <t>Notes</t>
  </si>
  <si>
    <t>Income</t>
  </si>
  <si>
    <t>Salary</t>
  </si>
  <si>
    <t>Salary - January</t>
  </si>
  <si>
    <t>Bank Transfer / BEFTN</t>
  </si>
  <si>
    <t>Employer Ltd.</t>
  </si>
  <si>
    <t>Expense</t>
  </si>
  <si>
    <t>Entertainment &amp; Subscriptions</t>
  </si>
  <si>
    <t>Netflix / Chorki subscription</t>
  </si>
  <si>
    <t>Credit Card</t>
  </si>
  <si>
    <t>Streaming</t>
  </si>
  <si>
    <t>House Rent</t>
  </si>
  <si>
    <t>House rent - January</t>
  </si>
  <si>
    <t>Landlord</t>
  </si>
  <si>
    <t>Groceries &amp; Bazar</t>
  </si>
  <si>
    <t>Kacha bazar &amp; grocery</t>
  </si>
  <si>
    <t>Cash</t>
  </si>
  <si>
    <t>Local bazar</t>
  </si>
  <si>
    <t>Maid / Domestic Help</t>
  </si>
  <si>
    <t>Maid salary</t>
  </si>
  <si>
    <t>Domestic help</t>
  </si>
  <si>
    <t>Loan EMI</t>
  </si>
  <si>
    <t>Loan EMI (personal + motorcycle)</t>
  </si>
  <si>
    <t>Auto-debit / Standing Order</t>
  </si>
  <si>
    <t>Bank</t>
  </si>
  <si>
    <t>DPS Deposit</t>
  </si>
  <si>
    <t>Monthly DPS instalment</t>
  </si>
  <si>
    <t>Dutch-Bangla Bank</t>
  </si>
  <si>
    <t>School / College / University Fees</t>
  </si>
  <si>
    <t>School tuition fee</t>
  </si>
  <si>
    <t>Child's school</t>
  </si>
  <si>
    <t>Internet / Broadband</t>
  </si>
  <si>
    <t>Broadband bill</t>
  </si>
  <si>
    <t>bKash</t>
  </si>
  <si>
    <t>Link3</t>
  </si>
  <si>
    <t>Rickshaw / CNG / Ride-share</t>
  </si>
  <si>
    <t>Uber / Pathao rides</t>
  </si>
  <si>
    <t>Pathao</t>
  </si>
  <si>
    <t>Electricity (DESCO / DPDC / REB)</t>
  </si>
  <si>
    <t>Electricity bill (prepaid recharge)</t>
  </si>
  <si>
    <t>DESCO</t>
  </si>
  <si>
    <t>Mobile Recharge &amp; Data</t>
  </si>
  <si>
    <t>Mobile recharge / data pack</t>
  </si>
  <si>
    <t>Grameenphone</t>
  </si>
  <si>
    <t>Miscellaneous</t>
  </si>
  <si>
    <t>Various</t>
  </si>
  <si>
    <t>Gas (Titas / Bakhrabad / Jalalabad)</t>
  </si>
  <si>
    <t>Gas bill</t>
  </si>
  <si>
    <t>Titas Gas</t>
  </si>
  <si>
    <t>Parents / Family Support</t>
  </si>
  <si>
    <t>Monthly support to parents</t>
  </si>
  <si>
    <t>Father</t>
  </si>
  <si>
    <t>Fuel (Octane / Petrol / CNG)</t>
  </si>
  <si>
    <t>Octane - motorcycle</t>
  </si>
  <si>
    <t>Filling station</t>
  </si>
  <si>
    <t>Water &amp; Sewerage (WASA)</t>
  </si>
  <si>
    <t>WASA bill</t>
  </si>
  <si>
    <t>Dhaka WASA</t>
  </si>
  <si>
    <t>Monthly grocery (Shwapno)</t>
  </si>
  <si>
    <t>Debit Card</t>
  </si>
  <si>
    <t>Shwapno</t>
  </si>
  <si>
    <t>Dining Out &amp; Food Delivery</t>
  </si>
  <si>
    <t>Family dinner</t>
  </si>
  <si>
    <t>Restaurant</t>
  </si>
  <si>
    <t>Rickshaw &amp; CNG</t>
  </si>
  <si>
    <t>Insurance Premium</t>
  </si>
  <si>
    <t>Life insurance premium</t>
  </si>
  <si>
    <t>Delta Life</t>
  </si>
  <si>
    <t>Sanchayapatra Profit</t>
  </si>
  <si>
    <t>Sanchayapatra quarterly profit (net of 10% tax)</t>
  </si>
  <si>
    <t>Post Office / Bank</t>
  </si>
  <si>
    <t>Medicine &amp; Doctor Visits</t>
  </si>
  <si>
    <t>Medicine &amp; pharmacy</t>
  </si>
  <si>
    <t>Pharmacy</t>
  </si>
  <si>
    <t>Stocks &amp; Mutual Funds (DSE)</t>
  </si>
  <si>
    <t>DSE share purchase</t>
  </si>
  <si>
    <t>Brokerage house</t>
  </si>
  <si>
    <t>Personal Care &amp; Salon</t>
  </si>
  <si>
    <t>Haircut &amp; grooming</t>
  </si>
  <si>
    <t>Salon</t>
  </si>
  <si>
    <t>Weekly bazar</t>
  </si>
  <si>
    <t>Credit Card Payment</t>
  </si>
  <si>
    <t>Credit card bill payment</t>
  </si>
  <si>
    <t>City Bank Card</t>
  </si>
  <si>
    <t>Bank / MFS Charges</t>
  </si>
  <si>
    <t>Excise duty &amp; SMS charge</t>
  </si>
  <si>
    <t>Emergency Fund Deposit</t>
  </si>
  <si>
    <t>Emergency fund deposit</t>
  </si>
  <si>
    <t>Savings account</t>
  </si>
  <si>
    <t>Salary - February</t>
  </si>
  <si>
    <t>House rent - February</t>
  </si>
  <si>
    <t>Travel &amp; Holidays</t>
  </si>
  <si>
    <t>Cox's Bazar family trip</t>
  </si>
  <si>
    <t>Hotel &amp; transport</t>
  </si>
  <si>
    <t>Freelance / Side Income</t>
  </si>
  <si>
    <t>Freelance project payment</t>
  </si>
  <si>
    <t>Client</t>
  </si>
  <si>
    <t>Gifts &amp; Social Events</t>
  </si>
  <si>
    <t>Gift / wedding invitation</t>
  </si>
  <si>
    <t>Relatives</t>
  </si>
  <si>
    <t>Income Tax &amp; Govt Fees</t>
  </si>
  <si>
    <t>Trade / govt fees</t>
  </si>
  <si>
    <t>Govt</t>
  </si>
  <si>
    <t>Salary - March</t>
  </si>
  <si>
    <t>House rent - March</t>
  </si>
  <si>
    <t>Zakat, Fitra &amp; Sadaqah</t>
  </si>
  <si>
    <t>Annual Zakat al-Mal paid</t>
  </si>
  <si>
    <t>Zakat fund</t>
  </si>
  <si>
    <t>Festival Bonus (Eid)</t>
  </si>
  <si>
    <t>Eid-ul-Fitr festival bonus (net)</t>
  </si>
  <si>
    <t>Clothing &amp; Footwear</t>
  </si>
  <si>
    <t>Eid clothes for family</t>
  </si>
  <si>
    <t>Aarong / Yellow</t>
  </si>
  <si>
    <t>Festival Expenses (Eid / Puja / Boishakh)</t>
  </si>
  <si>
    <t>Eid shopping, feast &amp; salami</t>
  </si>
  <si>
    <t>Family</t>
  </si>
  <si>
    <t>Sadaqatul Fitr (Fitra)</t>
  </si>
  <si>
    <t>Mosque</t>
  </si>
  <si>
    <t>Vehicle Maintenance &amp; Parking</t>
  </si>
  <si>
    <t>Motorcycle servicing</t>
  </si>
  <si>
    <t>Workshop</t>
  </si>
  <si>
    <t>FDR / Sanchayapatra Purchase</t>
  </si>
  <si>
    <t>New 1-year FDR</t>
  </si>
  <si>
    <t>Bank Interest</t>
  </si>
  <si>
    <t>Quarterly bank interest (net)</t>
  </si>
  <si>
    <t>Salary - April</t>
  </si>
  <si>
    <t>House rent - April</t>
  </si>
  <si>
    <t>Boishakh sarees &amp; panjabi</t>
  </si>
  <si>
    <t>Local market</t>
  </si>
  <si>
    <t>Medical Tests &amp; Hospital</t>
  </si>
  <si>
    <t>Diagnostic tests</t>
  </si>
  <si>
    <t>Lab</t>
  </si>
  <si>
    <t>Pohela Boishakh outing &amp; panta-ilish</t>
  </si>
  <si>
    <t>Salary - May</t>
  </si>
  <si>
    <t>House rent - May</t>
  </si>
  <si>
    <t>Eid-ul-Adha festival bonus (net)</t>
  </si>
  <si>
    <t>Eid-ul-Adha clothes</t>
  </si>
  <si>
    <t>Shopping mall</t>
  </si>
  <si>
    <t>Qurbani (Eid-ul-Adha)</t>
  </si>
  <si>
    <t>Qurbani - cow share (1/7)</t>
  </si>
  <si>
    <t>Haat / group</t>
  </si>
  <si>
    <t>Eid-ul-Adha meat processing &amp; feast</t>
  </si>
  <si>
    <t>Salary - June</t>
  </si>
  <si>
    <t>House rent - June</t>
  </si>
  <si>
    <t>Income tax return &amp; e-TIN fees</t>
  </si>
  <si>
    <t>NBR</t>
  </si>
  <si>
    <t>Salary - July</t>
  </si>
  <si>
    <t>House rent - July</t>
  </si>
  <si>
    <t>Salary - August</t>
  </si>
  <si>
    <t>House rent - August</t>
  </si>
  <si>
    <t>Winter wear sale shopping</t>
  </si>
  <si>
    <t>Salary - September</t>
  </si>
  <si>
    <t>House rent - September</t>
  </si>
  <si>
    <t>Sylhet weekend trip</t>
  </si>
  <si>
    <t>Salary - October</t>
  </si>
  <si>
    <t>House rent - October</t>
  </si>
  <si>
    <t>BUDGET vs ACTUAL  |  বাজেট</t>
  </si>
  <si>
    <t>Enter your planned monthly amount per category (blue). Actuals come from the Transaction Log for the month picked on the Dashboard.</t>
  </si>
  <si>
    <t>Selected month (change on Dashboard)</t>
  </si>
  <si>
    <t>Budget Type</t>
  </si>
  <si>
    <t>Monthly Budget (BDT)</t>
  </si>
  <si>
    <t>Actual - Selected Month</t>
  </si>
  <si>
    <t>Variance (Budget - Actual)</t>
  </si>
  <si>
    <t>% Used</t>
  </si>
  <si>
    <t>Annual Budget</t>
  </si>
  <si>
    <t>YTD Budget</t>
  </si>
  <si>
    <t>YTD Actual</t>
  </si>
  <si>
    <t>YTD Variance</t>
  </si>
  <si>
    <t>Rank key (helper)</t>
  </si>
  <si>
    <t>MONTHLY PLAN vs ACTUAL INCOME</t>
  </si>
  <si>
    <t>Planned Monthly Income (BDT)</t>
  </si>
  <si>
    <t>Actual Income - selected month</t>
  </si>
  <si>
    <t>Total Budgeted Outflow (incl. savings)</t>
  </si>
  <si>
    <t>Planned Surplus / (Deficit)</t>
  </si>
  <si>
    <t>50 / 30 / 20 RULE CHECK (selected month, actuals vs income)</t>
  </si>
  <si>
    <t>Bucket</t>
  </si>
  <si>
    <t>% of Income</t>
  </si>
  <si>
    <t>Target %</t>
  </si>
  <si>
    <t>Needs</t>
  </si>
  <si>
    <t>Wants</t>
  </si>
  <si>
    <t>Savings</t>
  </si>
  <si>
    <t>Needs = essentials (rent, utilities, food, EMI, Zakat...). Wants = lifestyle. Savings = DPS/FDR/shares/emergency fund. Change a category's type in Settings.</t>
  </si>
  <si>
    <t>ANNUAL MATRIX  |  Category x Month</t>
  </si>
  <si>
    <t>Fully automatic - sums the Transaction Log by category and month for the tracking year set in Settings. Do not type here.</t>
  </si>
  <si>
    <t>month # (helper)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</si>
  <si>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</si>
  <si>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</si>
  <si>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</si>
  <si>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</si>
  <si>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</si>
  <si>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</si>
  <si>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</si>
  <si>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</si>
  <si>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</si>
  <si>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</si>
  <si>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</si>
  <si>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</si>
  <si>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</si>
  <si>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Budget - Actual</t>
  </si>
  <si>
    <t>% of Budget Used</t>
  </si>
  <si>
    <t>INCOME</t>
  </si>
  <si>
    <t>TOTAL INCOME</t>
  </si>
  <si>
    <t>EXPENSES</t>
  </si>
  <si>
    <t>TOTAL EXPENSES (all outflows)</t>
  </si>
  <si>
    <t>of which: Savings &amp; Investments outflow</t>
  </si>
  <si>
    <t>SPENDING (excl. savings &amp; investments)</t>
  </si>
  <si>
    <t>NET SAVINGS (Income - Spending)</t>
  </si>
  <si>
    <t>SAVINGS RATE</t>
  </si>
  <si>
    <t>MONTHLY SUMMARY  |  Cash-flow &amp; Savings Rate</t>
  </si>
  <si>
    <t>Spending excludes money moved into savings/investments (DPS, FDR, shares, gold, emergency fund). Savings = Income - Spending.</t>
  </si>
  <si>
    <t>Month</t>
  </si>
  <si>
    <t>Total Outflow</t>
  </si>
  <si>
    <t>Savings &amp; Investments</t>
  </si>
  <si>
    <t>Spending</t>
  </si>
  <si>
    <t>Net Savings</t>
  </si>
  <si>
    <t>Savings Rate</t>
  </si>
  <si>
    <t>Cumulative Savings</t>
  </si>
  <si>
    <t>Unallocated Cash</t>
  </si>
  <si>
    <t>Savings Target</t>
  </si>
  <si>
    <t>Target Gap</t>
  </si>
  <si>
    <t>Target Rate</t>
  </si>
  <si>
    <t>YEAR TOTAL</t>
  </si>
  <si>
    <t>Average / month*</t>
  </si>
  <si>
    <t>* Average over months that have income recorded.</t>
  </si>
  <si>
    <t>SAVINGS GOALS  |  লক্ষ্য</t>
  </si>
  <si>
    <t>Set a target, a date and what you can save each month. The sheet shows the required monthly saving (with expected returns) and whether you are on track. SAMPLE goals shown.</t>
  </si>
  <si>
    <t>Goal</t>
  </si>
  <si>
    <t>Priority</t>
  </si>
  <si>
    <t>Target Amount (BDT)</t>
  </si>
  <si>
    <t>Saved So Far (BDT)</t>
  </si>
  <si>
    <t>Target Date</t>
  </si>
  <si>
    <t>Expected Annual Return</t>
  </si>
  <si>
    <t>Planned Monthly Saving (BDT)</t>
  </si>
  <si>
    <t>Remaining (BDT)</t>
  </si>
  <si>
    <t>Progress</t>
  </si>
  <si>
    <t>Months Left</t>
  </si>
  <si>
    <t>Required Monthly Saving (BDT)</t>
  </si>
  <si>
    <t>Projected Value at Target Date</t>
  </si>
  <si>
    <t>Surplus / (Shortfall)</t>
  </si>
  <si>
    <t>Emergency Fund (months of spending)</t>
  </si>
  <si>
    <t>High</t>
  </si>
  <si>
    <t>Hajj Fund</t>
  </si>
  <si>
    <t>Child's Higher Education</t>
  </si>
  <si>
    <t>Flat Down Payment (Dhaka)</t>
  </si>
  <si>
    <t>Medium</t>
  </si>
  <si>
    <t>Eid-ul-Adha 2027 Qurbani</t>
  </si>
  <si>
    <t>Laptop / Electronics</t>
  </si>
  <si>
    <t>Low</t>
  </si>
  <si>
    <t>Family Trip (Thailand / Malaysia)</t>
  </si>
  <si>
    <t>Parents' Medical Reserve</t>
  </si>
  <si>
    <t>TOTAL / OVERALL</t>
  </si>
  <si>
    <t>Required monthly saving solves: Saved x (1+i)^n + Saving x [((1+i)^n - 1) / i] = Target, with i = annual return / 12 and n = months left. Use realistic returns (bank savings ~ 4-6%, DPS/FDR ~ 8-10% before tax; check current rates).</t>
  </si>
  <si>
    <t>DEBT &amp; LOAN MANAGER  |  ঋণ</t>
  </si>
  <si>
    <t>Enter each loan (blue). EMI, balance, interest cost and payoff date are calculated. Rank 1 = highest interest rate (debt-avalanche: prepay this first). SAMPLE loans shown.</t>
  </si>
  <si>
    <t>Lender / Bank</t>
  </si>
  <si>
    <t>Loan Type</t>
  </si>
  <si>
    <t>Principal Borrowed (BDT)</t>
  </si>
  <si>
    <t>Annual Interest Rate</t>
  </si>
  <si>
    <t>Tenure (months)</t>
  </si>
  <si>
    <t>First EMI Month</t>
  </si>
  <si>
    <t>Monthly EMI (BDT)</t>
  </si>
  <si>
    <t>EMIs Paid</t>
  </si>
  <si>
    <t>Outstanding Balance (BDT)</t>
  </si>
  <si>
    <t>Total Interest Cost (BDT)</t>
  </si>
  <si>
    <t>Total Repayable (BDT)</t>
  </si>
  <si>
    <t>Final EMI Date</t>
  </si>
  <si>
    <t>EMIs Remaining</t>
  </si>
  <si>
    <t>Prepay Priority (avalanche)</t>
  </si>
  <si>
    <t>City Bank - Personal Loan</t>
  </si>
  <si>
    <t>Personal Loan</t>
  </si>
  <si>
    <t>BRAC Bank - Motorcycle Loan</t>
  </si>
  <si>
    <t>Motorcycle Loan</t>
  </si>
  <si>
    <t>City Bank Credit Card (instalment)</t>
  </si>
  <si>
    <t>DEBT-TO-INCOME HEALTH CHECK</t>
  </si>
  <si>
    <t>Total monthly EMI (BDT)</t>
  </si>
  <si>
    <t>Average monthly income, year to date (BDT)</t>
  </si>
  <si>
    <t>Debt-to-Income ratio (EMI / income)</t>
  </si>
  <si>
    <t>Maximum healthy ratio (Settings)</t>
  </si>
  <si>
    <t>Debt-free date (last EMI)</t>
  </si>
  <si>
    <t>EMI uses the standard reducing-balance formula: EMI = P x r x (1+r)^n / ((1+r)^n - 1), r = annual rate / 12. Banks may add processing fees or round differently - check your loan schedule. Credit-card rates in Bangladesh are capped by Bangladesh Bank (verify current cap).</t>
  </si>
  <si>
    <t>SAVINGS &amp; INVESTMENT TRACKER  |  DPS, FDR, Sanchayapatra</t>
  </si>
  <si>
    <t>Maturity value, source tax and net return for typical Bangladeshi instruments. Rates shown are ILLUSTRATIVE - enter the rate on your certificate / bank offer letter. SAMPLE rows shown.</t>
  </si>
  <si>
    <t>Instrument</t>
  </si>
  <si>
    <t>Provider</t>
  </si>
  <si>
    <t>Method</t>
  </si>
  <si>
    <t>Amount (BDT) - lump sum, or monthly instalment for DPS</t>
  </si>
  <si>
    <t>Annual Rate</t>
  </si>
  <si>
    <t>Start Date</t>
  </si>
  <si>
    <t>Compounding periods / year</t>
  </si>
  <si>
    <t>Source Tax Rate</t>
  </si>
  <si>
    <t>Total Invested (BDT)</t>
  </si>
  <si>
    <t>Gross Maturity Value</t>
  </si>
  <si>
    <t>Gross Interest / Profit</t>
  </si>
  <si>
    <t>Tax at Source</t>
  </si>
  <si>
    <t>Net Maturity Value</t>
  </si>
  <si>
    <t>Maturity Date</t>
  </si>
  <si>
    <t>Net Return on Invested</t>
  </si>
  <si>
    <t>Real Annual Yield (after tax &amp; inflation)</t>
  </si>
  <si>
    <t>DPS - Dutch-Bangla Bank</t>
  </si>
  <si>
    <t>Bank DPS</t>
  </si>
  <si>
    <t>Monthly Deposit (DPS)</t>
  </si>
  <si>
    <t>1-Year FDR</t>
  </si>
  <si>
    <t>City Bank</t>
  </si>
  <si>
    <t>Bank FDR</t>
  </si>
  <si>
    <t>Compound (FDR / Term Deposit)</t>
  </si>
  <si>
    <t>Paribarik Sanchayapatra (5-year)</t>
  </si>
  <si>
    <t>National Savings Directorate</t>
  </si>
  <si>
    <t>Sanchayapatra</t>
  </si>
  <si>
    <t>Simple Interest (Sanchayapatra)</t>
  </si>
  <si>
    <t>Methods: Compound = FDR/term deposit with interest added every period; Monthly Deposit = DPS (instalment at start of month, monthly compounding approximation); Simple = Sanchayapatra-style profit on the face value. Banks may compound quarterly and round differently - your maturity certificate is the final authority.</t>
  </si>
  <si>
    <t>Source tax defaults come from Settings (10% with TIN; use 15% if you have no TIN). Real yield = (1 + rate x (1 - tax)) / (1 + inflation) - 1, using the inflation assumption in Settings.</t>
  </si>
  <si>
    <t>NET WORTH STATEMENT  |  সম্পদ ও দায়</t>
  </si>
  <si>
    <t>Assets minus liabilities. Update values monthly (blue cells). Gold uses quantity x rate per bhori (1 bhori = 11.664 g). SAMPLE values shown.</t>
  </si>
  <si>
    <t>Asset Class</t>
  </si>
  <si>
    <t>Item</t>
  </si>
  <si>
    <t>Value (BDT)</t>
  </si>
  <si>
    <t>Qty (bhori)</t>
  </si>
  <si>
    <t>Rate per bhori (BDT)</t>
  </si>
  <si>
    <t>Liquid? (for emergency fund)</t>
  </si>
  <si>
    <t>Liquid</t>
  </si>
  <si>
    <t>Cash in Hand</t>
  </si>
  <si>
    <t>Yes</t>
  </si>
  <si>
    <t>Bank Savings / Current Accounts</t>
  </si>
  <si>
    <t>bKash / Nagad / Rocket Wallets</t>
  </si>
  <si>
    <t>DPS Balance</t>
  </si>
  <si>
    <t>No</t>
  </si>
  <si>
    <t>FDR (Fixed Deposit)</t>
  </si>
  <si>
    <t>Sanchayapatra (National Savings)</t>
  </si>
  <si>
    <t>DSE Shares / Mutual Funds</t>
  </si>
  <si>
    <t>Provident / Pension Fund</t>
  </si>
  <si>
    <t>Precious Metals</t>
  </si>
  <si>
    <t>Gold Jewellery / Bars (22K)</t>
  </si>
  <si>
    <t>Property</t>
  </si>
  <si>
    <t>Land / Flat / Plot</t>
  </si>
  <si>
    <t>Vehicle</t>
  </si>
  <si>
    <t>Motorcycle / Car (market value)</t>
  </si>
  <si>
    <t>Other</t>
  </si>
  <si>
    <t>Other Assets</t>
  </si>
  <si>
    <t>TOTAL ASSETS</t>
  </si>
  <si>
    <t>LIABILITIES</t>
  </si>
  <si>
    <t>Loans</t>
  </si>
  <si>
    <t>Outstanding balance - Debt &amp; Loans sheet</t>
  </si>
  <si>
    <t>Other dues / informal borrowing</t>
  </si>
  <si>
    <t>TOTAL LIABILITIES</t>
  </si>
  <si>
    <t>NET WORTH</t>
  </si>
  <si>
    <t>Liquid assets (cash, bank, wallets)</t>
  </si>
  <si>
    <t>Emergency-fund coverage (months of spending)</t>
  </si>
  <si>
    <t>Debt-to-asset ratio</t>
  </si>
  <si>
    <t>NET WORTH HISTORY (record month-end value)</t>
  </si>
  <si>
    <t>Net Worth (BDT)</t>
  </si>
  <si>
    <t>Change vs previous</t>
  </si>
  <si>
    <t>Tip: type this month's closing Net Worth (cell C25) into the next blank blue cell each month-end to build the trend chart.</t>
  </si>
  <si>
    <t>INCOME TAX ESTIMATOR  |  আয়কর</t>
  </si>
  <si>
    <t>Individual taxpayer estimate using the slabs in Settings (budget FY2026-27 figures - VERIFY with NBR before filing). Planning aid only - not tax advice.</t>
  </si>
  <si>
    <t>TAXPAYER PROFILE</t>
  </si>
  <si>
    <t>Taxpayer category</t>
  </si>
  <si>
    <t>General</t>
  </si>
  <si>
    <t>Disabled children / dependents (count)</t>
  </si>
  <si>
    <t>ANNUAL INCOME (BDT)</t>
  </si>
  <si>
    <t>Basic salary (annual)</t>
  </si>
  <si>
    <t>House rent allowance</t>
  </si>
  <si>
    <t>Medical allowance</t>
  </si>
  <si>
    <t>Conveyance allowance</t>
  </si>
  <si>
    <t>Festival bonus (both Eids)</t>
  </si>
  <si>
    <t>Other salary items (overtime, performance bonus)</t>
  </si>
  <si>
    <t>Total salary income</t>
  </si>
  <si>
    <t>Other income - freelance / business / rental (net)</t>
  </si>
  <si>
    <t>Other income - interest / dividend not taxed at source</t>
  </si>
  <si>
    <t>Less: exempt portion of salary (lower of 1/3 of salary or cap)</t>
  </si>
  <si>
    <t>TAXABLE INCOME</t>
  </si>
  <si>
    <t>TAX CALCULATION</t>
  </si>
  <si>
    <t>Applicable tax-free threshold</t>
  </si>
  <si>
    <t>Slab</t>
  </si>
  <si>
    <t>From (BDT)</t>
  </si>
  <si>
    <t>Slab Width (BDT)</t>
  </si>
  <si>
    <t>Rate</t>
  </si>
  <si>
    <t>Income in Slab</t>
  </si>
  <si>
    <t>Tax (BDT)</t>
  </si>
  <si>
    <t>Tax-free slab</t>
  </si>
  <si>
    <t>INVESTMENT TAX REBATE</t>
  </si>
  <si>
    <t>DPS deposits (YTD from Transactions)</t>
  </si>
  <si>
    <t>FDR / Sanchayapatra purchases (YTD)</t>
  </si>
  <si>
    <t>Stocks &amp; mutual funds (YTD)</t>
  </si>
  <si>
    <t>Life insurance premiums (YTD)</t>
  </si>
  <si>
    <t>Other eligible investment / approved donation (enter)</t>
  </si>
  <si>
    <t>Total eligible investment</t>
  </si>
  <si>
    <t>Allowable investment (capped at % of taxable income)</t>
  </si>
  <si>
    <t>Rebate limit A: % of taxable income</t>
  </si>
  <si>
    <t>Rebate limit B: rate x allowable investment</t>
  </si>
  <si>
    <t>Rebate limit C: absolute maximum</t>
  </si>
  <si>
    <t>TAX REBATE ALLOWED (lowest of A, B, C)</t>
  </si>
  <si>
    <t>TAX PAYABLE</t>
  </si>
  <si>
    <t>Gross tax before rebate</t>
  </si>
  <si>
    <t>Less: investment rebate</t>
  </si>
  <si>
    <t>Tax after rebate</t>
  </si>
  <si>
    <t>Minimum tax applicable (if income exceeds threshold)</t>
  </si>
  <si>
    <t>TAX PAYABLE (higher of tax after rebate and minimum tax)</t>
  </si>
  <si>
    <t>Less: tax already deducted / paid (employer TDS, advance tax)</t>
  </si>
  <si>
    <t>NET TAX PAYABLE / (REFUND)</t>
  </si>
  <si>
    <t>Effective tax rate on total income</t>
  </si>
  <si>
    <t>Suggested monthly tax set-aside</t>
  </si>
  <si>
    <t>Notes: (1) Slabs, thresholds, minimum tax and rebate rules are editable in Settings - FY2026-27 budget coverage (June 2026) reported a Tk 3,75,000 general threshold; some sources differ, so confirm with the NBR / your tax lawyer. (2) Investment lines pull year-to-date amounts from your Transaction Log - overwrite with full-year estimates if needed. (3) Sanchayapatra/bank interest taxed at source may be treated differently on your return.</t>
  </si>
  <si>
    <t>ZAKAT CALCULATOR  |  যাকাত</t>
  </si>
  <si>
    <t>Zakat is 2.5% of net zakatable wealth held above the nisab for one lunar year. Prices per bhori (tola) are blue inputs - use the current BAJUS gold / silver rate. Consult a qualified scholar for your situation.</t>
  </si>
  <si>
    <t>ZAKATABLE ASSETS</t>
  </si>
  <si>
    <t>Cash in hand, bank &amp; MFS wallets</t>
  </si>
  <si>
    <t>Gold owned (bhori)</t>
  </si>
  <si>
    <t>Gold price per bhori (BDT)</t>
  </si>
  <si>
    <t>Gold value</t>
  </si>
  <si>
    <t>Silver owned (bhori)</t>
  </si>
  <si>
    <t>Silver price per bhori (BDT) - update from BAJUS</t>
  </si>
  <si>
    <t>Silver value</t>
  </si>
  <si>
    <t>Business inventory / trade goods</t>
  </si>
  <si>
    <t>Money lent (expected to be repaid)</t>
  </si>
  <si>
    <t>Shares / mutual funds held for trading</t>
  </si>
  <si>
    <t>DPS, FDR &amp; Sanchayapatra</t>
  </si>
  <si>
    <t>Provident fund (include if accessible; scholars differ)</t>
  </si>
  <si>
    <t>Other zakatable assets</t>
  </si>
  <si>
    <t>TOTAL ZAKATABLE ASSETS</t>
  </si>
  <si>
    <t>Less: debts due now (bills, current EMI, credit-card dues)</t>
  </si>
  <si>
    <t>NET ZAKATABLE WEALTH</t>
  </si>
  <si>
    <t>NISAB &amp; ZAKAT DUE</t>
  </si>
  <si>
    <t>Nisab basis (choose)</t>
  </si>
  <si>
    <t>Silver (52.5 tola)</t>
  </si>
  <si>
    <t>Silver nisab value</t>
  </si>
  <si>
    <t>Gold nisab value</t>
  </si>
  <si>
    <t>Applicable nisab</t>
  </si>
  <si>
    <t>Is Zakat due?</t>
  </si>
  <si>
    <t>ZAKAT PAYABLE (2.5%)</t>
  </si>
  <si>
    <t>Monthly set-aside to be ready</t>
  </si>
  <si>
    <t>Zakat / Sadaqah paid this year (Transactions, category 'Zakat, Fitra &amp; Sadaqah')</t>
  </si>
  <si>
    <t>Remaining Zakat to pay</t>
  </si>
  <si>
    <t>Notes: silver nisab (52.5 tola) is the lower threshold and is widely used in Bangladesh; gold nisab (7.5 tola) is the other common basis - follow your scholar. Items counted (e.g. provident fund, personal-use jewellery) vary by school of thought. The paid line may include voluntary Sadaqah and Fitra - adjust as needed.</t>
  </si>
  <si>
    <t>FESTIVAL &amp; QURBANI PLANNER  |  উৎসব</t>
  </si>
  <si>
    <t>Plan Eid, Boishakh, Puja and social-event spending months ahead and see how much to set aside each month. Dates are approximate (Eid depends on moon sighting). SAMPLE budgets shown.</t>
  </si>
  <si>
    <t>Festival</t>
  </si>
  <si>
    <t>Approx. Date</t>
  </si>
  <si>
    <t>Total Budget (BDT)</t>
  </si>
  <si>
    <t>Total Actual (BDT)</t>
  </si>
  <si>
    <t>Monthly Saving Needed</t>
  </si>
  <si>
    <t>Funded So Far (BDT)</t>
  </si>
  <si>
    <t>Still Needed (BDT)</t>
  </si>
  <si>
    <t>Eid-ul-Fitr 2027</t>
  </si>
  <si>
    <t>Eid-ul-Adha 2027</t>
  </si>
  <si>
    <t>Pohela Boishakh 1434</t>
  </si>
  <si>
    <t>Durga Puja / Other Festival 2027</t>
  </si>
  <si>
    <t>Weddings &amp; Social Events</t>
  </si>
  <si>
    <t>CALCULATORS</t>
  </si>
  <si>
    <t>Family members</t>
  </si>
  <si>
    <t>Fitra per person (BDT) - use the amount announced by Islamic Foundation each year</t>
  </si>
  <si>
    <t>Total Fitra</t>
  </si>
  <si>
    <t>Price of one share (1/7 of a cow, BDT) - or full goat price</t>
  </si>
  <si>
    <t>Number of shares / animals</t>
  </si>
  <si>
    <t>Total animal cost</t>
  </si>
  <si>
    <t>Meat processing, butcher &amp; transport (BDT)</t>
  </si>
  <si>
    <t>BUDGET DETAIL (add your own lines in the blank rows)</t>
  </si>
  <si>
    <t>Variance</t>
  </si>
  <si>
    <t>New clothes for family</t>
  </si>
  <si>
    <t>Food, sweets &amp; guests</t>
  </si>
  <si>
    <t>Salami / Eidi</t>
  </si>
  <si>
    <t>Travel to village (bus / launch / train)</t>
  </si>
  <si>
    <t>Gifts for parents &amp; relatives</t>
  </si>
  <si>
    <t>Qurbani animal / share</t>
  </si>
  <si>
    <t>Meat processing, butcher &amp; transport</t>
  </si>
  <si>
    <t>New clothes</t>
  </si>
  <si>
    <t>Travel to village</t>
  </si>
  <si>
    <t>Feast &amp; guests</t>
  </si>
  <si>
    <t>Panta-ilish &amp; outing</t>
  </si>
  <si>
    <t>New clothes (saree / panjabi)</t>
  </si>
  <si>
    <t>Fair &amp; small gifts</t>
  </si>
  <si>
    <t>Clothes</t>
  </si>
  <si>
    <t>Food &amp; pandal visits</t>
  </si>
  <si>
    <t>Gifts</t>
  </si>
  <si>
    <t>Gaye holud / wedding gift (cash envelope)</t>
  </si>
  <si>
    <t>Outfit</t>
  </si>
  <si>
    <t>Travel &amp; stay</t>
  </si>
  <si>
    <t>Aqiqah / Milad / other</t>
  </si>
  <si>
    <t>BILLS &amp; SUBSCRIPTIONS TRACKER  |  বিল</t>
  </si>
  <si>
    <t>Never miss a due date. Monthly equivalent and annual cost are calculated, and status flags overdue / due-soon bills. Update 'Next Due Date' after each payment. SAMPLE bills shown.</t>
  </si>
  <si>
    <t>Bill / Subscription</t>
  </si>
  <si>
    <t>Expense Category</t>
  </si>
  <si>
    <t>Frequency</t>
  </si>
  <si>
    <t>Next Due Date</t>
  </si>
  <si>
    <t>Pay Via</t>
  </si>
  <si>
    <t>Monthly Equivalent</t>
  </si>
  <si>
    <t>Annual Cost</t>
  </si>
  <si>
    <t>Days to Due</t>
  </si>
  <si>
    <t>House rent</t>
  </si>
  <si>
    <t>Monthly</t>
  </si>
  <si>
    <t>Pay by 5th</t>
  </si>
  <si>
    <t>Electricity (prepaid)</t>
  </si>
  <si>
    <t>Recharge when balance low</t>
  </si>
  <si>
    <t>Double-burner tariff - verify</t>
  </si>
  <si>
    <t>Water &amp; sewerage</t>
  </si>
  <si>
    <t>Broadband</t>
  </si>
  <si>
    <t>Mobile postpaid / recharge</t>
  </si>
  <si>
    <t>Netflix + Chorki</t>
  </si>
  <si>
    <t>Cancel if unused</t>
  </si>
  <si>
    <t>School tuition</t>
  </si>
  <si>
    <t>Quarterly</t>
  </si>
  <si>
    <t>Tax-rebate eligible</t>
  </si>
  <si>
    <t>City Corporation holding tax</t>
  </si>
  <si>
    <t>Dhaka North City Corp.</t>
  </si>
  <si>
    <t>Service Charge &amp; Holding Tax</t>
  </si>
  <si>
    <t>Yearly</t>
  </si>
  <si>
    <t>Due before fiscal year-end</t>
  </si>
  <si>
    <t>Motorcycle tax token &amp; fitness</t>
  </si>
  <si>
    <t>BRTA</t>
  </si>
  <si>
    <t>Renew on time</t>
  </si>
  <si>
    <t>Annual school development fee</t>
  </si>
  <si>
    <t>Credit card annual fee</t>
  </si>
  <si>
    <t>Ask for waiver</t>
  </si>
  <si>
    <t>Total row: column E shows monthly-frequency bills only; H and I convert every bill to a monthly and yearly cost. Bills in Bangladesh usually include 5% VAT - enter the amount you actually pay.</t>
  </si>
  <si>
    <t>QUICK TOOLS  |  Everyday Bangladeshi Calculators</t>
  </si>
  <si>
    <t>Currency, remittance, MFS fees, lakh/crore and growth planners. Blue cells are inputs; rates come from Settings.</t>
  </si>
  <si>
    <t>1. CURRENCY CONVERTER</t>
  </si>
  <si>
    <t>Amount</t>
  </si>
  <si>
    <t>From currency</t>
  </si>
  <si>
    <t>USD</t>
  </si>
  <si>
    <t>To currency</t>
  </si>
  <si>
    <t>BDT</t>
  </si>
  <si>
    <t>Result</t>
  </si>
  <si>
    <t>2. REMITTANCE (PROBASHI) CALCULATOR</t>
  </si>
  <si>
    <t>Foreign amount sent</t>
  </si>
  <si>
    <t>Currency</t>
  </si>
  <si>
    <t>SAR</t>
  </si>
  <si>
    <t>Exchange rate (BDT per unit)</t>
  </si>
  <si>
    <t>BDT received at exchange rate</t>
  </si>
  <si>
    <t>Government incentive rate</t>
  </si>
  <si>
    <t>Incentive amount (BDT)</t>
  </si>
  <si>
    <t>TOTAL BDT CREDITED</t>
  </si>
  <si>
    <t>3. MFS CASH-OUT FEE (bKash / Nagad / Rocket / Upay)</t>
  </si>
  <si>
    <t>Cash-out amount (BDT)</t>
  </si>
  <si>
    <t>Fee rate</t>
  </si>
  <si>
    <t>Fee (BDT)</t>
  </si>
  <si>
    <t>Net cash received</t>
  </si>
  <si>
    <t>4. LAKH / CRORE CONVERTER</t>
  </si>
  <si>
    <t>In lakh</t>
  </si>
  <si>
    <t>In crore</t>
  </si>
  <si>
    <t>In million</t>
  </si>
  <si>
    <t>5. INFLATION IMPACT</t>
  </si>
  <si>
    <t>Amount today (BDT)</t>
  </si>
  <si>
    <t>Years ahead</t>
  </si>
  <si>
    <t>Inflation assumption (Settings)</t>
  </si>
  <si>
    <t>Cost of the same basket in the future</t>
  </si>
  <si>
    <t>Purchasing power of today's amount then</t>
  </si>
  <si>
    <t>6. SAVINGS GROWTH PLANNER</t>
  </si>
  <si>
    <t>Monthly saving (BDT)</t>
  </si>
  <si>
    <t>Expected annual return</t>
  </si>
  <si>
    <t>Years</t>
  </si>
  <si>
    <t>Future value (BDT)</t>
  </si>
  <si>
    <t>Total deposited (BDT)</t>
  </si>
  <si>
    <t>Interest earned (BDT)</t>
  </si>
  <si>
    <t>Future value in today's money (inflation-adjusted)</t>
  </si>
  <si>
    <t>SETTINGS, LISTS &amp; PARAMETERS</t>
  </si>
  <si>
    <t>Blue text on pale yellow = editable. Tax, FX and fee values are editable assumptions: verify against NBR, Bangladesh Bank and your provider before relying on them. Renaming a category here updates every sheet.</t>
  </si>
  <si>
    <t>GENERAL SETTINGS</t>
  </si>
  <si>
    <t>Short</t>
  </si>
  <si>
    <t>Payment Methods</t>
  </si>
  <si>
    <t>Entry Type</t>
  </si>
  <si>
    <t>Expense Groups</t>
  </si>
  <si>
    <t>Bill Frequency</t>
  </si>
  <si>
    <t>Months / Period</t>
  </si>
  <si>
    <t>Loan Types</t>
  </si>
  <si>
    <t>Investment Methods</t>
  </si>
  <si>
    <t>Instrument Types</t>
  </si>
  <si>
    <t>Goal Priority</t>
  </si>
  <si>
    <t>Your Name</t>
  </si>
  <si>
    <t>January</t>
  </si>
  <si>
    <t>Housing &amp; Utilities</t>
  </si>
  <si>
    <t>Home Loan</t>
  </si>
  <si>
    <t>Tracking Year (calendar year)</t>
  </si>
  <si>
    <t>February</t>
  </si>
  <si>
    <t>Food</t>
  </si>
  <si>
    <t>Car Loan</t>
  </si>
  <si>
    <t>BDT (Bangladeshi Taka)</t>
  </si>
  <si>
    <t>March</t>
  </si>
  <si>
    <t>Nagad</t>
  </si>
  <si>
    <t>Business / Trade Income</t>
  </si>
  <si>
    <t>Transport</t>
  </si>
  <si>
    <t>Half-Yearly</t>
  </si>
  <si>
    <t>Monthly Savings-Rate Target</t>
  </si>
  <si>
    <t>April</t>
  </si>
  <si>
    <t>Rocket</t>
  </si>
  <si>
    <t>Family &amp; Education</t>
  </si>
  <si>
    <t>Govt Treasury Bond</t>
  </si>
  <si>
    <t>Emergency Fund Target (months of spending)</t>
  </si>
  <si>
    <t>Upay</t>
  </si>
  <si>
    <t>Remittance (Foreign)</t>
  </si>
  <si>
    <t>Health</t>
  </si>
  <si>
    <t>Education Loan</t>
  </si>
  <si>
    <t>Mutual Fund</t>
  </si>
  <si>
    <t>Max Debt-to-Income Ratio (EMI / income)</t>
  </si>
  <si>
    <t>June</t>
  </si>
  <si>
    <t>Rental Income</t>
  </si>
  <si>
    <t>Lifestyle</t>
  </si>
  <si>
    <t>Expected Inflation (annual, assumption)</t>
  </si>
  <si>
    <t>July</t>
  </si>
  <si>
    <t>Agricultural Income</t>
  </si>
  <si>
    <t>Religious &amp; Social</t>
  </si>
  <si>
    <t>SME / Business Loan</t>
  </si>
  <si>
    <t>Selected Month Number (from Dashboard)</t>
  </si>
  <si>
    <t>August</t>
  </si>
  <si>
    <t>Financial Obligations</t>
  </si>
  <si>
    <t>Microfinance (NGO)</t>
  </si>
  <si>
    <t>50/30/20 Rule - Needs Target (% of income)</t>
  </si>
  <si>
    <t>September</t>
  </si>
  <si>
    <t>Cheque</t>
  </si>
  <si>
    <t>Employer / PF Loan</t>
  </si>
  <si>
    <t>50/30/20 Rule - Wants Target (% of income)</t>
  </si>
  <si>
    <t>Dividend (DSE / Mutual Fund)</t>
  </si>
  <si>
    <t>Informal (Friends &amp; Family)</t>
  </si>
  <si>
    <t>50/30/20 Rule - Savings Target (% of income)</t>
  </si>
  <si>
    <t>November</t>
  </si>
  <si>
    <t>DPS / FDR Maturity</t>
  </si>
  <si>
    <t>December</t>
  </si>
  <si>
    <t>Gift / Other Income</t>
  </si>
  <si>
    <t>PERSONAL INCOME TAX - budget FY2026-27 figures (VERIFY WITH NBR; editable)</t>
  </si>
  <si>
    <t>Taxpayer Category</t>
  </si>
  <si>
    <t>Tax-Free Threshold (BDT)</t>
  </si>
  <si>
    <t>Women / Senior Citizen (65+)</t>
  </si>
  <si>
    <t>Person with Disability / Third Gender</t>
  </si>
  <si>
    <t>Freedom Fighter</t>
  </si>
  <si>
    <t>Extra threshold per disabled child / dependent</t>
  </si>
  <si>
    <t>Home Repair &amp; Maintenance</t>
  </si>
  <si>
    <t>Tax Slab (on income above threshold)</t>
  </si>
  <si>
    <t>Slab 1 (next)</t>
  </si>
  <si>
    <t>Slab 2 (next)</t>
  </si>
  <si>
    <t>Slab 3 (next)</t>
  </si>
  <si>
    <t>Bus / Metro Rail / Train</t>
  </si>
  <si>
    <t>Slab 4 (next)</t>
  </si>
  <si>
    <t>Slab 5 (remainder)</t>
  </si>
  <si>
    <t>Minimum Tax if income exceeds threshold (BDT)</t>
  </si>
  <si>
    <t>Coaching &amp; Books</t>
  </si>
  <si>
    <t>Salary exemption - fraction of salary</t>
  </si>
  <si>
    <t>Child Care &amp; Baby Needs</t>
  </si>
  <si>
    <t>Salary exemption - annual cap (BDT) [verify]</t>
  </si>
  <si>
    <t>Investment rebate - cap as % of taxable income</t>
  </si>
  <si>
    <t>Investment rebate - rate on allowable investment</t>
  </si>
  <si>
    <t>Allowable investment - max % of taxable income</t>
  </si>
  <si>
    <t>Investment rebate - absolute maximum (BDT)</t>
  </si>
  <si>
    <t>Source tax on bank interest / FDR (with TIN)</t>
  </si>
  <si>
    <t>Source tax on Sanchayapatra profit (with TIN)</t>
  </si>
  <si>
    <t>ZAKAT PARAMETERS</t>
  </si>
  <si>
    <t>Zakat rate</t>
  </si>
  <si>
    <t>Silver nisab (tola / bhori)</t>
  </si>
  <si>
    <t>Gold nisab (tola / bhori)</t>
  </si>
  <si>
    <t>Grams per bhori (tola)</t>
  </si>
  <si>
    <t>EXCHANGE RATES (illustrative - update from Bangladesh Bank / your bank)</t>
  </si>
  <si>
    <t>BDT per 1 unit</t>
  </si>
  <si>
    <t>AED</t>
  </si>
  <si>
    <t>Gold Purchase</t>
  </si>
  <si>
    <t>GBP</t>
  </si>
  <si>
    <t>EUR</t>
  </si>
  <si>
    <t>Provident / Pension Contribution</t>
  </si>
  <si>
    <t>MYR</t>
  </si>
  <si>
    <t>KWD</t>
  </si>
  <si>
    <t>INR</t>
  </si>
  <si>
    <t>Govt cash incentive on remittance via banking channel [verify]</t>
  </si>
  <si>
    <t>MOBILE FINANCIAL SERVICE (MFS) CASH-OUT FEES (illustrative - verify)</t>
  </si>
  <si>
    <t>Fee % of amount</t>
  </si>
  <si>
    <t>SONCHOY 360°: Personal Finance Command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</si>
</sst>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&gt;=10000000]##\,##\,##\,##0;[&gt;=100000]##\,##\,##0;##,##0"/>
    <numFmt numFmtId="165" formatCode="0.0%"/>
    <numFmt numFmtId="166" formatCode="0.0"/>
    <numFmt numFmtId="167" formatCode="[&gt;=100000]##\,##\,##0;[&lt;&gt;0]##,##0;\-"/>
    <numFmt numFmtId="168" formatCode="dd\-mmm\-yyyy"/>
    <numFmt numFmtId="169" formatCode="0.000000"/>
    <numFmt numFmtId="170" formatCode="mmm\-yyyy"/>
    <numFmt numFmtId="171" formatCode="#,##0.00&quot; lakh&quot;"/>
    <numFmt numFmtId="172" formatCode="#,##0.0000&quot; crore&quot;"/>
    <numFmt numFmtId="173" formatCode="#,##0.00&quot; million&quot;"/>
    <numFmt numFmtId="174" formatCode="0.0000"/>
    <numFmt numFmtId="175" formatCode="0.000"/>
    <numFmt numFmtId="176" formatCode="_([$BDT]\ * #,##0.00_);_([$BDT]\ * \(#,##0.00\);_([$BDT]\ * &quot;-&quot;??_);_(@_)"/>
  </numFmts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B728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u/>
      <sz val="10"/>
      <color rgb="FF0563C1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C00000"/>
      <name val="Arial"/>
      <charset val="1"/>
    </font>
    <font>
      <b/>
      <sz val="20"/>
      <color rgb="FFFFFFFF"/>
      <name val="Arial"/>
      <charset val="1"/>
    </font>
    <font>
      <i/>
      <sz val="10"/>
      <color rgb="FF6B7280"/>
      <name val="Arial"/>
      <charset val="1"/>
    </font>
    <font>
      <b/>
      <sz val="10"/>
      <color rgb="FF1F2A37"/>
      <name val="Arial"/>
      <charset val="1"/>
    </font>
    <font>
      <b/>
      <sz val="10"/>
      <color rgb="FF0000FF"/>
      <name val="Arial"/>
      <charset val="1"/>
    </font>
    <font>
      <b/>
      <sz val="8"/>
      <color rgb="FFFFFFFF"/>
      <name val="Arial"/>
      <charset val="1"/>
    </font>
    <font>
      <b/>
      <sz val="17"/>
      <color rgb="FF006A4E"/>
      <name val="Arial"/>
      <charset val="1"/>
    </font>
    <font>
      <b/>
      <sz val="17"/>
      <color rgb="FFF42A41"/>
      <name val="Arial"/>
      <charset val="1"/>
    </font>
    <font>
      <b/>
      <sz val="17"/>
      <color rgb="FFC8A200"/>
      <name val="Arial"/>
      <charset val="1"/>
    </font>
    <font>
      <i/>
      <sz val="8"/>
      <color rgb="FF6B7280"/>
      <name val="Arial"/>
      <charset val="1"/>
    </font>
    <font>
      <b/>
      <sz val="17"/>
      <color rgb="FF1F2A37"/>
      <name val="Arial"/>
      <charset val="1"/>
    </font>
    <font>
      <b/>
      <sz val="10"/>
      <color rgb="FF008000"/>
      <name val="Arial"/>
      <charset val="1"/>
    </font>
    <font>
      <sz val="8"/>
      <color rgb="FF9CA3AF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008000"/>
      <name val="Arial"/>
      <charset val="1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6A4E"/>
        <bgColor rgb="FF004D38"/>
      </patternFill>
    </fill>
    <fill>
      <patternFill patternType="solid">
        <fgColor rgb="FF1F2A37"/>
        <bgColor rgb="FF374151"/>
      </patternFill>
    </fill>
    <fill>
      <patternFill patternType="solid">
        <fgColor rgb="FFFFF4CC"/>
        <bgColor rgb="FFFFF3CD"/>
      </patternFill>
    </fill>
    <fill>
      <patternFill patternType="solid">
        <fgColor rgb="FFFDE2E4"/>
        <bgColor rgb="FFE5E7EB"/>
      </patternFill>
    </fill>
    <fill>
      <patternFill patternType="solid">
        <fgColor rgb="FFE3F1EC"/>
        <bgColor rgb="FFD9F2E6"/>
      </patternFill>
    </fill>
    <fill>
      <patternFill patternType="solid">
        <fgColor rgb="FFF42A41"/>
        <bgColor rgb="FFC00000"/>
      </patternFill>
    </fill>
    <fill>
      <patternFill patternType="solid">
        <fgColor rgb="FFC8A200"/>
        <bgColor rgb="FF99CC00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3F1EC"/>
      </patternFill>
    </fill>
    <fill>
      <patternFill patternType="solid">
        <fgColor theme="0"/>
        <bgColor rgb="FFFFF3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9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68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9" fontId="21" fillId="0" borderId="1" xfId="0" applyNumberFormat="1" applyFont="1" applyBorder="1" applyAlignment="1">
      <alignment vertical="center"/>
    </xf>
    <xf numFmtId="167" fontId="4" fillId="6" borderId="1" xfId="0" applyNumberFormat="1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" fontId="2" fillId="0" borderId="0" xfId="0" applyNumberFormat="1" applyFont="1" applyAlignment="1">
      <alignment horizontal="center" vertical="center"/>
    </xf>
    <xf numFmtId="165" fontId="4" fillId="6" borderId="1" xfId="0" applyNumberFormat="1" applyFont="1" applyFill="1" applyBorder="1" applyAlignment="1">
      <alignment vertical="center"/>
    </xf>
    <xf numFmtId="165" fontId="20" fillId="6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vertical="center"/>
    </xf>
    <xf numFmtId="170" fontId="7" fillId="4" borderId="1" xfId="0" applyNumberFormat="1" applyFont="1" applyFill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0" fontId="7" fillId="4" borderId="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2" fontId="7" fillId="4" borderId="1" xfId="0" applyNumberFormat="1" applyFont="1" applyFill="1" applyBorder="1" applyAlignment="1">
      <alignment vertical="center"/>
    </xf>
    <xf numFmtId="0" fontId="22" fillId="6" borderId="1" xfId="0" applyFont="1" applyFill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2" fontId="8" fillId="0" borderId="1" xfId="0" applyNumberFormat="1" applyFont="1" applyBorder="1" applyAlignment="1">
      <alignment vertical="center"/>
    </xf>
    <xf numFmtId="4" fontId="7" fillId="4" borderId="1" xfId="0" applyNumberFormat="1" applyFont="1" applyFill="1" applyBorder="1" applyAlignment="1">
      <alignment vertical="center"/>
    </xf>
    <xf numFmtId="4" fontId="20" fillId="6" borderId="1" xfId="0" applyNumberFormat="1" applyFont="1" applyFill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4" fontId="4" fillId="6" borderId="1" xfId="0" applyNumberFormat="1" applyFont="1" applyFill="1" applyBorder="1" applyAlignment="1">
      <alignment vertical="center"/>
    </xf>
    <xf numFmtId="171" fontId="5" fillId="0" borderId="1" xfId="0" applyNumberFormat="1" applyFont="1" applyBorder="1" applyAlignment="1">
      <alignment vertical="center"/>
    </xf>
    <xf numFmtId="172" fontId="5" fillId="0" borderId="1" xfId="0" applyNumberFormat="1" applyFont="1" applyBorder="1" applyAlignment="1">
      <alignment vertical="center"/>
    </xf>
    <xf numFmtId="173" fontId="5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174" fontId="7" fillId="4" borderId="1" xfId="0" applyNumberFormat="1" applyFont="1" applyFill="1" applyBorder="1" applyAlignment="1">
      <alignment vertical="center"/>
    </xf>
    <xf numFmtId="166" fontId="7" fillId="4" borderId="1" xfId="0" applyNumberFormat="1" applyFont="1" applyFill="1" applyBorder="1" applyAlignment="1">
      <alignment vertical="center"/>
    </xf>
    <xf numFmtId="175" fontId="7" fillId="4" borderId="1" xfId="0" applyNumberFormat="1" applyFont="1" applyFill="1" applyBorder="1" applyAlignment="1">
      <alignment vertical="center"/>
    </xf>
    <xf numFmtId="176" fontId="7" fillId="4" borderId="1" xfId="0" applyNumberFormat="1" applyFont="1" applyFill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176" fontId="4" fillId="6" borderId="1" xfId="0" applyNumberFormat="1" applyFont="1" applyFill="1" applyBorder="1" applyAlignment="1">
      <alignment vertical="center"/>
    </xf>
    <xf numFmtId="176" fontId="25" fillId="11" borderId="1" xfId="0" applyNumberFormat="1" applyFont="1" applyFill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176" fontId="0" fillId="0" borderId="0" xfId="0" applyNumberFormat="1"/>
    <xf numFmtId="176" fontId="22" fillId="6" borderId="1" xfId="0" applyNumberFormat="1" applyFont="1" applyFill="1" applyBorder="1" applyAlignment="1">
      <alignment vertical="center"/>
    </xf>
    <xf numFmtId="176" fontId="20" fillId="0" borderId="1" xfId="0" applyNumberFormat="1" applyFont="1" applyBorder="1" applyAlignment="1">
      <alignment vertical="center"/>
    </xf>
    <xf numFmtId="176" fontId="23" fillId="6" borderId="1" xfId="0" applyNumberFormat="1" applyFont="1" applyFill="1" applyBorder="1" applyAlignment="1">
      <alignment vertical="center"/>
    </xf>
    <xf numFmtId="176" fontId="24" fillId="6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wrapText="1" indent="1"/>
    </xf>
    <xf numFmtId="0" fontId="10" fillId="2" borderId="0" xfId="0" applyFont="1" applyFill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0" fontId="2" fillId="0" borderId="0" xfId="0" applyFont="1"/>
    <xf numFmtId="0" fontId="14" fillId="8" borderId="1" xfId="0" applyFont="1" applyFill="1" applyBorder="1" applyAlignment="1">
      <alignment horizontal="center" vertical="center" wrapText="1"/>
    </xf>
    <xf numFmtId="176" fontId="15" fillId="9" borderId="1" xfId="0" applyNumberFormat="1" applyFont="1" applyFill="1" applyBorder="1" applyAlignment="1">
      <alignment horizontal="center" vertical="center"/>
    </xf>
    <xf numFmtId="176" fontId="16" fillId="9" borderId="1" xfId="0" applyNumberFormat="1" applyFont="1" applyFill="1" applyBorder="1" applyAlignment="1">
      <alignment horizontal="center" vertical="center"/>
    </xf>
    <xf numFmtId="165" fontId="15" fillId="9" borderId="1" xfId="0" applyNumberFormat="1" applyFont="1" applyFill="1" applyBorder="1" applyAlignment="1">
      <alignment horizontal="center" vertical="center"/>
    </xf>
    <xf numFmtId="176" fontId="17" fillId="9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9" fontId="19" fillId="9" borderId="1" xfId="0" applyNumberFormat="1" applyFont="1" applyFill="1" applyBorder="1" applyAlignment="1">
      <alignment horizontal="center" vertical="center"/>
    </xf>
    <xf numFmtId="166" fontId="19" fillId="9" borderId="1" xfId="0" applyNumberFormat="1" applyFont="1" applyFill="1" applyBorder="1" applyAlignment="1">
      <alignment horizontal="center" vertical="center"/>
    </xf>
    <xf numFmtId="165" fontId="19" fillId="9" borderId="1" xfId="0" applyNumberFormat="1" applyFont="1" applyFill="1" applyBorder="1" applyAlignment="1">
      <alignment horizontal="center" vertical="center"/>
    </xf>
    <xf numFmtId="176" fontId="19" fillId="9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76" fontId="8" fillId="0" borderId="1" xfId="0" applyNumberFormat="1" applyFont="1" applyBorder="1" applyAlignment="1">
      <alignment horizontal="right" vertical="center"/>
    </xf>
    <xf numFmtId="0" fontId="18" fillId="0" borderId="0" xfId="0" applyFont="1"/>
    <xf numFmtId="0" fontId="4" fillId="6" borderId="1" xfId="0" applyFont="1" applyFill="1" applyBorder="1" applyAlignment="1">
      <alignment vertical="center"/>
    </xf>
    <xf numFmtId="176" fontId="20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36"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1E3A8A"/>
        <name val="Arial"/>
        <charset val="1"/>
      </font>
      <fill>
        <patternFill>
          <bgColor rgb="FFDBEAFE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7F1D1D"/>
        <name val="Arial"/>
        <charset val="1"/>
      </font>
      <fill>
        <patternFill>
          <bgColor rgb="FFF8B4B4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0061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7F1D1D"/>
        <name val="Arial"/>
        <charset val="1"/>
      </font>
      <fill>
        <patternFill>
          <bgColor rgb="FFF8B4B4"/>
        </patternFill>
      </fill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004D38"/>
        <name val="Arial"/>
        <charset val="1"/>
      </font>
      <fill>
        <patternFill>
          <bgColor rgb="FFBDE5D0"/>
        </patternFill>
      </fill>
    </dxf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374151"/>
        <name val="Arial"/>
        <charset val="1"/>
      </font>
      <fill>
        <patternFill>
          <bgColor rgb="FFE5E7EB"/>
        </patternFill>
      </fill>
    </dxf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006100"/>
        <name val="Arial"/>
        <charset val="1"/>
      </font>
      <fill>
        <patternFill>
          <bgColor rgb="FFD9F2E6"/>
        </patternFill>
      </fill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C00000"/>
        <name val="Arial"/>
        <charset val="1"/>
      </font>
      <fill>
        <patternFill>
          <bgColor rgb="FFFDE2E4"/>
        </patternFill>
      </fill>
    </dxf>
    <dxf>
      <font>
        <b/>
        <color rgb="FF8A6D00"/>
        <name val="Arial"/>
        <charset val="1"/>
      </font>
      <fill>
        <patternFill>
          <bgColor rgb="FFFFF3CD"/>
        </patternFill>
      </fill>
    </dxf>
    <dxf>
      <font>
        <b/>
        <color rgb="FF006100"/>
        <name val="Arial"/>
        <charset val="1"/>
      </font>
      <fill>
        <patternFill>
          <bgColor rgb="FFD9F2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3F4F6"/>
      <rgbColor rgb="FFFF00FF"/>
      <rgbColor rgb="FF00FFFF"/>
      <rgbColor rgb="FF800000"/>
      <rgbColor rgb="FF008000"/>
      <rgbColor rgb="FF000080"/>
      <rgbColor rgb="FF8A6D00"/>
      <rgbColor rgb="FF800080"/>
      <rgbColor rgb="FF006A4E"/>
      <rgbColor rgb="FFD9D9D9"/>
      <rgbColor rgb="FF878787"/>
      <rgbColor rgb="FFDBEAFE"/>
      <rgbColor rgb="FF4B5563"/>
      <rgbColor rgb="FFFFF4CC"/>
      <rgbColor rgb="FFD9F2E6"/>
      <rgbColor rgb="FF660066"/>
      <rgbColor rgb="FFF67C8A"/>
      <rgbColor rgb="FF0563C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1EC"/>
      <rgbColor rgb="FFBDE5D0"/>
      <rgbColor rgb="FFFFF3CD"/>
      <rgbColor rgb="FF7FC4AB"/>
      <rgbColor rgb="FFFDE2E4"/>
      <rgbColor rgb="FFE5E7EB"/>
      <rgbColor rgb="FFF8B4B4"/>
      <rgbColor rgb="FF4F81BD"/>
      <rgbColor rgb="FF33CCCC"/>
      <rgbColor rgb="FF99CC00"/>
      <rgbColor rgb="FFF2C94C"/>
      <rgbColor rgb="FFC8A200"/>
      <rgbColor rgb="FFF42A41"/>
      <rgbColor rgb="FF6B7280"/>
      <rgbColor rgb="FF9CA3AF"/>
      <rgbColor rgb="FF004D38"/>
      <rgbColor rgb="FF2E9E7B"/>
      <rgbColor rgb="FF006100"/>
      <rgbColor rgb="FF374151"/>
      <rgbColor rgb="FF7F1D1D"/>
      <rgbColor rgb="FF993366"/>
      <rgbColor rgb="FF1E3A8A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vs Spending by Month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06A4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Summary'!$B$5:$B$16</c:f>
              <c:numCache>
                <c:formatCode>_([$BDT]\ * #,##0.00_);_([$BDT]\ * \(#,##0.00\);_([$BDT]\ * "-"??_);_(@_)</c:formatCode>
                <c:ptCount val="12"/>
                <c:pt idx="0">
                  <c:v>122776</c:v>
                </c:pt>
                <c:pt idx="1">
                  <c:v>128330</c:v>
                </c:pt>
                <c:pt idx="2">
                  <c:v>190200</c:v>
                </c:pt>
                <c:pt idx="3">
                  <c:v>137256</c:v>
                </c:pt>
                <c:pt idx="4">
                  <c:v>187000</c:v>
                </c:pt>
                <c:pt idx="5">
                  <c:v>131320</c:v>
                </c:pt>
                <c:pt idx="6">
                  <c:v>122776</c:v>
                </c:pt>
                <c:pt idx="7">
                  <c:v>127840</c:v>
                </c:pt>
                <c:pt idx="8">
                  <c:v>118200</c:v>
                </c:pt>
                <c:pt idx="9">
                  <c:v>136176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F-4CC0-9A0C-F059DA71FE0D}"/>
            </c:ext>
          </c:extLst>
        </c:ser>
        <c:ser>
          <c:idx val="1"/>
          <c:order val="1"/>
          <c:tx>
            <c:strRef>
              <c:f>'Monthly Summary'!$E$4</c:f>
              <c:strCache>
                <c:ptCount val="1"/>
                <c:pt idx="0">
                  <c:v>Spending</c:v>
                </c:pt>
              </c:strCache>
            </c:strRef>
          </c:tx>
          <c:spPr>
            <a:solidFill>
              <a:srgbClr val="F42A4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Summary'!$E$5:$E$16</c:f>
              <c:numCache>
                <c:formatCode>_([$BDT]\ * #,##0.00_);_([$BDT]\ * \(#,##0.00\);_([$BDT]\ * "-"??_);_(@_)</c:formatCode>
                <c:ptCount val="12"/>
                <c:pt idx="0">
                  <c:v>79140</c:v>
                </c:pt>
                <c:pt idx="1">
                  <c:v>94240</c:v>
                </c:pt>
                <c:pt idx="2">
                  <c:v>135450</c:v>
                </c:pt>
                <c:pt idx="3">
                  <c:v>88570</c:v>
                </c:pt>
                <c:pt idx="4">
                  <c:v>113680</c:v>
                </c:pt>
                <c:pt idx="5">
                  <c:v>88390</c:v>
                </c:pt>
                <c:pt idx="6">
                  <c:v>81740</c:v>
                </c:pt>
                <c:pt idx="7">
                  <c:v>85320</c:v>
                </c:pt>
                <c:pt idx="8">
                  <c:v>92020</c:v>
                </c:pt>
                <c:pt idx="9">
                  <c:v>74400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F-4CC0-9A0C-F059DA71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29810"/>
        <c:axId val="70280923"/>
      </c:barChart>
      <c:catAx>
        <c:axId val="62029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80923"/>
        <c:crosses val="autoZero"/>
        <c:auto val="1"/>
        <c:lblAlgn val="ctr"/>
        <c:lblOffset val="100"/>
        <c:noMultiLvlLbl val="0"/>
      </c:catAx>
      <c:valAx>
        <c:axId val="70280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298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Where the Money Went -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Dashboard!$O$27</c:f>
              <c:strCache>
                <c:ptCount val="1"/>
                <c:pt idx="0">
                  <c:v>Actual (BDT)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6A4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818-4EEC-BF85-157E1E6EE6E9}"/>
              </c:ext>
            </c:extLst>
          </c:dPt>
          <c:dPt>
            <c:idx val="1"/>
            <c:bubble3D val="0"/>
            <c:spPr>
              <a:solidFill>
                <a:srgbClr val="2E9E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818-4EEC-BF85-157E1E6EE6E9}"/>
              </c:ext>
            </c:extLst>
          </c:dPt>
          <c:dPt>
            <c:idx val="2"/>
            <c:bubble3D val="0"/>
            <c:spPr>
              <a:solidFill>
                <a:srgbClr val="7FC4A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818-4EEC-BF85-157E1E6EE6E9}"/>
              </c:ext>
            </c:extLst>
          </c:dPt>
          <c:dPt>
            <c:idx val="3"/>
            <c:bubble3D val="0"/>
            <c:spPr>
              <a:solidFill>
                <a:srgbClr val="C8A2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818-4EEC-BF85-157E1E6EE6E9}"/>
              </c:ext>
            </c:extLst>
          </c:dPt>
          <c:dPt>
            <c:idx val="4"/>
            <c:bubble3D val="0"/>
            <c:spPr>
              <a:solidFill>
                <a:srgbClr val="F2C9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818-4EEC-BF85-157E1E6EE6E9}"/>
              </c:ext>
            </c:extLst>
          </c:dPt>
          <c:dPt>
            <c:idx val="5"/>
            <c:bubble3D val="0"/>
            <c:spPr>
              <a:solidFill>
                <a:srgbClr val="F42A4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818-4EEC-BF85-157E1E6EE6E9}"/>
              </c:ext>
            </c:extLst>
          </c:dPt>
          <c:dPt>
            <c:idx val="6"/>
            <c:bubble3D val="0"/>
            <c:spPr>
              <a:solidFill>
                <a:srgbClr val="F67C8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818-4EEC-BF85-157E1E6EE6E9}"/>
              </c:ext>
            </c:extLst>
          </c:dPt>
          <c:dPt>
            <c:idx val="7"/>
            <c:bubble3D val="0"/>
            <c:spPr>
              <a:solidFill>
                <a:srgbClr val="4B556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818-4EEC-BF85-157E1E6EE6E9}"/>
              </c:ext>
            </c:extLst>
          </c:dPt>
          <c:dPt>
            <c:idx val="8"/>
            <c:bubble3D val="0"/>
            <c:spPr>
              <a:solidFill>
                <a:srgbClr val="9CA3A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818-4EEC-BF85-157E1E6EE6E9}"/>
              </c:ext>
            </c:extLst>
          </c:dPt>
          <c:dPt>
            <c:idx val="9"/>
            <c:bubble3D val="0"/>
            <c:spPr>
              <a:solidFill>
                <a:srgbClr val="1F2A3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818-4EEC-BF85-157E1E6EE6E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18-4EEC-BF85-157E1E6EE6E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18-4EEC-BF85-157E1E6EE6E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18-4EEC-BF85-157E1E6EE6E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18-4EEC-BF85-157E1E6EE6E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18-4EEC-BF85-157E1E6EE6E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18-4EEC-BF85-157E1E6EE6E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18-4EEC-BF85-157E1E6EE6E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818-4EEC-BF85-157E1E6EE6E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18-4EEC-BF85-157E1E6EE6E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818-4EEC-BF85-157E1E6EE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Dashboard!$M$28:$M$37</c:f>
              <c:strCache>
                <c:ptCount val="10"/>
                <c:pt idx="0">
                  <c:v>Housing &amp; Utilities</c:v>
                </c:pt>
                <c:pt idx="1">
                  <c:v>Food</c:v>
                </c:pt>
                <c:pt idx="2">
                  <c:v>Transport</c:v>
                </c:pt>
                <c:pt idx="3">
                  <c:v>Family &amp; Education</c:v>
                </c:pt>
                <c:pt idx="4">
                  <c:v>Health</c:v>
                </c:pt>
                <c:pt idx="5">
                  <c:v>Lifestyle</c:v>
                </c:pt>
                <c:pt idx="6">
                  <c:v>Religious &amp; Social</c:v>
                </c:pt>
                <c:pt idx="7">
                  <c:v>Financial Obligations</c:v>
                </c:pt>
                <c:pt idx="8">
                  <c:v>Savings &amp; Investments</c:v>
                </c:pt>
                <c:pt idx="9">
                  <c:v>Other</c:v>
                </c:pt>
              </c:strCache>
            </c:strRef>
          </c:cat>
          <c:val>
            <c:numRef>
              <c:f>Dashboard!$O$28:$O$37</c:f>
              <c:numCache>
                <c:formatCode>_([$BDT]\ * #,##0.00_);_([$BDT]\ * \(#,##0.00\);_([$BDT]\ * "-"??_);_(@_)</c:formatCode>
                <c:ptCount val="10"/>
                <c:pt idx="0">
                  <c:v>30610</c:v>
                </c:pt>
                <c:pt idx="1">
                  <c:v>12670</c:v>
                </c:pt>
                <c:pt idx="2">
                  <c:v>3090</c:v>
                </c:pt>
                <c:pt idx="3">
                  <c:v>8500</c:v>
                </c:pt>
                <c:pt idx="4">
                  <c:v>1770</c:v>
                </c:pt>
                <c:pt idx="5">
                  <c:v>15550</c:v>
                </c:pt>
                <c:pt idx="6">
                  <c:v>0</c:v>
                </c:pt>
                <c:pt idx="7">
                  <c:v>22050</c:v>
                </c:pt>
                <c:pt idx="8">
                  <c:v>8000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18-4EEC-BF85-157E1E6E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Savings Rate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Summary'!$G$4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rgbClr val="006A4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Summary'!$G$5:$G$16</c:f>
              <c:numCache>
                <c:formatCode>0.0%</c:formatCode>
                <c:ptCount val="12"/>
                <c:pt idx="0">
                  <c:v>0.35541148107121912</c:v>
                </c:pt>
                <c:pt idx="1">
                  <c:v>0.26564326346138861</c:v>
                </c:pt>
                <c:pt idx="2">
                  <c:v>0.28785488958990535</c:v>
                </c:pt>
                <c:pt idx="3">
                  <c:v>0.35470944803870141</c:v>
                </c:pt>
                <c:pt idx="4">
                  <c:v>0.39208556149732621</c:v>
                </c:pt>
                <c:pt idx="5">
                  <c:v>0.3269113615595492</c:v>
                </c:pt>
                <c:pt idx="6">
                  <c:v>0.33423470385091547</c:v>
                </c:pt>
                <c:pt idx="7">
                  <c:v>0.33260325406758445</c:v>
                </c:pt>
                <c:pt idx="8">
                  <c:v>0.22148900169204738</c:v>
                </c:pt>
                <c:pt idx="9">
                  <c:v>0.45364821995065208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5-40C9-8240-F0BA113AD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88125"/>
        <c:axId val="23310470"/>
      </c:barChart>
      <c:lineChart>
        <c:grouping val="standard"/>
        <c:varyColors val="0"/>
        <c:ser>
          <c:idx val="1"/>
          <c:order val="1"/>
          <c:tx>
            <c:strRef>
              <c:f>'Monthly Summary'!$L$4</c:f>
              <c:strCache>
                <c:ptCount val="1"/>
                <c:pt idx="0">
                  <c:v>Target Rate</c:v>
                </c:pt>
              </c:strCache>
            </c:strRef>
          </c:tx>
          <c:spPr>
            <a:ln w="25920">
              <a:solidFill>
                <a:srgbClr val="F42A4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Summary'!$L$5:$L$16</c:f>
              <c:numCache>
                <c:formatCode>0.0%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5-40C9-8240-F0BA113AD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188125"/>
        <c:axId val="23310470"/>
      </c:lineChart>
      <c:catAx>
        <c:axId val="92188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10470"/>
        <c:crosses val="autoZero"/>
        <c:auto val="1"/>
        <c:lblAlgn val="ctr"/>
        <c:lblOffset val="100"/>
        <c:noMultiLvlLbl val="0"/>
      </c:catAx>
      <c:valAx>
        <c:axId val="23310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881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vs Actual by Group -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Dashboard!$N$27</c:f>
              <c:strCache>
                <c:ptCount val="1"/>
                <c:pt idx="0">
                  <c:v>Budget (BDT)</c:v>
                </c:pt>
              </c:strCache>
            </c:strRef>
          </c:tx>
          <c:spPr>
            <a:solidFill>
              <a:srgbClr val="9CA3A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Dashboard!$M$28:$M$37</c:f>
              <c:strCache>
                <c:ptCount val="10"/>
                <c:pt idx="0">
                  <c:v>Housing &amp; Utilities</c:v>
                </c:pt>
                <c:pt idx="1">
                  <c:v>Food</c:v>
                </c:pt>
                <c:pt idx="2">
                  <c:v>Transport</c:v>
                </c:pt>
                <c:pt idx="3">
                  <c:v>Family &amp; Education</c:v>
                </c:pt>
                <c:pt idx="4">
                  <c:v>Health</c:v>
                </c:pt>
                <c:pt idx="5">
                  <c:v>Lifestyle</c:v>
                </c:pt>
                <c:pt idx="6">
                  <c:v>Religious &amp; Social</c:v>
                </c:pt>
                <c:pt idx="7">
                  <c:v>Financial Obligations</c:v>
                </c:pt>
                <c:pt idx="8">
                  <c:v>Savings &amp; Investments</c:v>
                </c:pt>
                <c:pt idx="9">
                  <c:v>Other</c:v>
                </c:pt>
              </c:strCache>
            </c:strRef>
          </c:cat>
          <c:val>
            <c:numRef>
              <c:f>Dashboard!$N$28:$N$37</c:f>
              <c:numCache>
                <c:formatCode>_([$BDT]\ * #,##0.00_);_([$BDT]\ * \(#,##0.00\);_([$BDT]\ * "-"??_);_(@_)</c:formatCode>
                <c:ptCount val="10"/>
                <c:pt idx="0">
                  <c:v>32180</c:v>
                </c:pt>
                <c:pt idx="1">
                  <c:v>13000</c:v>
                </c:pt>
                <c:pt idx="2">
                  <c:v>5300</c:v>
                </c:pt>
                <c:pt idx="3">
                  <c:v>9500</c:v>
                </c:pt>
                <c:pt idx="4">
                  <c:v>2000</c:v>
                </c:pt>
                <c:pt idx="5">
                  <c:v>6900</c:v>
                </c:pt>
                <c:pt idx="6">
                  <c:v>5500</c:v>
                </c:pt>
                <c:pt idx="7">
                  <c:v>21350</c:v>
                </c:pt>
                <c:pt idx="8">
                  <c:v>9500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A-4B1B-B077-C3401AC52DB5}"/>
            </c:ext>
          </c:extLst>
        </c:ser>
        <c:ser>
          <c:idx val="1"/>
          <c:order val="1"/>
          <c:tx>
            <c:strRef>
              <c:f>Dashboard!$O$27</c:f>
              <c:strCache>
                <c:ptCount val="1"/>
                <c:pt idx="0">
                  <c:v>Actual (BDT)</c:v>
                </c:pt>
              </c:strCache>
            </c:strRef>
          </c:tx>
          <c:spPr>
            <a:solidFill>
              <a:srgbClr val="006A4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Dashboard!$M$28:$M$37</c:f>
              <c:strCache>
                <c:ptCount val="10"/>
                <c:pt idx="0">
                  <c:v>Housing &amp; Utilities</c:v>
                </c:pt>
                <c:pt idx="1">
                  <c:v>Food</c:v>
                </c:pt>
                <c:pt idx="2">
                  <c:v>Transport</c:v>
                </c:pt>
                <c:pt idx="3">
                  <c:v>Family &amp; Education</c:v>
                </c:pt>
                <c:pt idx="4">
                  <c:v>Health</c:v>
                </c:pt>
                <c:pt idx="5">
                  <c:v>Lifestyle</c:v>
                </c:pt>
                <c:pt idx="6">
                  <c:v>Religious &amp; Social</c:v>
                </c:pt>
                <c:pt idx="7">
                  <c:v>Financial Obligations</c:v>
                </c:pt>
                <c:pt idx="8">
                  <c:v>Savings &amp; Investments</c:v>
                </c:pt>
                <c:pt idx="9">
                  <c:v>Other</c:v>
                </c:pt>
              </c:strCache>
            </c:strRef>
          </c:cat>
          <c:val>
            <c:numRef>
              <c:f>Dashboard!$O$28:$O$37</c:f>
              <c:numCache>
                <c:formatCode>_([$BDT]\ * #,##0.00_);_([$BDT]\ * \(#,##0.00\);_([$BDT]\ * "-"??_);_(@_)</c:formatCode>
                <c:ptCount val="10"/>
                <c:pt idx="0">
                  <c:v>30610</c:v>
                </c:pt>
                <c:pt idx="1">
                  <c:v>12670</c:v>
                </c:pt>
                <c:pt idx="2">
                  <c:v>3090</c:v>
                </c:pt>
                <c:pt idx="3">
                  <c:v>8500</c:v>
                </c:pt>
                <c:pt idx="4">
                  <c:v>1770</c:v>
                </c:pt>
                <c:pt idx="5">
                  <c:v>15550</c:v>
                </c:pt>
                <c:pt idx="6">
                  <c:v>0</c:v>
                </c:pt>
                <c:pt idx="7">
                  <c:v>22050</c:v>
                </c:pt>
                <c:pt idx="8">
                  <c:v>8000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A-4B1B-B077-C3401AC5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67342"/>
        <c:axId val="15777265"/>
      </c:barChart>
      <c:catAx>
        <c:axId val="345673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77265"/>
        <c:crosses val="autoZero"/>
        <c:auto val="1"/>
        <c:lblAlgn val="ctr"/>
        <c:lblOffset val="100"/>
        <c:noMultiLvlLbl val="0"/>
      </c:catAx>
      <c:valAx>
        <c:axId val="157772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67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Worth Trend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 Worth'!$B$31</c:f>
              <c:strCache>
                <c:ptCount val="1"/>
                <c:pt idx="0">
                  <c:v>Net Worth (BDT)</c:v>
                </c:pt>
              </c:strCache>
            </c:strRef>
          </c:tx>
          <c:spPr>
            <a:ln w="28080">
              <a:solidFill>
                <a:srgbClr val="006A4E"/>
              </a:solidFill>
              <a:round/>
            </a:ln>
          </c:spPr>
          <c:marker>
            <c:symbol val="circle"/>
            <c:size val="5"/>
            <c:spPr>
              <a:solidFill>
                <a:srgbClr val="006A4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Worth'!$A$32:$A$43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'Net Worth'!$B$32:$B$43</c:f>
              <c:numCache>
                <c:formatCode>_([$BDT]\ * #,##0.00_);_([$BDT]\ * \(#,##0.00\);_([$BDT]\ * "-"??_);_(@_)</c:formatCode>
                <c:ptCount val="12"/>
                <c:pt idx="0">
                  <c:v>1700000</c:v>
                </c:pt>
                <c:pt idx="1">
                  <c:v>1735000</c:v>
                </c:pt>
                <c:pt idx="2">
                  <c:v>1790000</c:v>
                </c:pt>
                <c:pt idx="3">
                  <c:v>1812000</c:v>
                </c:pt>
                <c:pt idx="4">
                  <c:v>1850000</c:v>
                </c:pt>
                <c:pt idx="5">
                  <c:v>1880000</c:v>
                </c:pt>
                <c:pt idx="6">
                  <c:v>1925000</c:v>
                </c:pt>
                <c:pt idx="7">
                  <c:v>1960000</c:v>
                </c:pt>
                <c:pt idx="8">
                  <c:v>2010000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17-4DC4-9127-09245F16A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624609"/>
        <c:axId val="79936325"/>
      </c:lineChart>
      <c:catAx>
        <c:axId val="69624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936325"/>
        <c:crosses val="autoZero"/>
        <c:auto val="1"/>
        <c:lblAlgn val="ctr"/>
        <c:lblOffset val="100"/>
        <c:noMultiLvlLbl val="0"/>
      </c:catAx>
      <c:valAx>
        <c:axId val="79936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246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5</xdr:col>
      <xdr:colOff>1014000</xdr:colOff>
      <xdr:row>37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11</xdr:col>
      <xdr:colOff>1002345</xdr:colOff>
      <xdr:row>37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5</xdr:col>
      <xdr:colOff>1014000</xdr:colOff>
      <xdr:row>53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11</xdr:col>
      <xdr:colOff>1002345</xdr:colOff>
      <xdr:row>53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29</xdr:row>
      <xdr:rowOff>0</xdr:rowOff>
    </xdr:from>
    <xdr:to>
      <xdr:col>11</xdr:col>
      <xdr:colOff>164880</xdr:colOff>
      <xdr:row>43</xdr:row>
      <xdr:rowOff>32760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onchoy_Bangladesh_Personal_Finance_Suite.xlsx" TargetMode="External"/><Relationship Id="rId13" Type="http://schemas.openxmlformats.org/officeDocument/2006/relationships/hyperlink" Target="Sonchoy_Bangladesh_Personal_Finance_Suite.xlsx" TargetMode="External"/><Relationship Id="rId3" Type="http://schemas.openxmlformats.org/officeDocument/2006/relationships/hyperlink" Target="Sonchoy_Bangladesh_Personal_Finance_Suite.xlsx" TargetMode="External"/><Relationship Id="rId7" Type="http://schemas.openxmlformats.org/officeDocument/2006/relationships/hyperlink" Target="Sonchoy_Bangladesh_Personal_Finance_Suite.xlsx" TargetMode="External"/><Relationship Id="rId12" Type="http://schemas.openxmlformats.org/officeDocument/2006/relationships/hyperlink" Target="Sonchoy_Bangladesh_Personal_Finance_Suite.xlsx" TargetMode="External"/><Relationship Id="rId2" Type="http://schemas.openxmlformats.org/officeDocument/2006/relationships/hyperlink" Target="Sonchoy_Bangladesh_Personal_Finance_Suite.xlsx" TargetMode="External"/><Relationship Id="rId16" Type="http://schemas.openxmlformats.org/officeDocument/2006/relationships/hyperlink" Target="Sonchoy_Bangladesh_Personal_Finance_Suite.xlsx" TargetMode="External"/><Relationship Id="rId1" Type="http://schemas.openxmlformats.org/officeDocument/2006/relationships/hyperlink" Target="Sonchoy_Bangladesh_Personal_Finance_Suite.xlsx" TargetMode="External"/><Relationship Id="rId6" Type="http://schemas.openxmlformats.org/officeDocument/2006/relationships/hyperlink" Target="Sonchoy_Bangladesh_Personal_Finance_Suite.xlsx" TargetMode="External"/><Relationship Id="rId11" Type="http://schemas.openxmlformats.org/officeDocument/2006/relationships/hyperlink" Target="Sonchoy_Bangladesh_Personal_Finance_Suite.xlsx" TargetMode="External"/><Relationship Id="rId5" Type="http://schemas.openxmlformats.org/officeDocument/2006/relationships/hyperlink" Target="Sonchoy_Bangladesh_Personal_Finance_Suite.xlsx" TargetMode="External"/><Relationship Id="rId15" Type="http://schemas.openxmlformats.org/officeDocument/2006/relationships/hyperlink" Target="Sonchoy_Bangladesh_Personal_Finance_Suite.xlsx" TargetMode="External"/><Relationship Id="rId10" Type="http://schemas.openxmlformats.org/officeDocument/2006/relationships/hyperlink" Target="Sonchoy_Bangladesh_Personal_Finance_Suite.xlsx" TargetMode="External"/><Relationship Id="rId4" Type="http://schemas.openxmlformats.org/officeDocument/2006/relationships/hyperlink" Target="Sonchoy_Bangladesh_Personal_Finance_Suite.xlsx" TargetMode="External"/><Relationship Id="rId9" Type="http://schemas.openxmlformats.org/officeDocument/2006/relationships/hyperlink" Target="Sonchoy_Bangladesh_Personal_Finance_Suite.xlsx" TargetMode="External"/><Relationship Id="rId14" Type="http://schemas.openxmlformats.org/officeDocument/2006/relationships/hyperlink" Target="Sonchoy_Bangladesh_Personal_Finance_Suite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37"/>
    <pageSetUpPr fitToPage="1"/>
  </sheetPr>
  <dimension ref="A1:B57"/>
  <sheetViews>
    <sheetView showGridLines="0" zoomScaleNormal="100" workbookViewId="0">
      <selection activeCell="F5" sqref="F5"/>
    </sheetView>
  </sheetViews>
  <sheetFormatPr defaultColWidth="8.7109375" defaultRowHeight="15" x14ac:dyDescent="0.25"/>
  <cols>
    <col min="1" max="1" width="34" customWidth="1"/>
    <col min="2" max="2" width="112" customWidth="1"/>
  </cols>
  <sheetData>
    <row r="1" spans="1:2" ht="33.75" customHeight="1" x14ac:dyDescent="0.25">
      <c r="A1" s="81" t="s">
        <v>808</v>
      </c>
      <c r="B1" s="81"/>
    </row>
    <row r="2" spans="1:2" ht="25.5" customHeight="1" x14ac:dyDescent="0.25">
      <c r="A2" s="82" t="s">
        <v>0</v>
      </c>
      <c r="B2" s="82"/>
    </row>
    <row r="4" spans="1:2" x14ac:dyDescent="0.25">
      <c r="A4" s="1" t="s">
        <v>1</v>
      </c>
      <c r="B4" s="1"/>
    </row>
    <row r="5" spans="1:2" ht="43.5" customHeight="1" x14ac:dyDescent="0.25">
      <c r="A5" s="2" t="s">
        <v>2</v>
      </c>
      <c r="B5" s="3" t="s">
        <v>3</v>
      </c>
    </row>
    <row r="7" spans="1:2" x14ac:dyDescent="0.25">
      <c r="A7" s="1" t="s">
        <v>4</v>
      </c>
      <c r="B7" s="1"/>
    </row>
    <row r="8" spans="1:2" ht="43.5" customHeight="1" x14ac:dyDescent="0.25">
      <c r="A8" s="2" t="s">
        <v>5</v>
      </c>
      <c r="B8" s="3" t="s">
        <v>6</v>
      </c>
    </row>
    <row r="9" spans="1:2" ht="43.5" customHeight="1" x14ac:dyDescent="0.25">
      <c r="A9" s="2" t="s">
        <v>7</v>
      </c>
      <c r="B9" s="3" t="s">
        <v>8</v>
      </c>
    </row>
    <row r="10" spans="1:2" ht="30" customHeight="1" x14ac:dyDescent="0.25">
      <c r="A10" s="2" t="s">
        <v>9</v>
      </c>
      <c r="B10" s="3" t="s">
        <v>10</v>
      </c>
    </row>
    <row r="11" spans="1:2" ht="43.5" customHeight="1" x14ac:dyDescent="0.25">
      <c r="A11" s="2" t="s">
        <v>11</v>
      </c>
      <c r="B11" s="3" t="s">
        <v>12</v>
      </c>
    </row>
    <row r="12" spans="1:2" ht="30" customHeight="1" x14ac:dyDescent="0.25">
      <c r="A12" s="2" t="s">
        <v>13</v>
      </c>
      <c r="B12" s="3" t="s">
        <v>14</v>
      </c>
    </row>
    <row r="13" spans="1:2" ht="43.5" customHeight="1" x14ac:dyDescent="0.25">
      <c r="A13" s="2" t="s">
        <v>15</v>
      </c>
      <c r="B13" s="3" t="s">
        <v>16</v>
      </c>
    </row>
    <row r="14" spans="1:2" ht="43.5" customHeight="1" x14ac:dyDescent="0.25">
      <c r="A14" s="2" t="s">
        <v>17</v>
      </c>
      <c r="B14" s="3" t="s">
        <v>18</v>
      </c>
    </row>
    <row r="16" spans="1:2" x14ac:dyDescent="0.25">
      <c r="A16" s="1" t="s">
        <v>19</v>
      </c>
      <c r="B16" s="1"/>
    </row>
    <row r="17" spans="1:2" x14ac:dyDescent="0.25">
      <c r="A17" s="4" t="s">
        <v>20</v>
      </c>
      <c r="B17" s="5" t="s">
        <v>21</v>
      </c>
    </row>
    <row r="18" spans="1:2" x14ac:dyDescent="0.25">
      <c r="A18" s="4" t="s">
        <v>22</v>
      </c>
      <c r="B18" s="5" t="s">
        <v>23</v>
      </c>
    </row>
    <row r="19" spans="1:2" x14ac:dyDescent="0.25">
      <c r="A19" s="4" t="s">
        <v>24</v>
      </c>
      <c r="B19" s="5" t="s">
        <v>25</v>
      </c>
    </row>
    <row r="20" spans="1:2" x14ac:dyDescent="0.25">
      <c r="A20" s="4" t="s">
        <v>26</v>
      </c>
      <c r="B20" s="5" t="s">
        <v>27</v>
      </c>
    </row>
    <row r="21" spans="1:2" x14ac:dyDescent="0.25">
      <c r="A21" s="4" t="s">
        <v>28</v>
      </c>
      <c r="B21" s="5" t="s">
        <v>29</v>
      </c>
    </row>
    <row r="22" spans="1:2" x14ac:dyDescent="0.25">
      <c r="A22" s="4" t="s">
        <v>30</v>
      </c>
      <c r="B22" s="5" t="s">
        <v>31</v>
      </c>
    </row>
    <row r="23" spans="1:2" x14ac:dyDescent="0.25">
      <c r="A23" s="4" t="s">
        <v>32</v>
      </c>
      <c r="B23" s="5" t="s">
        <v>33</v>
      </c>
    </row>
    <row r="24" spans="1:2" x14ac:dyDescent="0.25">
      <c r="A24" s="4" t="s">
        <v>34</v>
      </c>
      <c r="B24" s="5" t="s">
        <v>35</v>
      </c>
    </row>
    <row r="25" spans="1:2" x14ac:dyDescent="0.25">
      <c r="A25" s="4" t="s">
        <v>36</v>
      </c>
      <c r="B25" s="5" t="s">
        <v>37</v>
      </c>
    </row>
    <row r="26" spans="1:2" x14ac:dyDescent="0.25">
      <c r="A26" s="4" t="s">
        <v>38</v>
      </c>
      <c r="B26" s="5" t="s">
        <v>39</v>
      </c>
    </row>
    <row r="27" spans="1:2" x14ac:dyDescent="0.25">
      <c r="A27" s="4" t="s">
        <v>40</v>
      </c>
      <c r="B27" s="5" t="s">
        <v>41</v>
      </c>
    </row>
    <row r="28" spans="1:2" x14ac:dyDescent="0.25">
      <c r="A28" s="4" t="s">
        <v>42</v>
      </c>
      <c r="B28" s="5" t="s">
        <v>43</v>
      </c>
    </row>
    <row r="29" spans="1:2" x14ac:dyDescent="0.25">
      <c r="A29" s="4" t="s">
        <v>44</v>
      </c>
      <c r="B29" s="5" t="s">
        <v>45</v>
      </c>
    </row>
    <row r="30" spans="1:2" x14ac:dyDescent="0.25">
      <c r="A30" s="4" t="s">
        <v>46</v>
      </c>
      <c r="B30" s="5" t="s">
        <v>47</v>
      </c>
    </row>
    <row r="31" spans="1:2" x14ac:dyDescent="0.25">
      <c r="A31" s="4" t="s">
        <v>48</v>
      </c>
      <c r="B31" s="5" t="s">
        <v>49</v>
      </c>
    </row>
    <row r="32" spans="1:2" x14ac:dyDescent="0.25">
      <c r="A32" s="4" t="s">
        <v>50</v>
      </c>
      <c r="B32" s="5" t="s">
        <v>51</v>
      </c>
    </row>
    <row r="34" spans="1:2" x14ac:dyDescent="0.25">
      <c r="A34" s="1" t="s">
        <v>52</v>
      </c>
      <c r="B34" s="1"/>
    </row>
    <row r="35" spans="1:2" x14ac:dyDescent="0.25">
      <c r="A35" s="6" t="s">
        <v>53</v>
      </c>
      <c r="B35" s="7" t="s">
        <v>54</v>
      </c>
    </row>
    <row r="36" spans="1:2" x14ac:dyDescent="0.25">
      <c r="A36" s="8">
        <f>1+1</f>
        <v>2</v>
      </c>
      <c r="B36" s="7" t="s">
        <v>55</v>
      </c>
    </row>
    <row r="37" spans="1:2" x14ac:dyDescent="0.25">
      <c r="A37" s="9">
        <f>Settings!$B$5</f>
        <v>2026</v>
      </c>
      <c r="B37" s="7" t="s">
        <v>56</v>
      </c>
    </row>
    <row r="38" spans="1:2" x14ac:dyDescent="0.25">
      <c r="A38" s="10" t="s">
        <v>57</v>
      </c>
      <c r="B38" s="7" t="s">
        <v>58</v>
      </c>
    </row>
    <row r="39" spans="1:2" x14ac:dyDescent="0.25">
      <c r="A39" s="11" t="s">
        <v>59</v>
      </c>
      <c r="B39" s="7" t="s">
        <v>60</v>
      </c>
    </row>
    <row r="41" spans="1:2" x14ac:dyDescent="0.25">
      <c r="A41" s="1" t="s">
        <v>61</v>
      </c>
      <c r="B41" s="1"/>
    </row>
    <row r="42" spans="1:2" ht="30" customHeight="1" x14ac:dyDescent="0.25">
      <c r="A42" s="3" t="s">
        <v>62</v>
      </c>
      <c r="B42" s="3" t="s">
        <v>63</v>
      </c>
    </row>
    <row r="43" spans="1:2" ht="30" customHeight="1" x14ac:dyDescent="0.25">
      <c r="A43" s="3" t="s">
        <v>64</v>
      </c>
      <c r="B43" s="3" t="s">
        <v>65</v>
      </c>
    </row>
    <row r="44" spans="1:2" ht="18" customHeight="1" x14ac:dyDescent="0.25">
      <c r="A44" s="3" t="s">
        <v>66</v>
      </c>
      <c r="B44" s="3" t="s">
        <v>67</v>
      </c>
    </row>
    <row r="45" spans="1:2" ht="18" customHeight="1" x14ac:dyDescent="0.25">
      <c r="A45" s="3" t="s">
        <v>68</v>
      </c>
      <c r="B45" s="3" t="s">
        <v>69</v>
      </c>
    </row>
    <row r="46" spans="1:2" ht="30" customHeight="1" x14ac:dyDescent="0.25">
      <c r="A46" s="3" t="s">
        <v>70</v>
      </c>
      <c r="B46" s="3" t="s">
        <v>71</v>
      </c>
    </row>
    <row r="47" spans="1:2" ht="30" customHeight="1" x14ac:dyDescent="0.25">
      <c r="A47" s="3" t="s">
        <v>72</v>
      </c>
      <c r="B47" s="3" t="s">
        <v>73</v>
      </c>
    </row>
    <row r="48" spans="1:2" ht="18" customHeight="1" x14ac:dyDescent="0.25">
      <c r="A48" s="3" t="s">
        <v>74</v>
      </c>
      <c r="B48" s="3" t="s">
        <v>75</v>
      </c>
    </row>
    <row r="49" spans="1:2" ht="30" customHeight="1" x14ac:dyDescent="0.25">
      <c r="A49" s="3" t="s">
        <v>76</v>
      </c>
      <c r="B49" s="3" t="s">
        <v>77</v>
      </c>
    </row>
    <row r="50" spans="1:2" ht="30" customHeight="1" x14ac:dyDescent="0.25">
      <c r="A50" s="3" t="s">
        <v>78</v>
      </c>
      <c r="B50" s="3" t="s">
        <v>79</v>
      </c>
    </row>
    <row r="52" spans="1:2" x14ac:dyDescent="0.25">
      <c r="A52" s="1" t="s">
        <v>80</v>
      </c>
      <c r="B52" s="1"/>
    </row>
    <row r="53" spans="1:2" ht="30" customHeight="1" x14ac:dyDescent="0.25">
      <c r="A53" s="2" t="s">
        <v>81</v>
      </c>
      <c r="B53" s="3" t="s">
        <v>82</v>
      </c>
    </row>
    <row r="54" spans="1:2" ht="61.5" customHeight="1" x14ac:dyDescent="0.25">
      <c r="A54" s="2" t="s">
        <v>83</v>
      </c>
      <c r="B54" s="3" t="s">
        <v>84</v>
      </c>
    </row>
    <row r="55" spans="1:2" ht="43.5" customHeight="1" x14ac:dyDescent="0.25">
      <c r="A55" s="2" t="s">
        <v>85</v>
      </c>
      <c r="B55" s="3" t="s">
        <v>86</v>
      </c>
    </row>
    <row r="56" spans="1:2" ht="43.5" customHeight="1" x14ac:dyDescent="0.25">
      <c r="A56" s="2" t="s">
        <v>87</v>
      </c>
      <c r="B56" s="3" t="s">
        <v>88</v>
      </c>
    </row>
    <row r="57" spans="1:2" ht="43.5" customHeight="1" x14ac:dyDescent="0.25">
      <c r="A57" s="2" t="s">
        <v>89</v>
      </c>
      <c r="B57" s="3" t="s">
        <v>90</v>
      </c>
    </row>
  </sheetData>
  <mergeCells count="2">
    <mergeCell ref="A1:B1"/>
    <mergeCell ref="A2:B2"/>
  </mergeCells>
  <hyperlinks>
    <hyperlink ref="A17" r:id="rId1" location="'Guide'!A1" xr:uid="{00000000-0004-0000-0000-000000000000}"/>
    <hyperlink ref="A18" r:id="rId2" location="'Dashboard'!A1" xr:uid="{00000000-0004-0000-0000-000001000000}"/>
    <hyperlink ref="A19" r:id="rId3" location="'Transactions'!A1" xr:uid="{00000000-0004-0000-0000-000002000000}"/>
    <hyperlink ref="A20" r:id="rId4" location="'Budget'!A1" xr:uid="{00000000-0004-0000-0000-000003000000}"/>
    <hyperlink ref="A21" r:id="rId5" location="'Annual%20Matrix'!A1" xr:uid="{00000000-0004-0000-0000-000004000000}"/>
    <hyperlink ref="A22" r:id="rId6" location="'Monthly%20Summary'!A1" xr:uid="{00000000-0004-0000-0000-000005000000}"/>
    <hyperlink ref="A23" r:id="rId7" location="'Savings%20Goals'!A1" xr:uid="{00000000-0004-0000-0000-000006000000}"/>
    <hyperlink ref="A24" r:id="rId8" location="'Debt%20&amp;%20Loans'!A1" xr:uid="{00000000-0004-0000-0000-000007000000}"/>
    <hyperlink ref="A25" r:id="rId9" location="'Investments'!A1" xr:uid="{00000000-0004-0000-0000-000008000000}"/>
    <hyperlink ref="A26" r:id="rId10" location="'Net%20Worth'!A1" xr:uid="{00000000-0004-0000-0000-000009000000}"/>
    <hyperlink ref="A27" r:id="rId11" location="'Income%20Tax'!A1" xr:uid="{00000000-0004-0000-0000-00000A000000}"/>
    <hyperlink ref="A28" r:id="rId12" location="'Zakat'!A1" xr:uid="{00000000-0004-0000-0000-00000B000000}"/>
    <hyperlink ref="A29" r:id="rId13" location="'Festivals'!A1" xr:uid="{00000000-0004-0000-0000-00000C000000}"/>
    <hyperlink ref="A30" r:id="rId14" location="'Bills'!A1" xr:uid="{00000000-0004-0000-0000-00000D000000}"/>
    <hyperlink ref="A31" r:id="rId15" location="'Quick%20Tools'!A1" xr:uid="{00000000-0004-0000-0000-00000E000000}"/>
    <hyperlink ref="A32" r:id="rId16" location="'Settings'!A1" xr:uid="{00000000-0004-0000-0000-00000F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A4E"/>
    <pageSetUpPr fitToPage="1"/>
  </sheetPr>
  <dimension ref="A1:O56"/>
  <sheetViews>
    <sheetView showGridLines="0" zoomScale="72" zoomScaleNormal="100" workbookViewId="0">
      <selection activeCell="V17" sqref="V17"/>
    </sheetView>
  </sheetViews>
  <sheetFormatPr defaultColWidth="8.7109375" defaultRowHeight="15" x14ac:dyDescent="0.25"/>
  <cols>
    <col min="1" max="1" width="2" customWidth="1"/>
    <col min="2" max="17" width="18.140625" customWidth="1"/>
  </cols>
  <sheetData>
    <row r="1" spans="1:13" ht="39.75" customHeight="1" x14ac:dyDescent="0.25">
      <c r="A1" s="12"/>
      <c r="B1" s="83" t="s">
        <v>808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x14ac:dyDescent="0.25">
      <c r="B2" s="84" t="str">
        <f>"Prepared for "&amp;Settings!$B$4&amp;"   |   Tracking year "&amp;Settings!$B$5&amp;"   |   All amounts in BDT (Bangladeshi Taka)"</f>
        <v>Prepared for Your Name   |   Tracking year 2026   |   All amounts in BDT (Bangladeshi Taka)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4" spans="1:13" ht="21.75" customHeight="1" x14ac:dyDescent="0.25">
      <c r="B4" s="85" t="s">
        <v>91</v>
      </c>
      <c r="C4" s="85"/>
      <c r="D4" s="86" t="s">
        <v>719</v>
      </c>
      <c r="E4" s="86"/>
      <c r="G4" s="87" t="s">
        <v>93</v>
      </c>
      <c r="H4" s="87"/>
      <c r="I4" s="87"/>
      <c r="J4" s="87"/>
      <c r="K4" s="87"/>
      <c r="L4" s="87"/>
      <c r="M4" s="87"/>
    </row>
    <row r="6" spans="1:13" ht="24" customHeight="1" x14ac:dyDescent="0.25">
      <c r="B6" s="93" t="s">
        <v>94</v>
      </c>
      <c r="C6" s="93"/>
      <c r="D6" s="94" t="s">
        <v>95</v>
      </c>
      <c r="E6" s="94"/>
      <c r="F6" s="93" t="s">
        <v>96</v>
      </c>
      <c r="G6" s="93"/>
      <c r="H6" s="93" t="s">
        <v>97</v>
      </c>
      <c r="I6" s="93"/>
      <c r="J6" s="93" t="s">
        <v>98</v>
      </c>
      <c r="K6" s="93"/>
      <c r="L6" s="88" t="s">
        <v>99</v>
      </c>
      <c r="M6" s="88"/>
    </row>
    <row r="7" spans="1:13" ht="33.75" customHeight="1" x14ac:dyDescent="0.25">
      <c r="B7" s="89">
        <f>INDEX('Monthly Summary'!$B$5:$B$16,Settings!$B$11)</f>
        <v>128330</v>
      </c>
      <c r="C7" s="89"/>
      <c r="D7" s="90">
        <f>INDEX('Monthly Summary'!$E$5:$E$16,Settings!$B$11)</f>
        <v>94240</v>
      </c>
      <c r="E7" s="90"/>
      <c r="F7" s="89">
        <f>INDEX('Monthly Summary'!$F$5:$F$16,Settings!$B$11)</f>
        <v>34090</v>
      </c>
      <c r="G7" s="89"/>
      <c r="H7" s="91">
        <f>INDEX('Monthly Summary'!$G$5:$G$16,Settings!$B$11)</f>
        <v>0.26564326346138861</v>
      </c>
      <c r="I7" s="91"/>
      <c r="J7" s="89">
        <f>'Monthly Summary'!$F$17</f>
        <v>468924</v>
      </c>
      <c r="K7" s="89"/>
      <c r="L7" s="92">
        <f ca="1">'Net Worth'!$C$25</f>
        <v>2100008.0318651944</v>
      </c>
      <c r="M7" s="92"/>
    </row>
    <row r="8" spans="1:13" x14ac:dyDescent="0.25">
      <c r="B8" s="95" t="str">
        <f>$D$4&amp;" "&amp;Settings!$B$5</f>
        <v>February 2026</v>
      </c>
      <c r="C8" s="95"/>
      <c r="D8" s="95" t="s">
        <v>100</v>
      </c>
      <c r="E8" s="95"/>
      <c r="F8" s="95" t="s">
        <v>101</v>
      </c>
      <c r="G8" s="95"/>
      <c r="H8" s="95" t="str">
        <f>"Target "&amp;TEXT(Settings!$B$7,"0%")</f>
        <v>Target 20%</v>
      </c>
      <c r="I8" s="95"/>
      <c r="J8" s="95" t="s">
        <v>102</v>
      </c>
      <c r="K8" s="95"/>
      <c r="L8" s="95" t="s">
        <v>103</v>
      </c>
      <c r="M8" s="95"/>
    </row>
    <row r="10" spans="1:13" ht="24" customHeight="1" x14ac:dyDescent="0.25">
      <c r="B10" s="96" t="s">
        <v>104</v>
      </c>
      <c r="C10" s="96"/>
      <c r="D10" s="96" t="s">
        <v>105</v>
      </c>
      <c r="E10" s="96"/>
      <c r="F10" s="96" t="s">
        <v>106</v>
      </c>
      <c r="G10" s="96"/>
      <c r="H10" s="96" t="s">
        <v>107</v>
      </c>
      <c r="I10" s="96"/>
      <c r="J10" s="96" t="s">
        <v>108</v>
      </c>
      <c r="K10" s="96"/>
      <c r="L10" s="96" t="s">
        <v>109</v>
      </c>
      <c r="M10" s="96"/>
    </row>
    <row r="11" spans="1:13" ht="33.75" customHeight="1" x14ac:dyDescent="0.25">
      <c r="B11" s="97">
        <f>Budget!$G$47</f>
        <v>0.96243998870375602</v>
      </c>
      <c r="C11" s="97"/>
      <c r="D11" s="98">
        <f>'Net Worth'!$C$27</f>
        <v>2.8618897047001446</v>
      </c>
      <c r="E11" s="98"/>
      <c r="F11" s="99">
        <f>'Debt &amp; Loans'!$C$21</f>
        <v>0.12884348391565262</v>
      </c>
      <c r="G11" s="99"/>
      <c r="H11" s="100">
        <f>'Monthly Summary'!$B$19</f>
        <v>140187.4</v>
      </c>
      <c r="I11" s="100"/>
      <c r="J11" s="100">
        <f>'Monthly Summary'!$E$19</f>
        <v>93295</v>
      </c>
      <c r="K11" s="100"/>
      <c r="L11" s="97">
        <f>'Savings Goals'!$I$18</f>
        <v>0.14641211323238973</v>
      </c>
      <c r="M11" s="97"/>
    </row>
    <row r="12" spans="1:13" x14ac:dyDescent="0.25">
      <c r="B12" s="95" t="s">
        <v>110</v>
      </c>
      <c r="C12" s="95"/>
      <c r="D12" s="95" t="str">
        <f>"Target "&amp;Settings!$B$8&amp;" months"</f>
        <v>Target 6 months</v>
      </c>
      <c r="E12" s="95"/>
      <c r="F12" s="95" t="str">
        <f>"Max "&amp;TEXT(Settings!$B$9,"0%")</f>
        <v>Max 40%</v>
      </c>
      <c r="G12" s="95"/>
      <c r="H12" s="95" t="s">
        <v>111</v>
      </c>
      <c r="I12" s="95"/>
      <c r="J12" s="95" t="s">
        <v>111</v>
      </c>
      <c r="K12" s="95"/>
      <c r="L12" s="95" t="s">
        <v>112</v>
      </c>
      <c r="M12" s="95"/>
    </row>
    <row r="14" spans="1:13" x14ac:dyDescent="0.25">
      <c r="B14" s="1" t="s">
        <v>113</v>
      </c>
      <c r="C14" s="1"/>
      <c r="D14" s="1"/>
      <c r="E14" s="1"/>
      <c r="F14" s="1"/>
      <c r="G14" s="1"/>
      <c r="H14" s="1" t="s">
        <v>114</v>
      </c>
      <c r="I14" s="1"/>
      <c r="J14" s="1"/>
      <c r="K14" s="1"/>
      <c r="L14" s="1"/>
      <c r="M14" s="1"/>
    </row>
    <row r="15" spans="1:13" ht="15" customHeight="1" x14ac:dyDescent="0.25">
      <c r="B15" s="101" t="s">
        <v>115</v>
      </c>
      <c r="C15" s="101"/>
      <c r="D15" s="13" t="s">
        <v>116</v>
      </c>
      <c r="E15" s="13" t="s">
        <v>117</v>
      </c>
      <c r="F15" s="101" t="s">
        <v>118</v>
      </c>
      <c r="G15" s="101"/>
      <c r="H15" s="101" t="s">
        <v>119</v>
      </c>
      <c r="I15" s="101"/>
      <c r="J15" s="101"/>
      <c r="K15" s="101" t="s">
        <v>120</v>
      </c>
      <c r="L15" s="101"/>
      <c r="M15" s="13" t="s">
        <v>121</v>
      </c>
    </row>
    <row r="16" spans="1:13" x14ac:dyDescent="0.25">
      <c r="B16" s="102" t="s">
        <v>122</v>
      </c>
      <c r="C16" s="102"/>
      <c r="D16" s="14">
        <f>'Monthly Summary'!$G$17</f>
        <v>0.33449796486702799</v>
      </c>
      <c r="E16" s="14">
        <f>Settings!$B$7</f>
        <v>0.2</v>
      </c>
      <c r="F16" s="103" t="str">
        <f>IF(D16&gt;=E16,"GOOD",IF(D16&gt;=E16*0.6,"IMPROVE","WARNING"))</f>
        <v>GOOD</v>
      </c>
      <c r="G16" s="103"/>
      <c r="H16" s="104" t="str">
        <f>IFERROR(IF(LARGE(Budget!$M$6:$M$46,1)&lt;1,"-",INDEX(Budget!$A$6:$A$46,MATCH(LARGE(Budget!$M$6:$M$46,1),Budget!$M$6:$M$46,0))),"-")</f>
        <v>House Rent</v>
      </c>
      <c r="I16" s="104"/>
      <c r="J16" s="104"/>
      <c r="K16" s="105">
        <f>IFERROR(IF(LARGE(Budget!$M$6:$M$46,1)&lt;1,0,INDEX(Budget!$E$6:$E$46,MATCH(LARGE(Budget!$M$6:$M$46,1),Budget!$M$6:$M$46,0))),0)</f>
        <v>22000</v>
      </c>
      <c r="L16" s="105"/>
      <c r="M16" s="17">
        <f>IF(Budget!$E$47=0,0,K16/Budget!$E$47)</f>
        <v>0.21517996870109546</v>
      </c>
    </row>
    <row r="17" spans="2:15" x14ac:dyDescent="0.25">
      <c r="B17" s="102" t="s">
        <v>123</v>
      </c>
      <c r="C17" s="102"/>
      <c r="D17" s="18">
        <f>'Net Worth'!$C$27</f>
        <v>2.8618897047001446</v>
      </c>
      <c r="E17" s="9">
        <f>Settings!$B$8</f>
        <v>6</v>
      </c>
      <c r="F17" s="103" t="str">
        <f>IF(D17&gt;=E17,"GOOD",IF(D17&gt;=E17/2,"IMPROVE","WARNING"))</f>
        <v>WARNING</v>
      </c>
      <c r="G17" s="103"/>
      <c r="H17" s="104" t="str">
        <f>IFERROR(IF(LARGE(Budget!$M$6:$M$46,2)&lt;1,"-",INDEX(Budget!$A$6:$A$46,MATCH(LARGE(Budget!$M$6:$M$46,2),Budget!$M$6:$M$46,0))),"-")</f>
        <v>Loan EMI</v>
      </c>
      <c r="I17" s="104"/>
      <c r="J17" s="104"/>
      <c r="K17" s="105">
        <f>IFERROR(IF(LARGE(Budget!$M$6:$M$46,2)&lt;1,0,INDEX(Budget!$E$6:$E$46,MATCH(LARGE(Budget!$M$6:$M$46,2),Budget!$M$6:$M$46,0))),0)</f>
        <v>15300</v>
      </c>
      <c r="L17" s="105"/>
      <c r="M17" s="17">
        <f>IF(Budget!$E$47=0,0,K17/Budget!$E$47)</f>
        <v>0.14964788732394366</v>
      </c>
    </row>
    <row r="18" spans="2:15" x14ac:dyDescent="0.25">
      <c r="B18" s="102" t="s">
        <v>124</v>
      </c>
      <c r="C18" s="102"/>
      <c r="D18" s="14">
        <f>'Debt &amp; Loans'!$C$21</f>
        <v>0.12884348391565262</v>
      </c>
      <c r="E18" s="14">
        <f>Settings!$B$9</f>
        <v>0.4</v>
      </c>
      <c r="F18" s="103" t="str">
        <f>IF(D18&lt;=E18,"GOOD",IF(D18&lt;=E18*1.25,"IMPROVE","WARNING"))</f>
        <v>GOOD</v>
      </c>
      <c r="G18" s="103"/>
      <c r="H18" s="104" t="str">
        <f>IFERROR(IF(LARGE(Budget!$M$6:$M$46,3)&lt;1,"-",INDEX(Budget!$A$6:$A$46,MATCH(LARGE(Budget!$M$6:$M$46,3),Budget!$M$6:$M$46,0))),"-")</f>
        <v>Travel &amp; Holidays</v>
      </c>
      <c r="I18" s="104"/>
      <c r="J18" s="104"/>
      <c r="K18" s="105">
        <f>IFERROR(IF(LARGE(Budget!$M$6:$M$46,3)&lt;1,0,INDEX(Budget!$E$6:$E$46,MATCH(LARGE(Budget!$M$6:$M$46,3),Budget!$M$6:$M$46,0))),0)</f>
        <v>12000</v>
      </c>
      <c r="L18" s="105"/>
      <c r="M18" s="17">
        <f>IF(Budget!$E$47=0,0,K18/Budget!$E$47)</f>
        <v>0.11737089201877934</v>
      </c>
    </row>
    <row r="19" spans="2:15" x14ac:dyDescent="0.25">
      <c r="B19" s="102" t="s">
        <v>125</v>
      </c>
      <c r="C19" s="102"/>
      <c r="D19" s="14">
        <f>Budget!$D$59</f>
        <v>0.60492480324164266</v>
      </c>
      <c r="E19" s="14">
        <f>Settings!$B$12</f>
        <v>0.5</v>
      </c>
      <c r="F19" s="103" t="str">
        <f>IF(D19&lt;=E19,"GOOD",IF(D19&lt;=E19+0.1,"IMPROVE","WARNING"))</f>
        <v>WARNING</v>
      </c>
      <c r="G19" s="103"/>
      <c r="H19" s="104" t="str">
        <f>IFERROR(IF(LARGE(Budget!$M$6:$M$46,4)&lt;1,"-",INDEX(Budget!$A$6:$A$46,MATCH(LARGE(Budget!$M$6:$M$46,4),Budget!$M$6:$M$46,0))),"-")</f>
        <v>Groceries &amp; Bazar</v>
      </c>
      <c r="I19" s="104"/>
      <c r="J19" s="104"/>
      <c r="K19" s="105">
        <f>IFERROR(IF(LARGE(Budget!$M$6:$M$46,4)&lt;1,0,INDEX(Budget!$E$6:$E$46,MATCH(LARGE(Budget!$M$6:$M$46,4),Budget!$M$6:$M$46,0))),0)</f>
        <v>11610</v>
      </c>
      <c r="L19" s="105"/>
      <c r="M19" s="17">
        <f>IF(Budget!$E$47=0,0,K19/Budget!$E$47)</f>
        <v>0.11355633802816902</v>
      </c>
    </row>
    <row r="20" spans="2:15" x14ac:dyDescent="0.25">
      <c r="B20" s="102" t="s">
        <v>126</v>
      </c>
      <c r="C20" s="102"/>
      <c r="D20" s="14">
        <f>Budget!$D$60</f>
        <v>0.12943193329696875</v>
      </c>
      <c r="E20" s="14">
        <f>Settings!$B$13</f>
        <v>0.3</v>
      </c>
      <c r="F20" s="103" t="str">
        <f>IF(D20&lt;=E20,"GOOD",IF(D20&lt;=E20+0.1,"IMPROVE","WARNING"))</f>
        <v>GOOD</v>
      </c>
      <c r="G20" s="103"/>
      <c r="H20" s="104" t="str">
        <f>IFERROR(IF(LARGE(Budget!$M$6:$M$46,5)&lt;1,"-",INDEX(Budget!$A$6:$A$46,MATCH(LARGE(Budget!$M$6:$M$46,5),Budget!$M$6:$M$46,0))),"-")</f>
        <v>DPS Deposit</v>
      </c>
      <c r="I20" s="104"/>
      <c r="J20" s="104"/>
      <c r="K20" s="105">
        <f>IFERROR(IF(LARGE(Budget!$M$6:$M$46,5)&lt;1,0,INDEX(Budget!$E$6:$E$46,MATCH(LARGE(Budget!$M$6:$M$46,5),Budget!$M$6:$M$46,0))),0)</f>
        <v>5000</v>
      </c>
      <c r="L20" s="105"/>
      <c r="M20" s="17">
        <f>IF(Budget!$E$47=0,0,K20/Budget!$E$47)</f>
        <v>4.8904538341158058E-2</v>
      </c>
    </row>
    <row r="21" spans="2:15" x14ac:dyDescent="0.25">
      <c r="B21" s="102" t="s">
        <v>127</v>
      </c>
      <c r="C21" s="102"/>
      <c r="D21" s="9">
        <f>COUNTIF(Budget!$H$6:$H$46,"OVER")</f>
        <v>5</v>
      </c>
      <c r="E21" s="8">
        <v>0</v>
      </c>
      <c r="F21" s="103" t="str">
        <f>IF(D21=0,"GOOD",IF(D21&lt;=3,"IMPROVE","WARNING"))</f>
        <v>WARNING</v>
      </c>
      <c r="G21" s="103"/>
      <c r="H21" s="107" t="s">
        <v>128</v>
      </c>
      <c r="I21" s="107"/>
      <c r="J21" s="107"/>
      <c r="K21" s="108">
        <f>Budget!$E$47</f>
        <v>102240</v>
      </c>
      <c r="L21" s="108"/>
      <c r="M21" s="20">
        <f>IF(K21=0,0,1)</f>
        <v>1</v>
      </c>
    </row>
    <row r="22" spans="2:15" x14ac:dyDescent="0.25">
      <c r="B22" s="109" t="str">
        <f>"Health score: "&amp;COUNTIF(F16:F21,"GOOD")&amp;" of 6 checks are GOOD"</f>
        <v>Health score: 3 of 6 checks are GOOD</v>
      </c>
      <c r="C22" s="109"/>
      <c r="D22" s="109"/>
      <c r="E22" s="109"/>
      <c r="F22" s="109"/>
      <c r="G22" s="109"/>
    </row>
    <row r="23" spans="2:15" x14ac:dyDescent="0.25">
      <c r="B23" s="1" t="s">
        <v>129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6" spans="2:15" x14ac:dyDescent="0.25">
      <c r="M26" s="21" t="s">
        <v>130</v>
      </c>
    </row>
    <row r="27" spans="2:15" x14ac:dyDescent="0.25">
      <c r="M27" s="13" t="s">
        <v>131</v>
      </c>
      <c r="N27" s="13" t="s">
        <v>132</v>
      </c>
      <c r="O27" s="13" t="s">
        <v>133</v>
      </c>
    </row>
    <row r="28" spans="2:15" x14ac:dyDescent="0.25">
      <c r="M28" s="16" t="str">
        <f>Settings!$O$4</f>
        <v>Housing &amp; Utilities</v>
      </c>
      <c r="N28" s="71">
        <f>SUMIF(Budget!$B$6:$B$46,M28,Budget!$D$6:$D$46)</f>
        <v>32180</v>
      </c>
      <c r="O28" s="71">
        <f>SUMIF(Budget!$B$6:$B$46,M28,Budget!$E$6:$E$46)</f>
        <v>30610</v>
      </c>
    </row>
    <row r="29" spans="2:15" x14ac:dyDescent="0.25">
      <c r="M29" s="16" t="str">
        <f>Settings!$O$5</f>
        <v>Food</v>
      </c>
      <c r="N29" s="71">
        <f>SUMIF(Budget!$B$6:$B$46,M29,Budget!$D$6:$D$46)</f>
        <v>13000</v>
      </c>
      <c r="O29" s="71">
        <f>SUMIF(Budget!$B$6:$B$46,M29,Budget!$E$6:$E$46)</f>
        <v>12670</v>
      </c>
    </row>
    <row r="30" spans="2:15" x14ac:dyDescent="0.25">
      <c r="M30" s="16" t="str">
        <f>Settings!$O$6</f>
        <v>Transport</v>
      </c>
      <c r="N30" s="71">
        <f>SUMIF(Budget!$B$6:$B$46,M30,Budget!$D$6:$D$46)</f>
        <v>5300</v>
      </c>
      <c r="O30" s="71">
        <f>SUMIF(Budget!$B$6:$B$46,M30,Budget!$E$6:$E$46)</f>
        <v>3090</v>
      </c>
    </row>
    <row r="31" spans="2:15" x14ac:dyDescent="0.25">
      <c r="M31" s="16" t="str">
        <f>Settings!$O$7</f>
        <v>Family &amp; Education</v>
      </c>
      <c r="N31" s="71">
        <f>SUMIF(Budget!$B$6:$B$46,M31,Budget!$D$6:$D$46)</f>
        <v>9500</v>
      </c>
      <c r="O31" s="71">
        <f>SUMIF(Budget!$B$6:$B$46,M31,Budget!$E$6:$E$46)</f>
        <v>8500</v>
      </c>
    </row>
    <row r="32" spans="2:15" x14ac:dyDescent="0.25">
      <c r="M32" s="16" t="str">
        <f>Settings!$O$8</f>
        <v>Health</v>
      </c>
      <c r="N32" s="71">
        <f>SUMIF(Budget!$B$6:$B$46,M32,Budget!$D$6:$D$46)</f>
        <v>2000</v>
      </c>
      <c r="O32" s="71">
        <f>SUMIF(Budget!$B$6:$B$46,M32,Budget!$E$6:$E$46)</f>
        <v>1770</v>
      </c>
    </row>
    <row r="33" spans="13:15" x14ac:dyDescent="0.25">
      <c r="M33" s="16" t="str">
        <f>Settings!$O$9</f>
        <v>Lifestyle</v>
      </c>
      <c r="N33" s="71">
        <f>SUMIF(Budget!$B$6:$B$46,M33,Budget!$D$6:$D$46)</f>
        <v>6900</v>
      </c>
      <c r="O33" s="71">
        <f>SUMIF(Budget!$B$6:$B$46,M33,Budget!$E$6:$E$46)</f>
        <v>15550</v>
      </c>
    </row>
    <row r="34" spans="13:15" x14ac:dyDescent="0.25">
      <c r="M34" s="16" t="str">
        <f>Settings!$O$10</f>
        <v>Religious &amp; Social</v>
      </c>
      <c r="N34" s="71">
        <f>SUMIF(Budget!$B$6:$B$46,M34,Budget!$D$6:$D$46)</f>
        <v>5500</v>
      </c>
      <c r="O34" s="71">
        <f>SUMIF(Budget!$B$6:$B$46,M34,Budget!$E$6:$E$46)</f>
        <v>0</v>
      </c>
    </row>
    <row r="35" spans="13:15" x14ac:dyDescent="0.25">
      <c r="M35" s="16" t="str">
        <f>Settings!$O$11</f>
        <v>Financial Obligations</v>
      </c>
      <c r="N35" s="71">
        <f>SUMIF(Budget!$B$6:$B$46,M35,Budget!$D$6:$D$46)</f>
        <v>21350</v>
      </c>
      <c r="O35" s="71">
        <f>SUMIF(Budget!$B$6:$B$46,M35,Budget!$E$6:$E$46)</f>
        <v>22050</v>
      </c>
    </row>
    <row r="36" spans="13:15" x14ac:dyDescent="0.25">
      <c r="M36" s="16" t="str">
        <f>Settings!$O$12</f>
        <v>Savings &amp; Investments</v>
      </c>
      <c r="N36" s="71">
        <f>SUMIF(Budget!$B$6:$B$46,M36,Budget!$D$6:$D$46)</f>
        <v>9500</v>
      </c>
      <c r="O36" s="71">
        <f>SUMIF(Budget!$B$6:$B$46,M36,Budget!$E$6:$E$46)</f>
        <v>8000</v>
      </c>
    </row>
    <row r="37" spans="13:15" x14ac:dyDescent="0.25">
      <c r="M37" s="16" t="str">
        <f>Settings!$O$13</f>
        <v>Other</v>
      </c>
      <c r="N37" s="71">
        <f>SUMIF(Budget!$B$6:$B$46,M37,Budget!$D$6:$D$46)</f>
        <v>1000</v>
      </c>
      <c r="O37" s="71">
        <f>SUMIF(Budget!$B$6:$B$46,M37,Budget!$E$6:$E$46)</f>
        <v>0</v>
      </c>
    </row>
    <row r="56" spans="2:13" x14ac:dyDescent="0.25">
      <c r="B56" s="106" t="s">
        <v>134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</row>
  </sheetData>
  <mergeCells count="71">
    <mergeCell ref="B56:M56"/>
    <mergeCell ref="B21:C21"/>
    <mergeCell ref="F21:G21"/>
    <mergeCell ref="H21:J21"/>
    <mergeCell ref="K21:L21"/>
    <mergeCell ref="B22:G22"/>
    <mergeCell ref="B19:C19"/>
    <mergeCell ref="F19:G19"/>
    <mergeCell ref="H19:J19"/>
    <mergeCell ref="K19:L19"/>
    <mergeCell ref="B20:C20"/>
    <mergeCell ref="F20:G20"/>
    <mergeCell ref="H20:J20"/>
    <mergeCell ref="K20:L20"/>
    <mergeCell ref="B17:C17"/>
    <mergeCell ref="F17:G17"/>
    <mergeCell ref="H17:J17"/>
    <mergeCell ref="K17:L17"/>
    <mergeCell ref="B18:C18"/>
    <mergeCell ref="F18:G18"/>
    <mergeCell ref="H18:J18"/>
    <mergeCell ref="K18:L18"/>
    <mergeCell ref="B15:C15"/>
    <mergeCell ref="F15:G15"/>
    <mergeCell ref="H15:J15"/>
    <mergeCell ref="K15:L15"/>
    <mergeCell ref="B16:C16"/>
    <mergeCell ref="F16:G16"/>
    <mergeCell ref="H16:J16"/>
    <mergeCell ref="K16:L16"/>
    <mergeCell ref="L11:M11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8:M8"/>
    <mergeCell ref="B10:C10"/>
    <mergeCell ref="D10:E10"/>
    <mergeCell ref="F10:G10"/>
    <mergeCell ref="H10:I10"/>
    <mergeCell ref="J10:K10"/>
    <mergeCell ref="L10:M10"/>
    <mergeCell ref="B8:C8"/>
    <mergeCell ref="D8:E8"/>
    <mergeCell ref="F8:G8"/>
    <mergeCell ref="H8:I8"/>
    <mergeCell ref="J8:K8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B1:M1"/>
    <mergeCell ref="B2:M2"/>
    <mergeCell ref="B4:C4"/>
    <mergeCell ref="D4:E4"/>
    <mergeCell ref="G4:M4"/>
  </mergeCells>
  <conditionalFormatting sqref="F16:F21">
    <cfRule type="cellIs" dxfId="35" priority="2" operator="equal">
      <formula>"GOOD"</formula>
    </cfRule>
    <cfRule type="cellIs" dxfId="34" priority="3" operator="equal">
      <formula>"IMPROVE"</formula>
    </cfRule>
    <cfRule type="cellIs" dxfId="33" priority="4" operator="equal">
      <formula>"WARNING"</formula>
    </cfRule>
  </conditionalFormatting>
  <conditionalFormatting sqref="M16:M20">
    <cfRule type="dataBar" priority="5">
      <dataBar>
        <cfvo type="num" val="0"/>
        <cfvo type="num" val="1"/>
        <color rgb="FF7FC4AB"/>
      </dataBar>
      <extLst>
        <ext xmlns:x14="http://schemas.microsoft.com/office/spreadsheetml/2009/9/main" uri="{B025F937-C7B1-47D3-B67F-A62EFF666E3E}">
          <x14:id>{B01DDE32-3F1E-436D-8D20-E576E0459CD8}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1DDE32-3F1E-436D-8D20-E576E0459CD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FC4AB"/>
            </x14:dataBar>
          </x14:cfRule>
          <xm:sqref>M16:M20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Invalid entry" error="Please pick a value from the dropdown list." xr:uid="{00000000-0002-0000-0100-000000000000}">
          <x14:formula1>
            <xm:f>Settings!$D$4:$D$15</xm:f>
          </x14:formula1>
          <x14:formula2>
            <xm:f>0</xm:f>
          </x14:formula2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A4E"/>
    <pageSetUpPr fitToPage="1"/>
  </sheetPr>
  <dimension ref="A1:L2005"/>
  <sheetViews>
    <sheetView showGridLines="0" zoomScaleNormal="100" workbookViewId="0">
      <pane ySplit="5" topLeftCell="A6" activePane="bottomLeft" state="frozen"/>
      <selection pane="bottomLeft" activeCell="D32" sqref="D32"/>
    </sheetView>
  </sheetViews>
  <sheetFormatPr defaultColWidth="8.7109375" defaultRowHeight="15" x14ac:dyDescent="0.25"/>
  <cols>
    <col min="1" max="1" width="13" customWidth="1"/>
    <col min="2" max="2" width="10" customWidth="1"/>
    <col min="3" max="3" width="38" customWidth="1"/>
    <col min="4" max="4" width="42" customWidth="1"/>
    <col min="5" max="6" width="26" customWidth="1"/>
    <col min="7" max="7" width="15" customWidth="1"/>
    <col min="8" max="8" width="22" customWidth="1"/>
    <col min="9" max="9" width="9" customWidth="1"/>
    <col min="10" max="10" width="8" customWidth="1"/>
    <col min="11" max="11" width="24" customWidth="1"/>
    <col min="12" max="12" width="30" customWidth="1"/>
  </cols>
  <sheetData>
    <row r="1" spans="1:12" ht="33.75" customHeight="1" x14ac:dyDescent="0.25">
      <c r="A1" s="81" t="s">
        <v>135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25.5" customHeight="1" x14ac:dyDescent="0.25">
      <c r="A2" s="82" t="s">
        <v>136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4" spans="1:12" x14ac:dyDescent="0.25">
      <c r="A4" s="21" t="s">
        <v>137</v>
      </c>
      <c r="B4" s="22">
        <f>COUNT(G6:G2005)</f>
        <v>300</v>
      </c>
      <c r="D4" s="21" t="s">
        <v>138</v>
      </c>
    </row>
    <row r="5" spans="1:12" ht="30" customHeight="1" x14ac:dyDescent="0.25">
      <c r="A5" s="13" t="s">
        <v>139</v>
      </c>
      <c r="B5" s="13" t="s">
        <v>140</v>
      </c>
      <c r="C5" s="13" t="s">
        <v>119</v>
      </c>
      <c r="D5" s="13" t="s">
        <v>141</v>
      </c>
      <c r="E5" s="13" t="s">
        <v>142</v>
      </c>
      <c r="F5" s="13" t="s">
        <v>143</v>
      </c>
      <c r="G5" s="13" t="s">
        <v>120</v>
      </c>
      <c r="H5" s="13" t="s">
        <v>144</v>
      </c>
      <c r="I5" s="13" t="s">
        <v>145</v>
      </c>
      <c r="J5" s="13" t="s">
        <v>146</v>
      </c>
      <c r="K5" s="13" t="s">
        <v>147</v>
      </c>
      <c r="L5" s="13" t="s">
        <v>115</v>
      </c>
    </row>
    <row r="6" spans="1:12" x14ac:dyDescent="0.25">
      <c r="A6" s="23">
        <v>46023</v>
      </c>
      <c r="B6" s="24" t="s">
        <v>148</v>
      </c>
      <c r="C6" s="24" t="s">
        <v>149</v>
      </c>
      <c r="D6" s="24" t="s">
        <v>150</v>
      </c>
      <c r="E6" s="24" t="s">
        <v>151</v>
      </c>
      <c r="F6" s="24" t="s">
        <v>152</v>
      </c>
      <c r="G6" s="25">
        <v>115000</v>
      </c>
      <c r="H6" s="16" t="str">
        <f>IF(C6="","",IFERROR(INDEX(Settings!$L$4:$L$56,MATCH(C6,Settings!$K$4:$K$56,0)),"Unknown"))</f>
        <v>Income</v>
      </c>
      <c r="I6" s="8">
        <f t="shared" ref="I6:I69" si="0">IF(A6="","",MONTH(A6))</f>
        <v>1</v>
      </c>
      <c r="J6" s="8">
        <f t="shared" ref="J6:J69" si="1">IF(A6="","",YEAR(A6))</f>
        <v>2026</v>
      </c>
      <c r="K6" s="24"/>
      <c r="L6" s="7" t="str">
        <f t="shared" ref="L6:L69" si="2">IF(OR(B6="",C6=""),"",IF(AND(B6="Income",H6&lt;&gt;"Income"),"Category is not an Income category",IF(AND(B6="Expense",H6="Income"),"Category is an Income category","OK")))</f>
        <v>OK</v>
      </c>
    </row>
    <row r="7" spans="1:12" x14ac:dyDescent="0.25">
      <c r="A7" s="23">
        <v>46024</v>
      </c>
      <c r="B7" s="24" t="s">
        <v>153</v>
      </c>
      <c r="C7" s="24" t="s">
        <v>154</v>
      </c>
      <c r="D7" s="24" t="s">
        <v>155</v>
      </c>
      <c r="E7" s="24" t="s">
        <v>156</v>
      </c>
      <c r="F7" s="24" t="s">
        <v>157</v>
      </c>
      <c r="G7" s="25">
        <v>1100</v>
      </c>
      <c r="H7" s="16" t="str">
        <f>IF(C7="","",IFERROR(INDEX(Settings!$L$4:$L$56,MATCH(C7,Settings!$K$4:$K$56,0)),"Unknown"))</f>
        <v>Lifestyle</v>
      </c>
      <c r="I7" s="8">
        <f t="shared" si="0"/>
        <v>1</v>
      </c>
      <c r="J7" s="8">
        <f t="shared" si="1"/>
        <v>2026</v>
      </c>
      <c r="K7" s="24"/>
      <c r="L7" s="7" t="str">
        <f t="shared" si="2"/>
        <v>OK</v>
      </c>
    </row>
    <row r="8" spans="1:12" x14ac:dyDescent="0.25">
      <c r="A8" s="23">
        <v>46025</v>
      </c>
      <c r="B8" s="24" t="s">
        <v>153</v>
      </c>
      <c r="C8" s="24" t="s">
        <v>158</v>
      </c>
      <c r="D8" s="24" t="s">
        <v>159</v>
      </c>
      <c r="E8" s="24" t="s">
        <v>151</v>
      </c>
      <c r="F8" s="24" t="s">
        <v>160</v>
      </c>
      <c r="G8" s="25">
        <v>22000</v>
      </c>
      <c r="H8" s="16" t="str">
        <f>IF(C8="","",IFERROR(INDEX(Settings!$L$4:$L$56,MATCH(C8,Settings!$K$4:$K$56,0)),"Unknown"))</f>
        <v>Housing &amp; Utilities</v>
      </c>
      <c r="I8" s="8">
        <f t="shared" si="0"/>
        <v>1</v>
      </c>
      <c r="J8" s="8">
        <f t="shared" si="1"/>
        <v>2026</v>
      </c>
      <c r="K8" s="24"/>
      <c r="L8" s="7" t="str">
        <f t="shared" si="2"/>
        <v>OK</v>
      </c>
    </row>
    <row r="9" spans="1:12" x14ac:dyDescent="0.25">
      <c r="A9" s="23">
        <v>46026</v>
      </c>
      <c r="B9" s="24" t="s">
        <v>153</v>
      </c>
      <c r="C9" s="24" t="s">
        <v>161</v>
      </c>
      <c r="D9" s="24" t="s">
        <v>162</v>
      </c>
      <c r="E9" s="24" t="s">
        <v>163</v>
      </c>
      <c r="F9" s="24" t="s">
        <v>164</v>
      </c>
      <c r="G9" s="25">
        <v>3520</v>
      </c>
      <c r="H9" s="16" t="str">
        <f>IF(C9="","",IFERROR(INDEX(Settings!$L$4:$L$56,MATCH(C9,Settings!$K$4:$K$56,0)),"Unknown"))</f>
        <v>Food</v>
      </c>
      <c r="I9" s="8">
        <f t="shared" si="0"/>
        <v>1</v>
      </c>
      <c r="J9" s="8">
        <f t="shared" si="1"/>
        <v>2026</v>
      </c>
      <c r="K9" s="24"/>
      <c r="L9" s="7" t="str">
        <f t="shared" si="2"/>
        <v>OK</v>
      </c>
    </row>
    <row r="10" spans="1:12" x14ac:dyDescent="0.25">
      <c r="A10" s="23">
        <v>46027</v>
      </c>
      <c r="B10" s="24" t="s">
        <v>153</v>
      </c>
      <c r="C10" s="24" t="s">
        <v>165</v>
      </c>
      <c r="D10" s="24" t="s">
        <v>166</v>
      </c>
      <c r="E10" s="24" t="s">
        <v>163</v>
      </c>
      <c r="F10" s="24" t="s">
        <v>167</v>
      </c>
      <c r="G10" s="25">
        <v>3000</v>
      </c>
      <c r="H10" s="16" t="str">
        <f>IF(C10="","",IFERROR(INDEX(Settings!$L$4:$L$56,MATCH(C10,Settings!$K$4:$K$56,0)),"Unknown"))</f>
        <v>Housing &amp; Utilities</v>
      </c>
      <c r="I10" s="8">
        <f t="shared" si="0"/>
        <v>1</v>
      </c>
      <c r="J10" s="8">
        <f t="shared" si="1"/>
        <v>2026</v>
      </c>
      <c r="K10" s="24"/>
      <c r="L10" s="7" t="str">
        <f t="shared" si="2"/>
        <v>OK</v>
      </c>
    </row>
    <row r="11" spans="1:12" x14ac:dyDescent="0.25">
      <c r="A11" s="23">
        <v>46027</v>
      </c>
      <c r="B11" s="24" t="s">
        <v>153</v>
      </c>
      <c r="C11" s="24" t="s">
        <v>168</v>
      </c>
      <c r="D11" s="24" t="s">
        <v>169</v>
      </c>
      <c r="E11" s="24" t="s">
        <v>170</v>
      </c>
      <c r="F11" s="24" t="s">
        <v>171</v>
      </c>
      <c r="G11" s="25">
        <v>15300</v>
      </c>
      <c r="H11" s="16" t="str">
        <f>IF(C11="","",IFERROR(INDEX(Settings!$L$4:$L$56,MATCH(C11,Settings!$K$4:$K$56,0)),"Unknown"))</f>
        <v>Financial Obligations</v>
      </c>
      <c r="I11" s="8">
        <f t="shared" si="0"/>
        <v>1</v>
      </c>
      <c r="J11" s="8">
        <f t="shared" si="1"/>
        <v>2026</v>
      </c>
      <c r="K11" s="24"/>
      <c r="L11" s="7" t="str">
        <f t="shared" si="2"/>
        <v>OK</v>
      </c>
    </row>
    <row r="12" spans="1:12" x14ac:dyDescent="0.25">
      <c r="A12" s="23">
        <v>46027</v>
      </c>
      <c r="B12" s="24" t="s">
        <v>153</v>
      </c>
      <c r="C12" s="24" t="s">
        <v>172</v>
      </c>
      <c r="D12" s="24" t="s">
        <v>173</v>
      </c>
      <c r="E12" s="24" t="s">
        <v>170</v>
      </c>
      <c r="F12" s="24" t="s">
        <v>174</v>
      </c>
      <c r="G12" s="25">
        <v>5000</v>
      </c>
      <c r="H12" s="16" t="str">
        <f>IF(C12="","",IFERROR(INDEX(Settings!$L$4:$L$56,MATCH(C12,Settings!$K$4:$K$56,0)),"Unknown"))</f>
        <v>Savings &amp; Investments</v>
      </c>
      <c r="I12" s="8">
        <f t="shared" si="0"/>
        <v>1</v>
      </c>
      <c r="J12" s="8">
        <f t="shared" si="1"/>
        <v>2026</v>
      </c>
      <c r="K12" s="24"/>
      <c r="L12" s="7" t="str">
        <f t="shared" si="2"/>
        <v>OK</v>
      </c>
    </row>
    <row r="13" spans="1:12" x14ac:dyDescent="0.25">
      <c r="A13" s="23">
        <v>46027</v>
      </c>
      <c r="B13" s="24" t="s">
        <v>153</v>
      </c>
      <c r="C13" s="24" t="s">
        <v>175</v>
      </c>
      <c r="D13" s="24" t="s">
        <v>176</v>
      </c>
      <c r="E13" s="24" t="s">
        <v>151</v>
      </c>
      <c r="F13" s="24" t="s">
        <v>177</v>
      </c>
      <c r="G13" s="25">
        <v>3500</v>
      </c>
      <c r="H13" s="16" t="str">
        <f>IF(C13="","",IFERROR(INDEX(Settings!$L$4:$L$56,MATCH(C13,Settings!$K$4:$K$56,0)),"Unknown"))</f>
        <v>Family &amp; Education</v>
      </c>
      <c r="I13" s="8">
        <f t="shared" si="0"/>
        <v>1</v>
      </c>
      <c r="J13" s="8">
        <f t="shared" si="1"/>
        <v>2026</v>
      </c>
      <c r="K13" s="24"/>
      <c r="L13" s="7" t="str">
        <f t="shared" si="2"/>
        <v>OK</v>
      </c>
    </row>
    <row r="14" spans="1:12" x14ac:dyDescent="0.25">
      <c r="A14" s="23">
        <v>46028</v>
      </c>
      <c r="B14" s="24" t="s">
        <v>153</v>
      </c>
      <c r="C14" s="24" t="s">
        <v>178</v>
      </c>
      <c r="D14" s="24" t="s">
        <v>179</v>
      </c>
      <c r="E14" s="24" t="s">
        <v>180</v>
      </c>
      <c r="F14" s="24" t="s">
        <v>181</v>
      </c>
      <c r="G14" s="25">
        <v>1000</v>
      </c>
      <c r="H14" s="16" t="str">
        <f>IF(C14="","",IFERROR(INDEX(Settings!$L$4:$L$56,MATCH(C14,Settings!$K$4:$K$56,0)),"Unknown"))</f>
        <v>Housing &amp; Utilities</v>
      </c>
      <c r="I14" s="8">
        <f t="shared" si="0"/>
        <v>1</v>
      </c>
      <c r="J14" s="8">
        <f t="shared" si="1"/>
        <v>2026</v>
      </c>
      <c r="K14" s="24"/>
      <c r="L14" s="7" t="str">
        <f t="shared" si="2"/>
        <v>OK</v>
      </c>
    </row>
    <row r="15" spans="1:12" x14ac:dyDescent="0.25">
      <c r="A15" s="23">
        <v>46029</v>
      </c>
      <c r="B15" s="24" t="s">
        <v>153</v>
      </c>
      <c r="C15" s="24" t="s">
        <v>182</v>
      </c>
      <c r="D15" s="24" t="s">
        <v>183</v>
      </c>
      <c r="E15" s="24" t="s">
        <v>180</v>
      </c>
      <c r="F15" s="24" t="s">
        <v>184</v>
      </c>
      <c r="G15" s="25">
        <v>940</v>
      </c>
      <c r="H15" s="16" t="str">
        <f>IF(C15="","",IFERROR(INDEX(Settings!$L$4:$L$56,MATCH(C15,Settings!$K$4:$K$56,0)),"Unknown"))</f>
        <v>Transport</v>
      </c>
      <c r="I15" s="8">
        <f t="shared" si="0"/>
        <v>1</v>
      </c>
      <c r="J15" s="8">
        <f t="shared" si="1"/>
        <v>2026</v>
      </c>
      <c r="K15" s="24"/>
      <c r="L15" s="7" t="str">
        <f t="shared" si="2"/>
        <v>OK</v>
      </c>
    </row>
    <row r="16" spans="1:12" x14ac:dyDescent="0.25">
      <c r="A16" s="23">
        <v>46030</v>
      </c>
      <c r="B16" s="24" t="s">
        <v>153</v>
      </c>
      <c r="C16" s="24" t="s">
        <v>185</v>
      </c>
      <c r="D16" s="24" t="s">
        <v>186</v>
      </c>
      <c r="E16" s="24" t="s">
        <v>180</v>
      </c>
      <c r="F16" s="24" t="s">
        <v>187</v>
      </c>
      <c r="G16" s="25">
        <v>2150</v>
      </c>
      <c r="H16" s="16" t="str">
        <f>IF(C16="","",IFERROR(INDEX(Settings!$L$4:$L$56,MATCH(C16,Settings!$K$4:$K$56,0)),"Unknown"))</f>
        <v>Housing &amp; Utilities</v>
      </c>
      <c r="I16" s="8">
        <f t="shared" si="0"/>
        <v>1</v>
      </c>
      <c r="J16" s="8">
        <f t="shared" si="1"/>
        <v>2026</v>
      </c>
      <c r="K16" s="24"/>
      <c r="L16" s="7" t="str">
        <f t="shared" si="2"/>
        <v>OK</v>
      </c>
    </row>
    <row r="17" spans="1:12" x14ac:dyDescent="0.25">
      <c r="A17" s="23">
        <v>46031</v>
      </c>
      <c r="B17" s="24" t="s">
        <v>153</v>
      </c>
      <c r="C17" s="24" t="s">
        <v>188</v>
      </c>
      <c r="D17" s="24" t="s">
        <v>189</v>
      </c>
      <c r="E17" s="24" t="s">
        <v>180</v>
      </c>
      <c r="F17" s="24" t="s">
        <v>190</v>
      </c>
      <c r="G17" s="25">
        <v>700</v>
      </c>
      <c r="H17" s="16" t="str">
        <f>IF(C17="","",IFERROR(INDEX(Settings!$L$4:$L$56,MATCH(C17,Settings!$K$4:$K$56,0)),"Unknown"))</f>
        <v>Housing &amp; Utilities</v>
      </c>
      <c r="I17" s="8">
        <f t="shared" si="0"/>
        <v>1</v>
      </c>
      <c r="J17" s="8">
        <f t="shared" si="1"/>
        <v>2026</v>
      </c>
      <c r="K17" s="24"/>
      <c r="L17" s="7" t="str">
        <f t="shared" si="2"/>
        <v>OK</v>
      </c>
    </row>
    <row r="18" spans="1:12" x14ac:dyDescent="0.25">
      <c r="A18" s="23">
        <v>46031</v>
      </c>
      <c r="B18" s="24" t="s">
        <v>153</v>
      </c>
      <c r="C18" s="24" t="s">
        <v>191</v>
      </c>
      <c r="D18" s="24" t="s">
        <v>191</v>
      </c>
      <c r="E18" s="24" t="s">
        <v>163</v>
      </c>
      <c r="F18" s="24" t="s">
        <v>192</v>
      </c>
      <c r="G18" s="25">
        <v>700</v>
      </c>
      <c r="H18" s="16" t="str">
        <f>IF(C18="","",IFERROR(INDEX(Settings!$L$4:$L$56,MATCH(C18,Settings!$K$4:$K$56,0)),"Unknown"))</f>
        <v>Other</v>
      </c>
      <c r="I18" s="8">
        <f t="shared" si="0"/>
        <v>1</v>
      </c>
      <c r="J18" s="8">
        <f t="shared" si="1"/>
        <v>2026</v>
      </c>
      <c r="K18" s="24"/>
      <c r="L18" s="7" t="str">
        <f t="shared" si="2"/>
        <v>OK</v>
      </c>
    </row>
    <row r="19" spans="1:12" x14ac:dyDescent="0.25">
      <c r="A19" s="23">
        <v>46032</v>
      </c>
      <c r="B19" s="24" t="s">
        <v>153</v>
      </c>
      <c r="C19" s="24" t="s">
        <v>193</v>
      </c>
      <c r="D19" s="24" t="s">
        <v>194</v>
      </c>
      <c r="E19" s="24" t="s">
        <v>180</v>
      </c>
      <c r="F19" s="24" t="s">
        <v>195</v>
      </c>
      <c r="G19" s="25">
        <v>1080</v>
      </c>
      <c r="H19" s="16" t="str">
        <f>IF(C19="","",IFERROR(INDEX(Settings!$L$4:$L$56,MATCH(C19,Settings!$K$4:$K$56,0)),"Unknown"))</f>
        <v>Housing &amp; Utilities</v>
      </c>
      <c r="I19" s="8">
        <f t="shared" si="0"/>
        <v>1</v>
      </c>
      <c r="J19" s="8">
        <f t="shared" si="1"/>
        <v>2026</v>
      </c>
      <c r="K19" s="24"/>
      <c r="L19" s="7" t="str">
        <f t="shared" si="2"/>
        <v>OK</v>
      </c>
    </row>
    <row r="20" spans="1:12" x14ac:dyDescent="0.25">
      <c r="A20" s="23">
        <v>46032</v>
      </c>
      <c r="B20" s="24" t="s">
        <v>153</v>
      </c>
      <c r="C20" s="24" t="s">
        <v>196</v>
      </c>
      <c r="D20" s="24" t="s">
        <v>197</v>
      </c>
      <c r="E20" s="24" t="s">
        <v>180</v>
      </c>
      <c r="F20" s="24" t="s">
        <v>198</v>
      </c>
      <c r="G20" s="25">
        <v>5000</v>
      </c>
      <c r="H20" s="16" t="str">
        <f>IF(C20="","",IFERROR(INDEX(Settings!$L$4:$L$56,MATCH(C20,Settings!$K$4:$K$56,0)),"Unknown"))</f>
        <v>Family &amp; Education</v>
      </c>
      <c r="I20" s="8">
        <f t="shared" si="0"/>
        <v>1</v>
      </c>
      <c r="J20" s="8">
        <f t="shared" si="1"/>
        <v>2026</v>
      </c>
      <c r="K20" s="24"/>
      <c r="L20" s="7" t="str">
        <f t="shared" si="2"/>
        <v>OK</v>
      </c>
    </row>
    <row r="21" spans="1:12" x14ac:dyDescent="0.25">
      <c r="A21" s="23">
        <v>46033</v>
      </c>
      <c r="B21" s="24" t="s">
        <v>153</v>
      </c>
      <c r="C21" s="24" t="s">
        <v>199</v>
      </c>
      <c r="D21" s="24" t="s">
        <v>200</v>
      </c>
      <c r="E21" s="24" t="s">
        <v>163</v>
      </c>
      <c r="F21" s="24" t="s">
        <v>201</v>
      </c>
      <c r="G21" s="25">
        <v>1300</v>
      </c>
      <c r="H21" s="16" t="str">
        <f>IF(C21="","",IFERROR(INDEX(Settings!$L$4:$L$56,MATCH(C21,Settings!$K$4:$K$56,0)),"Unknown"))</f>
        <v>Transport</v>
      </c>
      <c r="I21" s="8">
        <f t="shared" si="0"/>
        <v>1</v>
      </c>
      <c r="J21" s="8">
        <f t="shared" si="1"/>
        <v>2026</v>
      </c>
      <c r="K21" s="24"/>
      <c r="L21" s="7" t="str">
        <f t="shared" si="2"/>
        <v>OK</v>
      </c>
    </row>
    <row r="22" spans="1:12" x14ac:dyDescent="0.25">
      <c r="A22" s="23">
        <v>46034</v>
      </c>
      <c r="B22" s="24" t="s">
        <v>153</v>
      </c>
      <c r="C22" s="24" t="s">
        <v>202</v>
      </c>
      <c r="D22" s="24" t="s">
        <v>203</v>
      </c>
      <c r="E22" s="24" t="s">
        <v>180</v>
      </c>
      <c r="F22" s="24" t="s">
        <v>204</v>
      </c>
      <c r="G22" s="25">
        <v>900</v>
      </c>
      <c r="H22" s="16" t="str">
        <f>IF(C22="","",IFERROR(INDEX(Settings!$L$4:$L$56,MATCH(C22,Settings!$K$4:$K$56,0)),"Unknown"))</f>
        <v>Housing &amp; Utilities</v>
      </c>
      <c r="I22" s="8">
        <f t="shared" si="0"/>
        <v>1</v>
      </c>
      <c r="J22" s="8">
        <f t="shared" si="1"/>
        <v>2026</v>
      </c>
      <c r="K22" s="24"/>
      <c r="L22" s="7" t="str">
        <f t="shared" si="2"/>
        <v>OK</v>
      </c>
    </row>
    <row r="23" spans="1:12" x14ac:dyDescent="0.25">
      <c r="A23" s="23">
        <v>46035</v>
      </c>
      <c r="B23" s="24" t="s">
        <v>153</v>
      </c>
      <c r="C23" s="24" t="s">
        <v>161</v>
      </c>
      <c r="D23" s="24" t="s">
        <v>205</v>
      </c>
      <c r="E23" s="24" t="s">
        <v>206</v>
      </c>
      <c r="F23" s="24" t="s">
        <v>207</v>
      </c>
      <c r="G23" s="25">
        <v>3530</v>
      </c>
      <c r="H23" s="16" t="str">
        <f>IF(C23="","",IFERROR(INDEX(Settings!$L$4:$L$56,MATCH(C23,Settings!$K$4:$K$56,0)),"Unknown"))</f>
        <v>Food</v>
      </c>
      <c r="I23" s="8">
        <f t="shared" si="0"/>
        <v>1</v>
      </c>
      <c r="J23" s="8">
        <f t="shared" si="1"/>
        <v>2026</v>
      </c>
      <c r="K23" s="24"/>
      <c r="L23" s="7" t="str">
        <f t="shared" si="2"/>
        <v>OK</v>
      </c>
    </row>
    <row r="24" spans="1:12" x14ac:dyDescent="0.25">
      <c r="A24" s="23">
        <v>46036</v>
      </c>
      <c r="B24" s="24" t="s">
        <v>153</v>
      </c>
      <c r="C24" s="24" t="s">
        <v>208</v>
      </c>
      <c r="D24" s="24" t="s">
        <v>209</v>
      </c>
      <c r="E24" s="24" t="s">
        <v>156</v>
      </c>
      <c r="F24" s="24" t="s">
        <v>210</v>
      </c>
      <c r="G24" s="25">
        <v>930</v>
      </c>
      <c r="H24" s="16" t="str">
        <f>IF(C24="","",IFERROR(INDEX(Settings!$L$4:$L$56,MATCH(C24,Settings!$K$4:$K$56,0)),"Unknown"))</f>
        <v>Food</v>
      </c>
      <c r="I24" s="8">
        <f t="shared" si="0"/>
        <v>1</v>
      </c>
      <c r="J24" s="8">
        <f t="shared" si="1"/>
        <v>2026</v>
      </c>
      <c r="K24" s="24"/>
      <c r="L24" s="7" t="str">
        <f t="shared" si="2"/>
        <v>OK</v>
      </c>
    </row>
    <row r="25" spans="1:12" x14ac:dyDescent="0.25">
      <c r="A25" s="23">
        <v>46037</v>
      </c>
      <c r="B25" s="24" t="s">
        <v>153</v>
      </c>
      <c r="C25" s="24" t="s">
        <v>182</v>
      </c>
      <c r="D25" s="24" t="s">
        <v>211</v>
      </c>
      <c r="E25" s="24" t="s">
        <v>163</v>
      </c>
      <c r="F25" s="24" t="s">
        <v>192</v>
      </c>
      <c r="G25" s="25">
        <v>830</v>
      </c>
      <c r="H25" s="16" t="str">
        <f>IF(C25="","",IFERROR(INDEX(Settings!$L$4:$L$56,MATCH(C25,Settings!$K$4:$K$56,0)),"Unknown"))</f>
        <v>Transport</v>
      </c>
      <c r="I25" s="8">
        <f t="shared" si="0"/>
        <v>1</v>
      </c>
      <c r="J25" s="8">
        <f t="shared" si="1"/>
        <v>2026</v>
      </c>
      <c r="K25" s="24"/>
      <c r="L25" s="7" t="str">
        <f t="shared" si="2"/>
        <v>OK</v>
      </c>
    </row>
    <row r="26" spans="1:12" x14ac:dyDescent="0.25">
      <c r="A26" s="23">
        <v>46037</v>
      </c>
      <c r="B26" s="24" t="s">
        <v>153</v>
      </c>
      <c r="C26" s="24" t="s">
        <v>212</v>
      </c>
      <c r="D26" s="24" t="s">
        <v>213</v>
      </c>
      <c r="E26" s="24" t="s">
        <v>170</v>
      </c>
      <c r="F26" s="24" t="s">
        <v>214</v>
      </c>
      <c r="G26" s="25">
        <v>2500</v>
      </c>
      <c r="H26" s="16" t="str">
        <f>IF(C26="","",IFERROR(INDEX(Settings!$L$4:$L$56,MATCH(C26,Settings!$K$4:$K$56,0)),"Unknown"))</f>
        <v>Financial Obligations</v>
      </c>
      <c r="I26" s="8">
        <f t="shared" si="0"/>
        <v>1</v>
      </c>
      <c r="J26" s="8">
        <f t="shared" si="1"/>
        <v>2026</v>
      </c>
      <c r="K26" s="24"/>
      <c r="L26" s="7" t="str">
        <f t="shared" si="2"/>
        <v>OK</v>
      </c>
    </row>
    <row r="27" spans="1:12" x14ac:dyDescent="0.25">
      <c r="A27" s="23">
        <v>46037</v>
      </c>
      <c r="B27" s="24" t="s">
        <v>148</v>
      </c>
      <c r="C27" s="24" t="s">
        <v>215</v>
      </c>
      <c r="D27" s="24" t="s">
        <v>216</v>
      </c>
      <c r="E27" s="24" t="s">
        <v>151</v>
      </c>
      <c r="F27" s="24" t="s">
        <v>217</v>
      </c>
      <c r="G27" s="25">
        <v>7776</v>
      </c>
      <c r="H27" s="16" t="str">
        <f>IF(C27="","",IFERROR(INDEX(Settings!$L$4:$L$56,MATCH(C27,Settings!$K$4:$K$56,0)),"Unknown"))</f>
        <v>Income</v>
      </c>
      <c r="I27" s="8">
        <f t="shared" si="0"/>
        <v>1</v>
      </c>
      <c r="J27" s="8">
        <f t="shared" si="1"/>
        <v>2026</v>
      </c>
      <c r="K27" s="24"/>
      <c r="L27" s="7" t="str">
        <f t="shared" si="2"/>
        <v>OK</v>
      </c>
    </row>
    <row r="28" spans="1:12" x14ac:dyDescent="0.25">
      <c r="A28" s="23">
        <v>46040</v>
      </c>
      <c r="B28" s="24" t="s">
        <v>153</v>
      </c>
      <c r="C28" s="24" t="s">
        <v>218</v>
      </c>
      <c r="D28" s="24" t="s">
        <v>219</v>
      </c>
      <c r="E28" s="24" t="s">
        <v>163</v>
      </c>
      <c r="F28" s="24" t="s">
        <v>220</v>
      </c>
      <c r="G28" s="25">
        <v>1550</v>
      </c>
      <c r="H28" s="16" t="str">
        <f>IF(C28="","",IFERROR(INDEX(Settings!$L$4:$L$56,MATCH(C28,Settings!$K$4:$K$56,0)),"Unknown"))</f>
        <v>Health</v>
      </c>
      <c r="I28" s="8">
        <f t="shared" si="0"/>
        <v>1</v>
      </c>
      <c r="J28" s="8">
        <f t="shared" si="1"/>
        <v>2026</v>
      </c>
      <c r="K28" s="24"/>
      <c r="L28" s="7" t="str">
        <f t="shared" si="2"/>
        <v>OK</v>
      </c>
    </row>
    <row r="29" spans="1:12" x14ac:dyDescent="0.25">
      <c r="A29" s="23">
        <v>46040</v>
      </c>
      <c r="B29" s="24" t="s">
        <v>153</v>
      </c>
      <c r="C29" s="24" t="s">
        <v>221</v>
      </c>
      <c r="D29" s="24" t="s">
        <v>222</v>
      </c>
      <c r="E29" s="24" t="s">
        <v>151</v>
      </c>
      <c r="F29" s="24" t="s">
        <v>223</v>
      </c>
      <c r="G29" s="25">
        <v>5000</v>
      </c>
      <c r="H29" s="16" t="str">
        <f>IF(C29="","",IFERROR(INDEX(Settings!$L$4:$L$56,MATCH(C29,Settings!$K$4:$K$56,0)),"Unknown"))</f>
        <v>Savings &amp; Investments</v>
      </c>
      <c r="I29" s="8">
        <f t="shared" si="0"/>
        <v>1</v>
      </c>
      <c r="J29" s="8">
        <f t="shared" si="1"/>
        <v>2026</v>
      </c>
      <c r="K29" s="24"/>
      <c r="L29" s="7" t="str">
        <f t="shared" si="2"/>
        <v>OK</v>
      </c>
    </row>
    <row r="30" spans="1:12" x14ac:dyDescent="0.25">
      <c r="A30" s="23">
        <v>46042</v>
      </c>
      <c r="B30" s="24" t="s">
        <v>153</v>
      </c>
      <c r="C30" s="24" t="s">
        <v>224</v>
      </c>
      <c r="D30" s="24" t="s">
        <v>225</v>
      </c>
      <c r="E30" s="24" t="s">
        <v>163</v>
      </c>
      <c r="F30" s="24" t="s">
        <v>226</v>
      </c>
      <c r="G30" s="25">
        <v>800</v>
      </c>
      <c r="H30" s="16" t="str">
        <f>IF(C30="","",IFERROR(INDEX(Settings!$L$4:$L$56,MATCH(C30,Settings!$K$4:$K$56,0)),"Unknown"))</f>
        <v>Lifestyle</v>
      </c>
      <c r="I30" s="8">
        <f t="shared" si="0"/>
        <v>1</v>
      </c>
      <c r="J30" s="8">
        <f t="shared" si="1"/>
        <v>2026</v>
      </c>
      <c r="K30" s="24"/>
      <c r="L30" s="7" t="str">
        <f t="shared" si="2"/>
        <v>OK</v>
      </c>
    </row>
    <row r="31" spans="1:12" x14ac:dyDescent="0.25">
      <c r="A31" s="23">
        <v>46044</v>
      </c>
      <c r="B31" s="24" t="s">
        <v>153</v>
      </c>
      <c r="C31" s="24" t="s">
        <v>161</v>
      </c>
      <c r="D31" s="24" t="s">
        <v>227</v>
      </c>
      <c r="E31" s="24" t="s">
        <v>163</v>
      </c>
      <c r="F31" s="24" t="s">
        <v>164</v>
      </c>
      <c r="G31" s="25">
        <v>3760</v>
      </c>
      <c r="H31" s="16" t="str">
        <f>IF(C31="","",IFERROR(INDEX(Settings!$L$4:$L$56,MATCH(C31,Settings!$K$4:$K$56,0)),"Unknown"))</f>
        <v>Food</v>
      </c>
      <c r="I31" s="8">
        <f t="shared" si="0"/>
        <v>1</v>
      </c>
      <c r="J31" s="8">
        <f t="shared" si="1"/>
        <v>2026</v>
      </c>
      <c r="K31" s="24"/>
      <c r="L31" s="7" t="str">
        <f t="shared" si="2"/>
        <v>OK</v>
      </c>
    </row>
    <row r="32" spans="1:12" x14ac:dyDescent="0.25">
      <c r="A32" s="23">
        <v>46047</v>
      </c>
      <c r="B32" s="24" t="s">
        <v>153</v>
      </c>
      <c r="C32" s="24" t="s">
        <v>228</v>
      </c>
      <c r="D32" s="24" t="s">
        <v>229</v>
      </c>
      <c r="E32" s="24" t="s">
        <v>151</v>
      </c>
      <c r="F32" s="24" t="s">
        <v>230</v>
      </c>
      <c r="G32" s="25">
        <v>2800</v>
      </c>
      <c r="H32" s="16" t="str">
        <f>IF(C32="","",IFERROR(INDEX(Settings!$L$4:$L$56,MATCH(C32,Settings!$K$4:$K$56,0)),"Unknown"))</f>
        <v>Financial Obligations</v>
      </c>
      <c r="I32" s="8">
        <f t="shared" si="0"/>
        <v>1</v>
      </c>
      <c r="J32" s="8">
        <f t="shared" si="1"/>
        <v>2026</v>
      </c>
      <c r="K32" s="24"/>
      <c r="L32" s="7" t="str">
        <f t="shared" si="2"/>
        <v>OK</v>
      </c>
    </row>
    <row r="33" spans="1:12" x14ac:dyDescent="0.25">
      <c r="A33" s="23">
        <v>46050</v>
      </c>
      <c r="B33" s="24" t="s">
        <v>153</v>
      </c>
      <c r="C33" s="24" t="s">
        <v>231</v>
      </c>
      <c r="D33" s="24" t="s">
        <v>232</v>
      </c>
      <c r="E33" s="24" t="s">
        <v>170</v>
      </c>
      <c r="F33" s="24" t="s">
        <v>171</v>
      </c>
      <c r="G33" s="25">
        <v>250</v>
      </c>
      <c r="H33" s="16" t="str">
        <f>IF(C33="","",IFERROR(INDEX(Settings!$L$4:$L$56,MATCH(C33,Settings!$K$4:$K$56,0)),"Unknown"))</f>
        <v>Financial Obligations</v>
      </c>
      <c r="I33" s="8">
        <f t="shared" si="0"/>
        <v>1</v>
      </c>
      <c r="J33" s="8">
        <f t="shared" si="1"/>
        <v>2026</v>
      </c>
      <c r="K33" s="24"/>
      <c r="L33" s="7" t="str">
        <f t="shared" si="2"/>
        <v>OK</v>
      </c>
    </row>
    <row r="34" spans="1:12" x14ac:dyDescent="0.25">
      <c r="A34" s="23">
        <v>46050</v>
      </c>
      <c r="B34" s="24" t="s">
        <v>153</v>
      </c>
      <c r="C34" s="24" t="s">
        <v>233</v>
      </c>
      <c r="D34" s="24" t="s">
        <v>234</v>
      </c>
      <c r="E34" s="24" t="s">
        <v>151</v>
      </c>
      <c r="F34" s="24" t="s">
        <v>235</v>
      </c>
      <c r="G34" s="25">
        <v>3000</v>
      </c>
      <c r="H34" s="16" t="str">
        <f>IF(C34="","",IFERROR(INDEX(Settings!$L$4:$L$56,MATCH(C34,Settings!$K$4:$K$56,0)),"Unknown"))</f>
        <v>Savings &amp; Investments</v>
      </c>
      <c r="I34" s="8">
        <f t="shared" si="0"/>
        <v>1</v>
      </c>
      <c r="J34" s="8">
        <f t="shared" si="1"/>
        <v>2026</v>
      </c>
      <c r="K34" s="24"/>
      <c r="L34" s="7" t="str">
        <f t="shared" si="2"/>
        <v>OK</v>
      </c>
    </row>
    <row r="35" spans="1:12" x14ac:dyDescent="0.25">
      <c r="A35" s="23">
        <v>46054</v>
      </c>
      <c r="B35" s="24" t="s">
        <v>148</v>
      </c>
      <c r="C35" s="24" t="s">
        <v>149</v>
      </c>
      <c r="D35" s="24" t="s">
        <v>236</v>
      </c>
      <c r="E35" s="24" t="s">
        <v>151</v>
      </c>
      <c r="F35" s="24" t="s">
        <v>152</v>
      </c>
      <c r="G35" s="25">
        <v>115000</v>
      </c>
      <c r="H35" s="16" t="str">
        <f>IF(C35="","",IFERROR(INDEX(Settings!$L$4:$L$56,MATCH(C35,Settings!$K$4:$K$56,0)),"Unknown"))</f>
        <v>Income</v>
      </c>
      <c r="I35" s="8">
        <f t="shared" si="0"/>
        <v>2</v>
      </c>
      <c r="J35" s="8">
        <f t="shared" si="1"/>
        <v>2026</v>
      </c>
      <c r="K35" s="24"/>
      <c r="L35" s="7" t="str">
        <f t="shared" si="2"/>
        <v>OK</v>
      </c>
    </row>
    <row r="36" spans="1:12" x14ac:dyDescent="0.25">
      <c r="A36" s="23">
        <v>46055</v>
      </c>
      <c r="B36" s="24" t="s">
        <v>153</v>
      </c>
      <c r="C36" s="24" t="s">
        <v>154</v>
      </c>
      <c r="D36" s="24" t="s">
        <v>155</v>
      </c>
      <c r="E36" s="24" t="s">
        <v>156</v>
      </c>
      <c r="F36" s="24" t="s">
        <v>157</v>
      </c>
      <c r="G36" s="25">
        <v>1100</v>
      </c>
      <c r="H36" s="16" t="str">
        <f>IF(C36="","",IFERROR(INDEX(Settings!$L$4:$L$56,MATCH(C36,Settings!$K$4:$K$56,0)),"Unknown"))</f>
        <v>Lifestyle</v>
      </c>
      <c r="I36" s="8">
        <f t="shared" si="0"/>
        <v>2</v>
      </c>
      <c r="J36" s="8">
        <f t="shared" si="1"/>
        <v>2026</v>
      </c>
      <c r="K36" s="24"/>
      <c r="L36" s="7" t="str">
        <f t="shared" si="2"/>
        <v>OK</v>
      </c>
    </row>
    <row r="37" spans="1:12" x14ac:dyDescent="0.25">
      <c r="A37" s="23">
        <v>46056</v>
      </c>
      <c r="B37" s="24" t="s">
        <v>153</v>
      </c>
      <c r="C37" s="24" t="s">
        <v>158</v>
      </c>
      <c r="D37" s="24" t="s">
        <v>237</v>
      </c>
      <c r="E37" s="24" t="s">
        <v>151</v>
      </c>
      <c r="F37" s="24" t="s">
        <v>160</v>
      </c>
      <c r="G37" s="25">
        <v>22000</v>
      </c>
      <c r="H37" s="16" t="str">
        <f>IF(C37="","",IFERROR(INDEX(Settings!$L$4:$L$56,MATCH(C37,Settings!$K$4:$K$56,0)),"Unknown"))</f>
        <v>Housing &amp; Utilities</v>
      </c>
      <c r="I37" s="8">
        <f t="shared" si="0"/>
        <v>2</v>
      </c>
      <c r="J37" s="8">
        <f t="shared" si="1"/>
        <v>2026</v>
      </c>
      <c r="K37" s="24"/>
      <c r="L37" s="7" t="str">
        <f t="shared" si="2"/>
        <v>OK</v>
      </c>
    </row>
    <row r="38" spans="1:12" x14ac:dyDescent="0.25">
      <c r="A38" s="23">
        <v>46057</v>
      </c>
      <c r="B38" s="24" t="s">
        <v>153</v>
      </c>
      <c r="C38" s="24" t="s">
        <v>161</v>
      </c>
      <c r="D38" s="24" t="s">
        <v>162</v>
      </c>
      <c r="E38" s="24" t="s">
        <v>163</v>
      </c>
      <c r="F38" s="24" t="s">
        <v>164</v>
      </c>
      <c r="G38" s="25">
        <v>3970</v>
      </c>
      <c r="H38" s="16" t="str">
        <f>IF(C38="","",IFERROR(INDEX(Settings!$L$4:$L$56,MATCH(C38,Settings!$K$4:$K$56,0)),"Unknown"))</f>
        <v>Food</v>
      </c>
      <c r="I38" s="8">
        <f t="shared" si="0"/>
        <v>2</v>
      </c>
      <c r="J38" s="8">
        <f t="shared" si="1"/>
        <v>2026</v>
      </c>
      <c r="K38" s="24"/>
      <c r="L38" s="7" t="str">
        <f t="shared" si="2"/>
        <v>OK</v>
      </c>
    </row>
    <row r="39" spans="1:12" x14ac:dyDescent="0.25">
      <c r="A39" s="23">
        <v>46058</v>
      </c>
      <c r="B39" s="24" t="s">
        <v>153</v>
      </c>
      <c r="C39" s="24" t="s">
        <v>165</v>
      </c>
      <c r="D39" s="24" t="s">
        <v>166</v>
      </c>
      <c r="E39" s="24" t="s">
        <v>163</v>
      </c>
      <c r="F39" s="24" t="s">
        <v>167</v>
      </c>
      <c r="G39" s="25">
        <v>3000</v>
      </c>
      <c r="H39" s="16" t="str">
        <f>IF(C39="","",IFERROR(INDEX(Settings!$L$4:$L$56,MATCH(C39,Settings!$K$4:$K$56,0)),"Unknown"))</f>
        <v>Housing &amp; Utilities</v>
      </c>
      <c r="I39" s="8">
        <f t="shared" si="0"/>
        <v>2</v>
      </c>
      <c r="J39" s="8">
        <f t="shared" si="1"/>
        <v>2026</v>
      </c>
      <c r="K39" s="24"/>
      <c r="L39" s="7" t="str">
        <f t="shared" si="2"/>
        <v>OK</v>
      </c>
    </row>
    <row r="40" spans="1:12" x14ac:dyDescent="0.25">
      <c r="A40" s="23">
        <v>46058</v>
      </c>
      <c r="B40" s="24" t="s">
        <v>153</v>
      </c>
      <c r="C40" s="24" t="s">
        <v>168</v>
      </c>
      <c r="D40" s="24" t="s">
        <v>169</v>
      </c>
      <c r="E40" s="24" t="s">
        <v>170</v>
      </c>
      <c r="F40" s="24" t="s">
        <v>171</v>
      </c>
      <c r="G40" s="25">
        <v>15300</v>
      </c>
      <c r="H40" s="16" t="str">
        <f>IF(C40="","",IFERROR(INDEX(Settings!$L$4:$L$56,MATCH(C40,Settings!$K$4:$K$56,0)),"Unknown"))</f>
        <v>Financial Obligations</v>
      </c>
      <c r="I40" s="8">
        <f t="shared" si="0"/>
        <v>2</v>
      </c>
      <c r="J40" s="8">
        <f t="shared" si="1"/>
        <v>2026</v>
      </c>
      <c r="K40" s="24"/>
      <c r="L40" s="7" t="str">
        <f t="shared" si="2"/>
        <v>OK</v>
      </c>
    </row>
    <row r="41" spans="1:12" x14ac:dyDescent="0.25">
      <c r="A41" s="23">
        <v>46058</v>
      </c>
      <c r="B41" s="24" t="s">
        <v>153</v>
      </c>
      <c r="C41" s="24" t="s">
        <v>172</v>
      </c>
      <c r="D41" s="24" t="s">
        <v>173</v>
      </c>
      <c r="E41" s="24" t="s">
        <v>170</v>
      </c>
      <c r="F41" s="24" t="s">
        <v>174</v>
      </c>
      <c r="G41" s="25">
        <v>5000</v>
      </c>
      <c r="H41" s="16" t="str">
        <f>IF(C41="","",IFERROR(INDEX(Settings!$L$4:$L$56,MATCH(C41,Settings!$K$4:$K$56,0)),"Unknown"))</f>
        <v>Savings &amp; Investments</v>
      </c>
      <c r="I41" s="8">
        <f t="shared" si="0"/>
        <v>2</v>
      </c>
      <c r="J41" s="8">
        <f t="shared" si="1"/>
        <v>2026</v>
      </c>
      <c r="K41" s="24"/>
      <c r="L41" s="7" t="str">
        <f t="shared" si="2"/>
        <v>OK</v>
      </c>
    </row>
    <row r="42" spans="1:12" x14ac:dyDescent="0.25">
      <c r="A42" s="23">
        <v>46058</v>
      </c>
      <c r="B42" s="24" t="s">
        <v>153</v>
      </c>
      <c r="C42" s="24" t="s">
        <v>175</v>
      </c>
      <c r="D42" s="24" t="s">
        <v>176</v>
      </c>
      <c r="E42" s="24" t="s">
        <v>151</v>
      </c>
      <c r="F42" s="24" t="s">
        <v>177</v>
      </c>
      <c r="G42" s="25">
        <v>3500</v>
      </c>
      <c r="H42" s="16" t="str">
        <f>IF(C42="","",IFERROR(INDEX(Settings!$L$4:$L$56,MATCH(C42,Settings!$K$4:$K$56,0)),"Unknown"))</f>
        <v>Family &amp; Education</v>
      </c>
      <c r="I42" s="8">
        <f t="shared" si="0"/>
        <v>2</v>
      </c>
      <c r="J42" s="8">
        <f t="shared" si="1"/>
        <v>2026</v>
      </c>
      <c r="K42" s="24"/>
      <c r="L42" s="7" t="str">
        <f t="shared" si="2"/>
        <v>OK</v>
      </c>
    </row>
    <row r="43" spans="1:12" x14ac:dyDescent="0.25">
      <c r="A43" s="23">
        <v>46059</v>
      </c>
      <c r="B43" s="24" t="s">
        <v>153</v>
      </c>
      <c r="C43" s="24" t="s">
        <v>178</v>
      </c>
      <c r="D43" s="24" t="s">
        <v>179</v>
      </c>
      <c r="E43" s="24" t="s">
        <v>180</v>
      </c>
      <c r="F43" s="24" t="s">
        <v>181</v>
      </c>
      <c r="G43" s="25">
        <v>1000</v>
      </c>
      <c r="H43" s="16" t="str">
        <f>IF(C43="","",IFERROR(INDEX(Settings!$L$4:$L$56,MATCH(C43,Settings!$K$4:$K$56,0)),"Unknown"))</f>
        <v>Housing &amp; Utilities</v>
      </c>
      <c r="I43" s="8">
        <f t="shared" si="0"/>
        <v>2</v>
      </c>
      <c r="J43" s="8">
        <f t="shared" si="1"/>
        <v>2026</v>
      </c>
      <c r="K43" s="24"/>
      <c r="L43" s="7" t="str">
        <f t="shared" si="2"/>
        <v>OK</v>
      </c>
    </row>
    <row r="44" spans="1:12" x14ac:dyDescent="0.25">
      <c r="A44" s="23">
        <v>46060</v>
      </c>
      <c r="B44" s="24" t="s">
        <v>153</v>
      </c>
      <c r="C44" s="24" t="s">
        <v>182</v>
      </c>
      <c r="D44" s="24" t="s">
        <v>183</v>
      </c>
      <c r="E44" s="24" t="s">
        <v>180</v>
      </c>
      <c r="F44" s="24" t="s">
        <v>184</v>
      </c>
      <c r="G44" s="25">
        <v>940</v>
      </c>
      <c r="H44" s="16" t="str">
        <f>IF(C44="","",IFERROR(INDEX(Settings!$L$4:$L$56,MATCH(C44,Settings!$K$4:$K$56,0)),"Unknown"))</f>
        <v>Transport</v>
      </c>
      <c r="I44" s="8">
        <f t="shared" si="0"/>
        <v>2</v>
      </c>
      <c r="J44" s="8">
        <f t="shared" si="1"/>
        <v>2026</v>
      </c>
      <c r="K44" s="24"/>
      <c r="L44" s="7" t="str">
        <f t="shared" si="2"/>
        <v>OK</v>
      </c>
    </row>
    <row r="45" spans="1:12" x14ac:dyDescent="0.25">
      <c r="A45" s="23">
        <v>46061</v>
      </c>
      <c r="B45" s="24" t="s">
        <v>153</v>
      </c>
      <c r="C45" s="24" t="s">
        <v>185</v>
      </c>
      <c r="D45" s="24" t="s">
        <v>186</v>
      </c>
      <c r="E45" s="24" t="s">
        <v>180</v>
      </c>
      <c r="F45" s="24" t="s">
        <v>187</v>
      </c>
      <c r="G45" s="25">
        <v>1930</v>
      </c>
      <c r="H45" s="16" t="str">
        <f>IF(C45="","",IFERROR(INDEX(Settings!$L$4:$L$56,MATCH(C45,Settings!$K$4:$K$56,0)),"Unknown"))</f>
        <v>Housing &amp; Utilities</v>
      </c>
      <c r="I45" s="8">
        <f t="shared" si="0"/>
        <v>2</v>
      </c>
      <c r="J45" s="8">
        <f t="shared" si="1"/>
        <v>2026</v>
      </c>
      <c r="K45" s="24"/>
      <c r="L45" s="7" t="str">
        <f t="shared" si="2"/>
        <v>OK</v>
      </c>
    </row>
    <row r="46" spans="1:12" x14ac:dyDescent="0.25">
      <c r="A46" s="23">
        <v>46062</v>
      </c>
      <c r="B46" s="24" t="s">
        <v>153</v>
      </c>
      <c r="C46" s="24" t="s">
        <v>188</v>
      </c>
      <c r="D46" s="24" t="s">
        <v>189</v>
      </c>
      <c r="E46" s="24" t="s">
        <v>180</v>
      </c>
      <c r="F46" s="24" t="s">
        <v>190</v>
      </c>
      <c r="G46" s="25">
        <v>700</v>
      </c>
      <c r="H46" s="16" t="str">
        <f>IF(C46="","",IFERROR(INDEX(Settings!$L$4:$L$56,MATCH(C46,Settings!$K$4:$K$56,0)),"Unknown"))</f>
        <v>Housing &amp; Utilities</v>
      </c>
      <c r="I46" s="8">
        <f t="shared" si="0"/>
        <v>2</v>
      </c>
      <c r="J46" s="8">
        <f t="shared" si="1"/>
        <v>2026</v>
      </c>
      <c r="K46" s="24"/>
      <c r="L46" s="7" t="str">
        <f t="shared" si="2"/>
        <v>OK</v>
      </c>
    </row>
    <row r="47" spans="1:12" x14ac:dyDescent="0.25">
      <c r="A47" s="23">
        <v>46063</v>
      </c>
      <c r="B47" s="24" t="s">
        <v>153</v>
      </c>
      <c r="C47" s="24" t="s">
        <v>193</v>
      </c>
      <c r="D47" s="24" t="s">
        <v>194</v>
      </c>
      <c r="E47" s="24" t="s">
        <v>180</v>
      </c>
      <c r="F47" s="24" t="s">
        <v>195</v>
      </c>
      <c r="G47" s="25">
        <v>1080</v>
      </c>
      <c r="H47" s="16" t="str">
        <f>IF(C47="","",IFERROR(INDEX(Settings!$L$4:$L$56,MATCH(C47,Settings!$K$4:$K$56,0)),"Unknown"))</f>
        <v>Housing &amp; Utilities</v>
      </c>
      <c r="I47" s="8">
        <f t="shared" si="0"/>
        <v>2</v>
      </c>
      <c r="J47" s="8">
        <f t="shared" si="1"/>
        <v>2026</v>
      </c>
      <c r="K47" s="24"/>
      <c r="L47" s="7" t="str">
        <f t="shared" si="2"/>
        <v>OK</v>
      </c>
    </row>
    <row r="48" spans="1:12" x14ac:dyDescent="0.25">
      <c r="A48" s="23">
        <v>46063</v>
      </c>
      <c r="B48" s="24" t="s">
        <v>153</v>
      </c>
      <c r="C48" s="24" t="s">
        <v>196</v>
      </c>
      <c r="D48" s="24" t="s">
        <v>197</v>
      </c>
      <c r="E48" s="24" t="s">
        <v>180</v>
      </c>
      <c r="F48" s="24" t="s">
        <v>198</v>
      </c>
      <c r="G48" s="25">
        <v>5000</v>
      </c>
      <c r="H48" s="16" t="str">
        <f>IF(C48="","",IFERROR(INDEX(Settings!$L$4:$L$56,MATCH(C48,Settings!$K$4:$K$56,0)),"Unknown"))</f>
        <v>Family &amp; Education</v>
      </c>
      <c r="I48" s="8">
        <f t="shared" si="0"/>
        <v>2</v>
      </c>
      <c r="J48" s="8">
        <f t="shared" si="1"/>
        <v>2026</v>
      </c>
      <c r="K48" s="24"/>
      <c r="L48" s="7" t="str">
        <f t="shared" si="2"/>
        <v>OK</v>
      </c>
    </row>
    <row r="49" spans="1:12" x14ac:dyDescent="0.25">
      <c r="A49" s="23">
        <v>46064</v>
      </c>
      <c r="B49" s="24" t="s">
        <v>153</v>
      </c>
      <c r="C49" s="24" t="s">
        <v>199</v>
      </c>
      <c r="D49" s="24" t="s">
        <v>200</v>
      </c>
      <c r="E49" s="24" t="s">
        <v>163</v>
      </c>
      <c r="F49" s="24" t="s">
        <v>201</v>
      </c>
      <c r="G49" s="25">
        <v>1290</v>
      </c>
      <c r="H49" s="16" t="str">
        <f>IF(C49="","",IFERROR(INDEX(Settings!$L$4:$L$56,MATCH(C49,Settings!$K$4:$K$56,0)),"Unknown"))</f>
        <v>Transport</v>
      </c>
      <c r="I49" s="8">
        <f t="shared" si="0"/>
        <v>2</v>
      </c>
      <c r="J49" s="8">
        <f t="shared" si="1"/>
        <v>2026</v>
      </c>
      <c r="K49" s="24"/>
      <c r="L49" s="7" t="str">
        <f t="shared" si="2"/>
        <v>OK</v>
      </c>
    </row>
    <row r="50" spans="1:12" x14ac:dyDescent="0.25">
      <c r="A50" s="23">
        <v>46065</v>
      </c>
      <c r="B50" s="24" t="s">
        <v>153</v>
      </c>
      <c r="C50" s="24" t="s">
        <v>202</v>
      </c>
      <c r="D50" s="24" t="s">
        <v>203</v>
      </c>
      <c r="E50" s="24" t="s">
        <v>180</v>
      </c>
      <c r="F50" s="24" t="s">
        <v>204</v>
      </c>
      <c r="G50" s="25">
        <v>900</v>
      </c>
      <c r="H50" s="16" t="str">
        <f>IF(C50="","",IFERROR(INDEX(Settings!$L$4:$L$56,MATCH(C50,Settings!$K$4:$K$56,0)),"Unknown"))</f>
        <v>Housing &amp; Utilities</v>
      </c>
      <c r="I50" s="8">
        <f t="shared" si="0"/>
        <v>2</v>
      </c>
      <c r="J50" s="8">
        <f t="shared" si="1"/>
        <v>2026</v>
      </c>
      <c r="K50" s="24"/>
      <c r="L50" s="7" t="str">
        <f t="shared" si="2"/>
        <v>OK</v>
      </c>
    </row>
    <row r="51" spans="1:12" x14ac:dyDescent="0.25">
      <c r="A51" s="23">
        <v>46065</v>
      </c>
      <c r="B51" s="24" t="s">
        <v>153</v>
      </c>
      <c r="C51" s="24" t="s">
        <v>238</v>
      </c>
      <c r="D51" s="24" t="s">
        <v>239</v>
      </c>
      <c r="E51" s="24" t="s">
        <v>156</v>
      </c>
      <c r="F51" s="24" t="s">
        <v>240</v>
      </c>
      <c r="G51" s="25">
        <v>12000</v>
      </c>
      <c r="H51" s="16" t="str">
        <f>IF(C51="","",IFERROR(INDEX(Settings!$L$4:$L$56,MATCH(C51,Settings!$K$4:$K$56,0)),"Unknown"))</f>
        <v>Lifestyle</v>
      </c>
      <c r="I51" s="8">
        <f t="shared" si="0"/>
        <v>2</v>
      </c>
      <c r="J51" s="8">
        <f t="shared" si="1"/>
        <v>2026</v>
      </c>
      <c r="K51" s="24"/>
      <c r="L51" s="7" t="str">
        <f t="shared" si="2"/>
        <v>OK</v>
      </c>
    </row>
    <row r="52" spans="1:12" x14ac:dyDescent="0.25">
      <c r="A52" s="23">
        <v>46066</v>
      </c>
      <c r="B52" s="24" t="s">
        <v>153</v>
      </c>
      <c r="C52" s="24" t="s">
        <v>161</v>
      </c>
      <c r="D52" s="24" t="s">
        <v>205</v>
      </c>
      <c r="E52" s="24" t="s">
        <v>206</v>
      </c>
      <c r="F52" s="24" t="s">
        <v>207</v>
      </c>
      <c r="G52" s="25">
        <v>3990</v>
      </c>
      <c r="H52" s="16" t="str">
        <f>IF(C52="","",IFERROR(INDEX(Settings!$L$4:$L$56,MATCH(C52,Settings!$K$4:$K$56,0)),"Unknown"))</f>
        <v>Food</v>
      </c>
      <c r="I52" s="8">
        <f t="shared" si="0"/>
        <v>2</v>
      </c>
      <c r="J52" s="8">
        <f t="shared" si="1"/>
        <v>2026</v>
      </c>
      <c r="K52" s="24"/>
      <c r="L52" s="7" t="str">
        <f t="shared" si="2"/>
        <v>OK</v>
      </c>
    </row>
    <row r="53" spans="1:12" x14ac:dyDescent="0.25">
      <c r="A53" s="23">
        <v>46067</v>
      </c>
      <c r="B53" s="24" t="s">
        <v>153</v>
      </c>
      <c r="C53" s="24" t="s">
        <v>208</v>
      </c>
      <c r="D53" s="24" t="s">
        <v>209</v>
      </c>
      <c r="E53" s="24" t="s">
        <v>156</v>
      </c>
      <c r="F53" s="24" t="s">
        <v>210</v>
      </c>
      <c r="G53" s="25">
        <v>1060</v>
      </c>
      <c r="H53" s="16" t="str">
        <f>IF(C53="","",IFERROR(INDEX(Settings!$L$4:$L$56,MATCH(C53,Settings!$K$4:$K$56,0)),"Unknown"))</f>
        <v>Food</v>
      </c>
      <c r="I53" s="8">
        <f t="shared" si="0"/>
        <v>2</v>
      </c>
      <c r="J53" s="8">
        <f t="shared" si="1"/>
        <v>2026</v>
      </c>
      <c r="K53" s="24"/>
      <c r="L53" s="7" t="str">
        <f t="shared" si="2"/>
        <v>OK</v>
      </c>
    </row>
    <row r="54" spans="1:12" x14ac:dyDescent="0.25">
      <c r="A54" s="23">
        <v>46068</v>
      </c>
      <c r="B54" s="24" t="s">
        <v>153</v>
      </c>
      <c r="C54" s="24" t="s">
        <v>182</v>
      </c>
      <c r="D54" s="24" t="s">
        <v>211</v>
      </c>
      <c r="E54" s="24" t="s">
        <v>163</v>
      </c>
      <c r="F54" s="24" t="s">
        <v>192</v>
      </c>
      <c r="G54" s="25">
        <v>860</v>
      </c>
      <c r="H54" s="16" t="str">
        <f>IF(C54="","",IFERROR(INDEX(Settings!$L$4:$L$56,MATCH(C54,Settings!$K$4:$K$56,0)),"Unknown"))</f>
        <v>Transport</v>
      </c>
      <c r="I54" s="8">
        <f t="shared" si="0"/>
        <v>2</v>
      </c>
      <c r="J54" s="8">
        <f t="shared" si="1"/>
        <v>2026</v>
      </c>
      <c r="K54" s="24"/>
      <c r="L54" s="7" t="str">
        <f t="shared" si="2"/>
        <v>OK</v>
      </c>
    </row>
    <row r="55" spans="1:12" x14ac:dyDescent="0.25">
      <c r="A55" s="23">
        <v>46068</v>
      </c>
      <c r="B55" s="24" t="s">
        <v>153</v>
      </c>
      <c r="C55" s="24" t="s">
        <v>212</v>
      </c>
      <c r="D55" s="24" t="s">
        <v>213</v>
      </c>
      <c r="E55" s="24" t="s">
        <v>170</v>
      </c>
      <c r="F55" s="24" t="s">
        <v>214</v>
      </c>
      <c r="G55" s="25">
        <v>2500</v>
      </c>
      <c r="H55" s="16" t="str">
        <f>IF(C55="","",IFERROR(INDEX(Settings!$L$4:$L$56,MATCH(C55,Settings!$K$4:$K$56,0)),"Unknown"))</f>
        <v>Financial Obligations</v>
      </c>
      <c r="I55" s="8">
        <f t="shared" si="0"/>
        <v>2</v>
      </c>
      <c r="J55" s="8">
        <f t="shared" si="1"/>
        <v>2026</v>
      </c>
      <c r="K55" s="24"/>
      <c r="L55" s="7" t="str">
        <f t="shared" si="2"/>
        <v>OK</v>
      </c>
    </row>
    <row r="56" spans="1:12" x14ac:dyDescent="0.25">
      <c r="A56" s="23">
        <v>46069</v>
      </c>
      <c r="B56" s="24" t="s">
        <v>148</v>
      </c>
      <c r="C56" s="24" t="s">
        <v>241</v>
      </c>
      <c r="D56" s="24" t="s">
        <v>242</v>
      </c>
      <c r="E56" s="24" t="s">
        <v>180</v>
      </c>
      <c r="F56" s="24" t="s">
        <v>243</v>
      </c>
      <c r="G56" s="25">
        <v>13330</v>
      </c>
      <c r="H56" s="16" t="str">
        <f>IF(C56="","",IFERROR(INDEX(Settings!$L$4:$L$56,MATCH(C56,Settings!$K$4:$K$56,0)),"Unknown"))</f>
        <v>Income</v>
      </c>
      <c r="I56" s="8">
        <f t="shared" si="0"/>
        <v>2</v>
      </c>
      <c r="J56" s="8">
        <f t="shared" si="1"/>
        <v>2026</v>
      </c>
      <c r="K56" s="24"/>
      <c r="L56" s="7" t="str">
        <f t="shared" si="2"/>
        <v>OK</v>
      </c>
    </row>
    <row r="57" spans="1:12" x14ac:dyDescent="0.25">
      <c r="A57" s="23">
        <v>46071</v>
      </c>
      <c r="B57" s="24" t="s">
        <v>153</v>
      </c>
      <c r="C57" s="24" t="s">
        <v>218</v>
      </c>
      <c r="D57" s="24" t="s">
        <v>219</v>
      </c>
      <c r="E57" s="24" t="s">
        <v>163</v>
      </c>
      <c r="F57" s="24" t="s">
        <v>220</v>
      </c>
      <c r="G57" s="25">
        <v>1770</v>
      </c>
      <c r="H57" s="16" t="str">
        <f>IF(C57="","",IFERROR(INDEX(Settings!$L$4:$L$56,MATCH(C57,Settings!$K$4:$K$56,0)),"Unknown"))</f>
        <v>Health</v>
      </c>
      <c r="I57" s="8">
        <f t="shared" si="0"/>
        <v>2</v>
      </c>
      <c r="J57" s="8">
        <f t="shared" si="1"/>
        <v>2026</v>
      </c>
      <c r="K57" s="24"/>
      <c r="L57" s="7" t="str">
        <f t="shared" si="2"/>
        <v>OK</v>
      </c>
    </row>
    <row r="58" spans="1:12" x14ac:dyDescent="0.25">
      <c r="A58" s="23">
        <v>46072</v>
      </c>
      <c r="B58" s="24" t="s">
        <v>153</v>
      </c>
      <c r="C58" s="24" t="s">
        <v>244</v>
      </c>
      <c r="D58" s="24" t="s">
        <v>245</v>
      </c>
      <c r="E58" s="24" t="s">
        <v>163</v>
      </c>
      <c r="F58" s="24" t="s">
        <v>246</v>
      </c>
      <c r="G58" s="25">
        <v>1690</v>
      </c>
      <c r="H58" s="16" t="str">
        <f>IF(C58="","",IFERROR(INDEX(Settings!$L$4:$L$56,MATCH(C58,Settings!$K$4:$K$56,0)),"Unknown"))</f>
        <v>Lifestyle</v>
      </c>
      <c r="I58" s="8">
        <f t="shared" si="0"/>
        <v>2</v>
      </c>
      <c r="J58" s="8">
        <f t="shared" si="1"/>
        <v>2026</v>
      </c>
      <c r="K58" s="24"/>
      <c r="L58" s="7" t="str">
        <f t="shared" si="2"/>
        <v>OK</v>
      </c>
    </row>
    <row r="59" spans="1:12" x14ac:dyDescent="0.25">
      <c r="A59" s="23">
        <v>46073</v>
      </c>
      <c r="B59" s="24" t="s">
        <v>153</v>
      </c>
      <c r="C59" s="24" t="s">
        <v>224</v>
      </c>
      <c r="D59" s="24" t="s">
        <v>225</v>
      </c>
      <c r="E59" s="24" t="s">
        <v>163</v>
      </c>
      <c r="F59" s="24" t="s">
        <v>226</v>
      </c>
      <c r="G59" s="25">
        <v>760</v>
      </c>
      <c r="H59" s="16" t="str">
        <f>IF(C59="","",IFERROR(INDEX(Settings!$L$4:$L$56,MATCH(C59,Settings!$K$4:$K$56,0)),"Unknown"))</f>
        <v>Lifestyle</v>
      </c>
      <c r="I59" s="8">
        <f t="shared" si="0"/>
        <v>2</v>
      </c>
      <c r="J59" s="8">
        <f t="shared" si="1"/>
        <v>2026</v>
      </c>
      <c r="K59" s="24"/>
      <c r="L59" s="7" t="str">
        <f t="shared" si="2"/>
        <v>OK</v>
      </c>
    </row>
    <row r="60" spans="1:12" x14ac:dyDescent="0.25">
      <c r="A60" s="23">
        <v>46074</v>
      </c>
      <c r="B60" s="24" t="s">
        <v>153</v>
      </c>
      <c r="C60" s="24" t="s">
        <v>247</v>
      </c>
      <c r="D60" s="24" t="s">
        <v>248</v>
      </c>
      <c r="E60" s="24" t="s">
        <v>163</v>
      </c>
      <c r="F60" s="24" t="s">
        <v>249</v>
      </c>
      <c r="G60" s="25">
        <v>1200</v>
      </c>
      <c r="H60" s="16" t="str">
        <f>IF(C60="","",IFERROR(INDEX(Settings!$L$4:$L$56,MATCH(C60,Settings!$K$4:$K$56,0)),"Unknown"))</f>
        <v>Financial Obligations</v>
      </c>
      <c r="I60" s="8">
        <f t="shared" si="0"/>
        <v>2</v>
      </c>
      <c r="J60" s="8">
        <f t="shared" si="1"/>
        <v>2026</v>
      </c>
      <c r="K60" s="24"/>
      <c r="L60" s="7" t="str">
        <f t="shared" si="2"/>
        <v>OK</v>
      </c>
    </row>
    <row r="61" spans="1:12" x14ac:dyDescent="0.25">
      <c r="A61" s="23">
        <v>46075</v>
      </c>
      <c r="B61" s="24" t="s">
        <v>153</v>
      </c>
      <c r="C61" s="24" t="s">
        <v>161</v>
      </c>
      <c r="D61" s="24" t="s">
        <v>227</v>
      </c>
      <c r="E61" s="24" t="s">
        <v>163</v>
      </c>
      <c r="F61" s="24" t="s">
        <v>164</v>
      </c>
      <c r="G61" s="25">
        <v>3650</v>
      </c>
      <c r="H61" s="16" t="str">
        <f>IF(C61="","",IFERROR(INDEX(Settings!$L$4:$L$56,MATCH(C61,Settings!$K$4:$K$56,0)),"Unknown"))</f>
        <v>Food</v>
      </c>
      <c r="I61" s="8">
        <f t="shared" si="0"/>
        <v>2</v>
      </c>
      <c r="J61" s="8">
        <f t="shared" si="1"/>
        <v>2026</v>
      </c>
      <c r="K61" s="24"/>
      <c r="L61" s="7" t="str">
        <f t="shared" si="2"/>
        <v>OK</v>
      </c>
    </row>
    <row r="62" spans="1:12" x14ac:dyDescent="0.25">
      <c r="A62" s="23">
        <v>46078</v>
      </c>
      <c r="B62" s="24" t="s">
        <v>153</v>
      </c>
      <c r="C62" s="24" t="s">
        <v>228</v>
      </c>
      <c r="D62" s="24" t="s">
        <v>229</v>
      </c>
      <c r="E62" s="24" t="s">
        <v>151</v>
      </c>
      <c r="F62" s="24" t="s">
        <v>230</v>
      </c>
      <c r="G62" s="25">
        <v>2800</v>
      </c>
      <c r="H62" s="16" t="str">
        <f>IF(C62="","",IFERROR(INDEX(Settings!$L$4:$L$56,MATCH(C62,Settings!$K$4:$K$56,0)),"Unknown"))</f>
        <v>Financial Obligations</v>
      </c>
      <c r="I62" s="8">
        <f t="shared" si="0"/>
        <v>2</v>
      </c>
      <c r="J62" s="8">
        <f t="shared" si="1"/>
        <v>2026</v>
      </c>
      <c r="K62" s="24"/>
      <c r="L62" s="7" t="str">
        <f t="shared" si="2"/>
        <v>OK</v>
      </c>
    </row>
    <row r="63" spans="1:12" x14ac:dyDescent="0.25">
      <c r="A63" s="23">
        <v>46081</v>
      </c>
      <c r="B63" s="24" t="s">
        <v>153</v>
      </c>
      <c r="C63" s="24" t="s">
        <v>231</v>
      </c>
      <c r="D63" s="24" t="s">
        <v>232</v>
      </c>
      <c r="E63" s="24" t="s">
        <v>170</v>
      </c>
      <c r="F63" s="24" t="s">
        <v>171</v>
      </c>
      <c r="G63" s="25">
        <v>250</v>
      </c>
      <c r="H63" s="16" t="str">
        <f>IF(C63="","",IFERROR(INDEX(Settings!$L$4:$L$56,MATCH(C63,Settings!$K$4:$K$56,0)),"Unknown"))</f>
        <v>Financial Obligations</v>
      </c>
      <c r="I63" s="8">
        <f t="shared" si="0"/>
        <v>2</v>
      </c>
      <c r="J63" s="8">
        <f t="shared" si="1"/>
        <v>2026</v>
      </c>
      <c r="K63" s="24"/>
      <c r="L63" s="7" t="str">
        <f t="shared" si="2"/>
        <v>OK</v>
      </c>
    </row>
    <row r="64" spans="1:12" x14ac:dyDescent="0.25">
      <c r="A64" s="23">
        <v>46081</v>
      </c>
      <c r="B64" s="24" t="s">
        <v>153</v>
      </c>
      <c r="C64" s="24" t="s">
        <v>233</v>
      </c>
      <c r="D64" s="24" t="s">
        <v>234</v>
      </c>
      <c r="E64" s="24" t="s">
        <v>151</v>
      </c>
      <c r="F64" s="24" t="s">
        <v>235</v>
      </c>
      <c r="G64" s="25">
        <v>3000</v>
      </c>
      <c r="H64" s="16" t="str">
        <f>IF(C64="","",IFERROR(INDEX(Settings!$L$4:$L$56,MATCH(C64,Settings!$K$4:$K$56,0)),"Unknown"))</f>
        <v>Savings &amp; Investments</v>
      </c>
      <c r="I64" s="8">
        <f t="shared" si="0"/>
        <v>2</v>
      </c>
      <c r="J64" s="8">
        <f t="shared" si="1"/>
        <v>2026</v>
      </c>
      <c r="K64" s="24"/>
      <c r="L64" s="7" t="str">
        <f t="shared" si="2"/>
        <v>OK</v>
      </c>
    </row>
    <row r="65" spans="1:12" x14ac:dyDescent="0.25">
      <c r="A65" s="23">
        <v>46082</v>
      </c>
      <c r="B65" s="24" t="s">
        <v>148</v>
      </c>
      <c r="C65" s="24" t="s">
        <v>149</v>
      </c>
      <c r="D65" s="24" t="s">
        <v>250</v>
      </c>
      <c r="E65" s="24" t="s">
        <v>151</v>
      </c>
      <c r="F65" s="24" t="s">
        <v>152</v>
      </c>
      <c r="G65" s="25">
        <v>115000</v>
      </c>
      <c r="H65" s="16" t="str">
        <f>IF(C65="","",IFERROR(INDEX(Settings!$L$4:$L$56,MATCH(C65,Settings!$K$4:$K$56,0)),"Unknown"))</f>
        <v>Income</v>
      </c>
      <c r="I65" s="8">
        <f t="shared" si="0"/>
        <v>3</v>
      </c>
      <c r="J65" s="8">
        <f t="shared" si="1"/>
        <v>2026</v>
      </c>
      <c r="K65" s="24"/>
      <c r="L65" s="7" t="str">
        <f t="shared" si="2"/>
        <v>OK</v>
      </c>
    </row>
    <row r="66" spans="1:12" x14ac:dyDescent="0.25">
      <c r="A66" s="23">
        <v>46083</v>
      </c>
      <c r="B66" s="24" t="s">
        <v>153</v>
      </c>
      <c r="C66" s="24" t="s">
        <v>154</v>
      </c>
      <c r="D66" s="24" t="s">
        <v>155</v>
      </c>
      <c r="E66" s="24" t="s">
        <v>156</v>
      </c>
      <c r="F66" s="24" t="s">
        <v>157</v>
      </c>
      <c r="G66" s="25">
        <v>1100</v>
      </c>
      <c r="H66" s="16" t="str">
        <f>IF(C66="","",IFERROR(INDEX(Settings!$L$4:$L$56,MATCH(C66,Settings!$K$4:$K$56,0)),"Unknown"))</f>
        <v>Lifestyle</v>
      </c>
      <c r="I66" s="8">
        <f t="shared" si="0"/>
        <v>3</v>
      </c>
      <c r="J66" s="8">
        <f t="shared" si="1"/>
        <v>2026</v>
      </c>
      <c r="K66" s="24"/>
      <c r="L66" s="7" t="str">
        <f t="shared" si="2"/>
        <v>OK</v>
      </c>
    </row>
    <row r="67" spans="1:12" x14ac:dyDescent="0.25">
      <c r="A67" s="23">
        <v>46084</v>
      </c>
      <c r="B67" s="24" t="s">
        <v>153</v>
      </c>
      <c r="C67" s="24" t="s">
        <v>158</v>
      </c>
      <c r="D67" s="24" t="s">
        <v>251</v>
      </c>
      <c r="E67" s="24" t="s">
        <v>151</v>
      </c>
      <c r="F67" s="24" t="s">
        <v>160</v>
      </c>
      <c r="G67" s="25">
        <v>22000</v>
      </c>
      <c r="H67" s="16" t="str">
        <f>IF(C67="","",IFERROR(INDEX(Settings!$L$4:$L$56,MATCH(C67,Settings!$K$4:$K$56,0)),"Unknown"))</f>
        <v>Housing &amp; Utilities</v>
      </c>
      <c r="I67" s="8">
        <f t="shared" si="0"/>
        <v>3</v>
      </c>
      <c r="J67" s="8">
        <f t="shared" si="1"/>
        <v>2026</v>
      </c>
      <c r="K67" s="24"/>
      <c r="L67" s="7" t="str">
        <f t="shared" si="2"/>
        <v>OK</v>
      </c>
    </row>
    <row r="68" spans="1:12" x14ac:dyDescent="0.25">
      <c r="A68" s="23">
        <v>46085</v>
      </c>
      <c r="B68" s="24" t="s">
        <v>153</v>
      </c>
      <c r="C68" s="24" t="s">
        <v>161</v>
      </c>
      <c r="D68" s="24" t="s">
        <v>162</v>
      </c>
      <c r="E68" s="24" t="s">
        <v>163</v>
      </c>
      <c r="F68" s="24" t="s">
        <v>164</v>
      </c>
      <c r="G68" s="25">
        <v>3970</v>
      </c>
      <c r="H68" s="16" t="str">
        <f>IF(C68="","",IFERROR(INDEX(Settings!$L$4:$L$56,MATCH(C68,Settings!$K$4:$K$56,0)),"Unknown"))</f>
        <v>Food</v>
      </c>
      <c r="I68" s="8">
        <f t="shared" si="0"/>
        <v>3</v>
      </c>
      <c r="J68" s="8">
        <f t="shared" si="1"/>
        <v>2026</v>
      </c>
      <c r="K68" s="24"/>
      <c r="L68" s="7" t="str">
        <f t="shared" si="2"/>
        <v>OK</v>
      </c>
    </row>
    <row r="69" spans="1:12" x14ac:dyDescent="0.25">
      <c r="A69" s="23">
        <v>46086</v>
      </c>
      <c r="B69" s="24" t="s">
        <v>153</v>
      </c>
      <c r="C69" s="24" t="s">
        <v>165</v>
      </c>
      <c r="D69" s="24" t="s">
        <v>166</v>
      </c>
      <c r="E69" s="24" t="s">
        <v>163</v>
      </c>
      <c r="F69" s="24" t="s">
        <v>167</v>
      </c>
      <c r="G69" s="25">
        <v>3000</v>
      </c>
      <c r="H69" s="16" t="str">
        <f>IF(C69="","",IFERROR(INDEX(Settings!$L$4:$L$56,MATCH(C69,Settings!$K$4:$K$56,0)),"Unknown"))</f>
        <v>Housing &amp; Utilities</v>
      </c>
      <c r="I69" s="8">
        <f t="shared" si="0"/>
        <v>3</v>
      </c>
      <c r="J69" s="8">
        <f t="shared" si="1"/>
        <v>2026</v>
      </c>
      <c r="K69" s="24"/>
      <c r="L69" s="7" t="str">
        <f t="shared" si="2"/>
        <v>OK</v>
      </c>
    </row>
    <row r="70" spans="1:12" x14ac:dyDescent="0.25">
      <c r="A70" s="23">
        <v>46086</v>
      </c>
      <c r="B70" s="24" t="s">
        <v>153</v>
      </c>
      <c r="C70" s="24" t="s">
        <v>168</v>
      </c>
      <c r="D70" s="24" t="s">
        <v>169</v>
      </c>
      <c r="E70" s="24" t="s">
        <v>170</v>
      </c>
      <c r="F70" s="24" t="s">
        <v>171</v>
      </c>
      <c r="G70" s="25">
        <v>15300</v>
      </c>
      <c r="H70" s="16" t="str">
        <f>IF(C70="","",IFERROR(INDEX(Settings!$L$4:$L$56,MATCH(C70,Settings!$K$4:$K$56,0)),"Unknown"))</f>
        <v>Financial Obligations</v>
      </c>
      <c r="I70" s="8">
        <f t="shared" ref="I70:I133" si="3">IF(A70="","",MONTH(A70))</f>
        <v>3</v>
      </c>
      <c r="J70" s="8">
        <f t="shared" ref="J70:J133" si="4">IF(A70="","",YEAR(A70))</f>
        <v>2026</v>
      </c>
      <c r="K70" s="24"/>
      <c r="L70" s="7" t="str">
        <f t="shared" ref="L70:L133" si="5">IF(OR(B70="",C70=""),"",IF(AND(B70="Income",H70&lt;&gt;"Income"),"Category is not an Income category",IF(AND(B70="Expense",H70="Income"),"Category is an Income category","OK")))</f>
        <v>OK</v>
      </c>
    </row>
    <row r="71" spans="1:12" x14ac:dyDescent="0.25">
      <c r="A71" s="23">
        <v>46086</v>
      </c>
      <c r="B71" s="24" t="s">
        <v>153</v>
      </c>
      <c r="C71" s="24" t="s">
        <v>172</v>
      </c>
      <c r="D71" s="24" t="s">
        <v>173</v>
      </c>
      <c r="E71" s="24" t="s">
        <v>170</v>
      </c>
      <c r="F71" s="24" t="s">
        <v>174</v>
      </c>
      <c r="G71" s="25">
        <v>5000</v>
      </c>
      <c r="H71" s="16" t="str">
        <f>IF(C71="","",IFERROR(INDEX(Settings!$L$4:$L$56,MATCH(C71,Settings!$K$4:$K$56,0)),"Unknown"))</f>
        <v>Savings &amp; Investments</v>
      </c>
      <c r="I71" s="8">
        <f t="shared" si="3"/>
        <v>3</v>
      </c>
      <c r="J71" s="8">
        <f t="shared" si="4"/>
        <v>2026</v>
      </c>
      <c r="K71" s="24"/>
      <c r="L71" s="7" t="str">
        <f t="shared" si="5"/>
        <v>OK</v>
      </c>
    </row>
    <row r="72" spans="1:12" x14ac:dyDescent="0.25">
      <c r="A72" s="23">
        <v>46086</v>
      </c>
      <c r="B72" s="24" t="s">
        <v>153</v>
      </c>
      <c r="C72" s="24" t="s">
        <v>175</v>
      </c>
      <c r="D72" s="24" t="s">
        <v>176</v>
      </c>
      <c r="E72" s="24" t="s">
        <v>151</v>
      </c>
      <c r="F72" s="24" t="s">
        <v>177</v>
      </c>
      <c r="G72" s="25">
        <v>3500</v>
      </c>
      <c r="H72" s="16" t="str">
        <f>IF(C72="","",IFERROR(INDEX(Settings!$L$4:$L$56,MATCH(C72,Settings!$K$4:$K$56,0)),"Unknown"))</f>
        <v>Family &amp; Education</v>
      </c>
      <c r="I72" s="8">
        <f t="shared" si="3"/>
        <v>3</v>
      </c>
      <c r="J72" s="8">
        <f t="shared" si="4"/>
        <v>2026</v>
      </c>
      <c r="K72" s="24"/>
      <c r="L72" s="7" t="str">
        <f t="shared" si="5"/>
        <v>OK</v>
      </c>
    </row>
    <row r="73" spans="1:12" x14ac:dyDescent="0.25">
      <c r="A73" s="23">
        <v>46087</v>
      </c>
      <c r="B73" s="24" t="s">
        <v>153</v>
      </c>
      <c r="C73" s="24" t="s">
        <v>178</v>
      </c>
      <c r="D73" s="24" t="s">
        <v>179</v>
      </c>
      <c r="E73" s="24" t="s">
        <v>180</v>
      </c>
      <c r="F73" s="24" t="s">
        <v>181</v>
      </c>
      <c r="G73" s="25">
        <v>1000</v>
      </c>
      <c r="H73" s="16" t="str">
        <f>IF(C73="","",IFERROR(INDEX(Settings!$L$4:$L$56,MATCH(C73,Settings!$K$4:$K$56,0)),"Unknown"))</f>
        <v>Housing &amp; Utilities</v>
      </c>
      <c r="I73" s="8">
        <f t="shared" si="3"/>
        <v>3</v>
      </c>
      <c r="J73" s="8">
        <f t="shared" si="4"/>
        <v>2026</v>
      </c>
      <c r="K73" s="24"/>
      <c r="L73" s="7" t="str">
        <f t="shared" si="5"/>
        <v>OK</v>
      </c>
    </row>
    <row r="74" spans="1:12" x14ac:dyDescent="0.25">
      <c r="A74" s="23">
        <v>46088</v>
      </c>
      <c r="B74" s="24" t="s">
        <v>153</v>
      </c>
      <c r="C74" s="24" t="s">
        <v>182</v>
      </c>
      <c r="D74" s="24" t="s">
        <v>183</v>
      </c>
      <c r="E74" s="24" t="s">
        <v>180</v>
      </c>
      <c r="F74" s="24" t="s">
        <v>184</v>
      </c>
      <c r="G74" s="25">
        <v>970</v>
      </c>
      <c r="H74" s="16" t="str">
        <f>IF(C74="","",IFERROR(INDEX(Settings!$L$4:$L$56,MATCH(C74,Settings!$K$4:$K$56,0)),"Unknown"))</f>
        <v>Transport</v>
      </c>
      <c r="I74" s="8">
        <f t="shared" si="3"/>
        <v>3</v>
      </c>
      <c r="J74" s="8">
        <f t="shared" si="4"/>
        <v>2026</v>
      </c>
      <c r="K74" s="24"/>
      <c r="L74" s="7" t="str">
        <f t="shared" si="5"/>
        <v>OK</v>
      </c>
    </row>
    <row r="75" spans="1:12" x14ac:dyDescent="0.25">
      <c r="A75" s="23">
        <v>46089</v>
      </c>
      <c r="B75" s="24" t="s">
        <v>153</v>
      </c>
      <c r="C75" s="24" t="s">
        <v>185</v>
      </c>
      <c r="D75" s="24" t="s">
        <v>186</v>
      </c>
      <c r="E75" s="24" t="s">
        <v>180</v>
      </c>
      <c r="F75" s="24" t="s">
        <v>187</v>
      </c>
      <c r="G75" s="25">
        <v>2270</v>
      </c>
      <c r="H75" s="16" t="str">
        <f>IF(C75="","",IFERROR(INDEX(Settings!$L$4:$L$56,MATCH(C75,Settings!$K$4:$K$56,0)),"Unknown"))</f>
        <v>Housing &amp; Utilities</v>
      </c>
      <c r="I75" s="8">
        <f t="shared" si="3"/>
        <v>3</v>
      </c>
      <c r="J75" s="8">
        <f t="shared" si="4"/>
        <v>2026</v>
      </c>
      <c r="K75" s="24"/>
      <c r="L75" s="7" t="str">
        <f t="shared" si="5"/>
        <v>OK</v>
      </c>
    </row>
    <row r="76" spans="1:12" x14ac:dyDescent="0.25">
      <c r="A76" s="23">
        <v>46089</v>
      </c>
      <c r="B76" s="24" t="s">
        <v>153</v>
      </c>
      <c r="C76" s="24" t="s">
        <v>252</v>
      </c>
      <c r="D76" s="24" t="s">
        <v>253</v>
      </c>
      <c r="E76" s="24" t="s">
        <v>151</v>
      </c>
      <c r="F76" s="24" t="s">
        <v>254</v>
      </c>
      <c r="G76" s="25">
        <v>36000</v>
      </c>
      <c r="H76" s="16" t="str">
        <f>IF(C76="","",IFERROR(INDEX(Settings!$L$4:$L$56,MATCH(C76,Settings!$K$4:$K$56,0)),"Unknown"))</f>
        <v>Religious &amp; Social</v>
      </c>
      <c r="I76" s="8">
        <f t="shared" si="3"/>
        <v>3</v>
      </c>
      <c r="J76" s="8">
        <f t="shared" si="4"/>
        <v>2026</v>
      </c>
      <c r="K76" s="24"/>
      <c r="L76" s="7" t="str">
        <f t="shared" si="5"/>
        <v>OK</v>
      </c>
    </row>
    <row r="77" spans="1:12" x14ac:dyDescent="0.25">
      <c r="A77" s="23">
        <v>46090</v>
      </c>
      <c r="B77" s="24" t="s">
        <v>153</v>
      </c>
      <c r="C77" s="24" t="s">
        <v>188</v>
      </c>
      <c r="D77" s="24" t="s">
        <v>189</v>
      </c>
      <c r="E77" s="24" t="s">
        <v>180</v>
      </c>
      <c r="F77" s="24" t="s">
        <v>190</v>
      </c>
      <c r="G77" s="25">
        <v>700</v>
      </c>
      <c r="H77" s="16" t="str">
        <f>IF(C77="","",IFERROR(INDEX(Settings!$L$4:$L$56,MATCH(C77,Settings!$K$4:$K$56,0)),"Unknown"))</f>
        <v>Housing &amp; Utilities</v>
      </c>
      <c r="I77" s="8">
        <f t="shared" si="3"/>
        <v>3</v>
      </c>
      <c r="J77" s="8">
        <f t="shared" si="4"/>
        <v>2026</v>
      </c>
      <c r="K77" s="24"/>
      <c r="L77" s="7" t="str">
        <f t="shared" si="5"/>
        <v>OK</v>
      </c>
    </row>
    <row r="78" spans="1:12" x14ac:dyDescent="0.25">
      <c r="A78" s="23">
        <v>46091</v>
      </c>
      <c r="B78" s="24" t="s">
        <v>153</v>
      </c>
      <c r="C78" s="24" t="s">
        <v>193</v>
      </c>
      <c r="D78" s="24" t="s">
        <v>194</v>
      </c>
      <c r="E78" s="24" t="s">
        <v>180</v>
      </c>
      <c r="F78" s="24" t="s">
        <v>195</v>
      </c>
      <c r="G78" s="25">
        <v>1080</v>
      </c>
      <c r="H78" s="16" t="str">
        <f>IF(C78="","",IFERROR(INDEX(Settings!$L$4:$L$56,MATCH(C78,Settings!$K$4:$K$56,0)),"Unknown"))</f>
        <v>Housing &amp; Utilities</v>
      </c>
      <c r="I78" s="8">
        <f t="shared" si="3"/>
        <v>3</v>
      </c>
      <c r="J78" s="8">
        <f t="shared" si="4"/>
        <v>2026</v>
      </c>
      <c r="K78" s="24"/>
      <c r="L78" s="7" t="str">
        <f t="shared" si="5"/>
        <v>OK</v>
      </c>
    </row>
    <row r="79" spans="1:12" x14ac:dyDescent="0.25">
      <c r="A79" s="23">
        <v>46091</v>
      </c>
      <c r="B79" s="24" t="s">
        <v>153</v>
      </c>
      <c r="C79" s="24" t="s">
        <v>196</v>
      </c>
      <c r="D79" s="24" t="s">
        <v>197</v>
      </c>
      <c r="E79" s="24" t="s">
        <v>180</v>
      </c>
      <c r="F79" s="24" t="s">
        <v>198</v>
      </c>
      <c r="G79" s="25">
        <v>5000</v>
      </c>
      <c r="H79" s="16" t="str">
        <f>IF(C79="","",IFERROR(INDEX(Settings!$L$4:$L$56,MATCH(C79,Settings!$K$4:$K$56,0)),"Unknown"))</f>
        <v>Family &amp; Education</v>
      </c>
      <c r="I79" s="8">
        <f t="shared" si="3"/>
        <v>3</v>
      </c>
      <c r="J79" s="8">
        <f t="shared" si="4"/>
        <v>2026</v>
      </c>
      <c r="K79" s="24"/>
      <c r="L79" s="7" t="str">
        <f t="shared" si="5"/>
        <v>OK</v>
      </c>
    </row>
    <row r="80" spans="1:12" x14ac:dyDescent="0.25">
      <c r="A80" s="23">
        <v>46092</v>
      </c>
      <c r="B80" s="24" t="s">
        <v>153</v>
      </c>
      <c r="C80" s="24" t="s">
        <v>199</v>
      </c>
      <c r="D80" s="24" t="s">
        <v>200</v>
      </c>
      <c r="E80" s="24" t="s">
        <v>163</v>
      </c>
      <c r="F80" s="24" t="s">
        <v>201</v>
      </c>
      <c r="G80" s="25">
        <v>1410</v>
      </c>
      <c r="H80" s="16" t="str">
        <f>IF(C80="","",IFERROR(INDEX(Settings!$L$4:$L$56,MATCH(C80,Settings!$K$4:$K$56,0)),"Unknown"))</f>
        <v>Transport</v>
      </c>
      <c r="I80" s="8">
        <f t="shared" si="3"/>
        <v>3</v>
      </c>
      <c r="J80" s="8">
        <f t="shared" si="4"/>
        <v>2026</v>
      </c>
      <c r="K80" s="24"/>
      <c r="L80" s="7" t="str">
        <f t="shared" si="5"/>
        <v>OK</v>
      </c>
    </row>
    <row r="81" spans="1:12" x14ac:dyDescent="0.25">
      <c r="A81" s="23">
        <v>46093</v>
      </c>
      <c r="B81" s="24" t="s">
        <v>153</v>
      </c>
      <c r="C81" s="24" t="s">
        <v>202</v>
      </c>
      <c r="D81" s="24" t="s">
        <v>203</v>
      </c>
      <c r="E81" s="24" t="s">
        <v>180</v>
      </c>
      <c r="F81" s="24" t="s">
        <v>204</v>
      </c>
      <c r="G81" s="25">
        <v>900</v>
      </c>
      <c r="H81" s="16" t="str">
        <f>IF(C81="","",IFERROR(INDEX(Settings!$L$4:$L$56,MATCH(C81,Settings!$K$4:$K$56,0)),"Unknown"))</f>
        <v>Housing &amp; Utilities</v>
      </c>
      <c r="I81" s="8">
        <f t="shared" si="3"/>
        <v>3</v>
      </c>
      <c r="J81" s="8">
        <f t="shared" si="4"/>
        <v>2026</v>
      </c>
      <c r="K81" s="24"/>
      <c r="L81" s="7" t="str">
        <f t="shared" si="5"/>
        <v>OK</v>
      </c>
    </row>
    <row r="82" spans="1:12" x14ac:dyDescent="0.25">
      <c r="A82" s="23">
        <v>46093</v>
      </c>
      <c r="B82" s="24" t="s">
        <v>148</v>
      </c>
      <c r="C82" s="24" t="s">
        <v>255</v>
      </c>
      <c r="D82" s="24" t="s">
        <v>256</v>
      </c>
      <c r="E82" s="24" t="s">
        <v>151</v>
      </c>
      <c r="F82" s="24" t="s">
        <v>152</v>
      </c>
      <c r="G82" s="25">
        <v>72000</v>
      </c>
      <c r="H82" s="16" t="str">
        <f>IF(C82="","",IFERROR(INDEX(Settings!$L$4:$L$56,MATCH(C82,Settings!$K$4:$K$56,0)),"Unknown"))</f>
        <v>Income</v>
      </c>
      <c r="I82" s="8">
        <f t="shared" si="3"/>
        <v>3</v>
      </c>
      <c r="J82" s="8">
        <f t="shared" si="4"/>
        <v>2026</v>
      </c>
      <c r="K82" s="24"/>
      <c r="L82" s="7" t="str">
        <f t="shared" si="5"/>
        <v>OK</v>
      </c>
    </row>
    <row r="83" spans="1:12" x14ac:dyDescent="0.25">
      <c r="A83" s="23">
        <v>46094</v>
      </c>
      <c r="B83" s="24" t="s">
        <v>153</v>
      </c>
      <c r="C83" s="24" t="s">
        <v>161</v>
      </c>
      <c r="D83" s="24" t="s">
        <v>205</v>
      </c>
      <c r="E83" s="24" t="s">
        <v>206</v>
      </c>
      <c r="F83" s="24" t="s">
        <v>207</v>
      </c>
      <c r="G83" s="25">
        <v>3620</v>
      </c>
      <c r="H83" s="16" t="str">
        <f>IF(C83="","",IFERROR(INDEX(Settings!$L$4:$L$56,MATCH(C83,Settings!$K$4:$K$56,0)),"Unknown"))</f>
        <v>Food</v>
      </c>
      <c r="I83" s="8">
        <f t="shared" si="3"/>
        <v>3</v>
      </c>
      <c r="J83" s="8">
        <f t="shared" si="4"/>
        <v>2026</v>
      </c>
      <c r="K83" s="24"/>
      <c r="L83" s="7" t="str">
        <f t="shared" si="5"/>
        <v>OK</v>
      </c>
    </row>
    <row r="84" spans="1:12" x14ac:dyDescent="0.25">
      <c r="A84" s="23">
        <v>46095</v>
      </c>
      <c r="B84" s="24" t="s">
        <v>153</v>
      </c>
      <c r="C84" s="24" t="s">
        <v>208</v>
      </c>
      <c r="D84" s="24" t="s">
        <v>209</v>
      </c>
      <c r="E84" s="24" t="s">
        <v>156</v>
      </c>
      <c r="F84" s="24" t="s">
        <v>210</v>
      </c>
      <c r="G84" s="25">
        <v>920</v>
      </c>
      <c r="H84" s="16" t="str">
        <f>IF(C84="","",IFERROR(INDEX(Settings!$L$4:$L$56,MATCH(C84,Settings!$K$4:$K$56,0)),"Unknown"))</f>
        <v>Food</v>
      </c>
      <c r="I84" s="8">
        <f t="shared" si="3"/>
        <v>3</v>
      </c>
      <c r="J84" s="8">
        <f t="shared" si="4"/>
        <v>2026</v>
      </c>
      <c r="K84" s="24"/>
      <c r="L84" s="7" t="str">
        <f t="shared" si="5"/>
        <v>OK</v>
      </c>
    </row>
    <row r="85" spans="1:12" x14ac:dyDescent="0.25">
      <c r="A85" s="23">
        <v>46095</v>
      </c>
      <c r="B85" s="24" t="s">
        <v>153</v>
      </c>
      <c r="C85" s="24" t="s">
        <v>257</v>
      </c>
      <c r="D85" s="24" t="s">
        <v>258</v>
      </c>
      <c r="E85" s="24" t="s">
        <v>206</v>
      </c>
      <c r="F85" s="24" t="s">
        <v>259</v>
      </c>
      <c r="G85" s="25">
        <v>9000</v>
      </c>
      <c r="H85" s="16" t="str">
        <f>IF(C85="","",IFERROR(INDEX(Settings!$L$4:$L$56,MATCH(C85,Settings!$K$4:$K$56,0)),"Unknown"))</f>
        <v>Lifestyle</v>
      </c>
      <c r="I85" s="8">
        <f t="shared" si="3"/>
        <v>3</v>
      </c>
      <c r="J85" s="8">
        <f t="shared" si="4"/>
        <v>2026</v>
      </c>
      <c r="K85" s="24"/>
      <c r="L85" s="7" t="str">
        <f t="shared" si="5"/>
        <v>OK</v>
      </c>
    </row>
    <row r="86" spans="1:12" x14ac:dyDescent="0.25">
      <c r="A86" s="23">
        <v>46096</v>
      </c>
      <c r="B86" s="24" t="s">
        <v>153</v>
      </c>
      <c r="C86" s="24" t="s">
        <v>182</v>
      </c>
      <c r="D86" s="24" t="s">
        <v>211</v>
      </c>
      <c r="E86" s="24" t="s">
        <v>163</v>
      </c>
      <c r="F86" s="24" t="s">
        <v>192</v>
      </c>
      <c r="G86" s="25">
        <v>770</v>
      </c>
      <c r="H86" s="16" t="str">
        <f>IF(C86="","",IFERROR(INDEX(Settings!$L$4:$L$56,MATCH(C86,Settings!$K$4:$K$56,0)),"Unknown"))</f>
        <v>Transport</v>
      </c>
      <c r="I86" s="8">
        <f t="shared" si="3"/>
        <v>3</v>
      </c>
      <c r="J86" s="8">
        <f t="shared" si="4"/>
        <v>2026</v>
      </c>
      <c r="K86" s="24"/>
      <c r="L86" s="7" t="str">
        <f t="shared" si="5"/>
        <v>OK</v>
      </c>
    </row>
    <row r="87" spans="1:12" x14ac:dyDescent="0.25">
      <c r="A87" s="23">
        <v>46096</v>
      </c>
      <c r="B87" s="24" t="s">
        <v>153</v>
      </c>
      <c r="C87" s="24" t="s">
        <v>212</v>
      </c>
      <c r="D87" s="24" t="s">
        <v>213</v>
      </c>
      <c r="E87" s="24" t="s">
        <v>170</v>
      </c>
      <c r="F87" s="24" t="s">
        <v>214</v>
      </c>
      <c r="G87" s="25">
        <v>2500</v>
      </c>
      <c r="H87" s="16" t="str">
        <f>IF(C87="","",IFERROR(INDEX(Settings!$L$4:$L$56,MATCH(C87,Settings!$K$4:$K$56,0)),"Unknown"))</f>
        <v>Financial Obligations</v>
      </c>
      <c r="I87" s="8">
        <f t="shared" si="3"/>
        <v>3</v>
      </c>
      <c r="J87" s="8">
        <f t="shared" si="4"/>
        <v>2026</v>
      </c>
      <c r="K87" s="24"/>
      <c r="L87" s="7" t="str">
        <f t="shared" si="5"/>
        <v>OK</v>
      </c>
    </row>
    <row r="88" spans="1:12" x14ac:dyDescent="0.25">
      <c r="A88" s="23">
        <v>46096</v>
      </c>
      <c r="B88" s="24" t="s">
        <v>153</v>
      </c>
      <c r="C88" s="24" t="s">
        <v>260</v>
      </c>
      <c r="D88" s="24" t="s">
        <v>261</v>
      </c>
      <c r="E88" s="24" t="s">
        <v>163</v>
      </c>
      <c r="F88" s="24" t="s">
        <v>262</v>
      </c>
      <c r="G88" s="25">
        <v>9000</v>
      </c>
      <c r="H88" s="16" t="str">
        <f>IF(C88="","",IFERROR(INDEX(Settings!$L$4:$L$56,MATCH(C88,Settings!$K$4:$K$56,0)),"Unknown"))</f>
        <v>Religious &amp; Social</v>
      </c>
      <c r="I88" s="8">
        <f t="shared" si="3"/>
        <v>3</v>
      </c>
      <c r="J88" s="8">
        <f t="shared" si="4"/>
        <v>2026</v>
      </c>
      <c r="K88" s="24"/>
      <c r="L88" s="7" t="str">
        <f t="shared" si="5"/>
        <v>OK</v>
      </c>
    </row>
    <row r="89" spans="1:12" x14ac:dyDescent="0.25">
      <c r="A89" s="23">
        <v>46099</v>
      </c>
      <c r="B89" s="24" t="s">
        <v>153</v>
      </c>
      <c r="C89" s="24" t="s">
        <v>218</v>
      </c>
      <c r="D89" s="24" t="s">
        <v>219</v>
      </c>
      <c r="E89" s="24" t="s">
        <v>163</v>
      </c>
      <c r="F89" s="24" t="s">
        <v>220</v>
      </c>
      <c r="G89" s="25">
        <v>1080</v>
      </c>
      <c r="H89" s="16" t="str">
        <f>IF(C89="","",IFERROR(INDEX(Settings!$L$4:$L$56,MATCH(C89,Settings!$K$4:$K$56,0)),"Unknown"))</f>
        <v>Health</v>
      </c>
      <c r="I89" s="8">
        <f t="shared" si="3"/>
        <v>3</v>
      </c>
      <c r="J89" s="8">
        <f t="shared" si="4"/>
        <v>2026</v>
      </c>
      <c r="K89" s="24"/>
      <c r="L89" s="7" t="str">
        <f t="shared" si="5"/>
        <v>OK</v>
      </c>
    </row>
    <row r="90" spans="1:12" x14ac:dyDescent="0.25">
      <c r="A90" s="23">
        <v>46099</v>
      </c>
      <c r="B90" s="24" t="s">
        <v>153</v>
      </c>
      <c r="C90" s="24" t="s">
        <v>252</v>
      </c>
      <c r="D90" s="24" t="s">
        <v>263</v>
      </c>
      <c r="E90" s="24" t="s">
        <v>163</v>
      </c>
      <c r="F90" s="24" t="s">
        <v>264</v>
      </c>
      <c r="G90" s="25">
        <v>650</v>
      </c>
      <c r="H90" s="16" t="str">
        <f>IF(C90="","",IFERROR(INDEX(Settings!$L$4:$L$56,MATCH(C90,Settings!$K$4:$K$56,0)),"Unknown"))</f>
        <v>Religious &amp; Social</v>
      </c>
      <c r="I90" s="8">
        <f t="shared" si="3"/>
        <v>3</v>
      </c>
      <c r="J90" s="8">
        <f t="shared" si="4"/>
        <v>2026</v>
      </c>
      <c r="K90" s="24"/>
      <c r="L90" s="7" t="str">
        <f t="shared" si="5"/>
        <v>OK</v>
      </c>
    </row>
    <row r="91" spans="1:12" x14ac:dyDescent="0.25">
      <c r="A91" s="23">
        <v>46101</v>
      </c>
      <c r="B91" s="24" t="s">
        <v>153</v>
      </c>
      <c r="C91" s="24" t="s">
        <v>224</v>
      </c>
      <c r="D91" s="24" t="s">
        <v>225</v>
      </c>
      <c r="E91" s="24" t="s">
        <v>163</v>
      </c>
      <c r="F91" s="24" t="s">
        <v>226</v>
      </c>
      <c r="G91" s="25">
        <v>740</v>
      </c>
      <c r="H91" s="16" t="str">
        <f>IF(C91="","",IFERROR(INDEX(Settings!$L$4:$L$56,MATCH(C91,Settings!$K$4:$K$56,0)),"Unknown"))</f>
        <v>Lifestyle</v>
      </c>
      <c r="I91" s="8">
        <f t="shared" si="3"/>
        <v>3</v>
      </c>
      <c r="J91" s="8">
        <f t="shared" si="4"/>
        <v>2026</v>
      </c>
      <c r="K91" s="24"/>
      <c r="L91" s="7" t="str">
        <f t="shared" si="5"/>
        <v>OK</v>
      </c>
    </row>
    <row r="92" spans="1:12" x14ac:dyDescent="0.25">
      <c r="A92" s="23">
        <v>46103</v>
      </c>
      <c r="B92" s="24" t="s">
        <v>153</v>
      </c>
      <c r="C92" s="24" t="s">
        <v>161</v>
      </c>
      <c r="D92" s="24" t="s">
        <v>227</v>
      </c>
      <c r="E92" s="24" t="s">
        <v>163</v>
      </c>
      <c r="F92" s="24" t="s">
        <v>164</v>
      </c>
      <c r="G92" s="25">
        <v>3890</v>
      </c>
      <c r="H92" s="16" t="str">
        <f>IF(C92="","",IFERROR(INDEX(Settings!$L$4:$L$56,MATCH(C92,Settings!$K$4:$K$56,0)),"Unknown"))</f>
        <v>Food</v>
      </c>
      <c r="I92" s="8">
        <f t="shared" si="3"/>
        <v>3</v>
      </c>
      <c r="J92" s="8">
        <f t="shared" si="4"/>
        <v>2026</v>
      </c>
      <c r="K92" s="24"/>
      <c r="L92" s="7" t="str">
        <f t="shared" si="5"/>
        <v>OK</v>
      </c>
    </row>
    <row r="93" spans="1:12" x14ac:dyDescent="0.25">
      <c r="A93" s="23">
        <v>46103</v>
      </c>
      <c r="B93" s="24" t="s">
        <v>153</v>
      </c>
      <c r="C93" s="24" t="s">
        <v>265</v>
      </c>
      <c r="D93" s="24" t="s">
        <v>266</v>
      </c>
      <c r="E93" s="24" t="s">
        <v>163</v>
      </c>
      <c r="F93" s="24" t="s">
        <v>267</v>
      </c>
      <c r="G93" s="25">
        <v>2030</v>
      </c>
      <c r="H93" s="16" t="str">
        <f>IF(C93="","",IFERROR(INDEX(Settings!$L$4:$L$56,MATCH(C93,Settings!$K$4:$K$56,0)),"Unknown"))</f>
        <v>Transport</v>
      </c>
      <c r="I93" s="8">
        <f t="shared" si="3"/>
        <v>3</v>
      </c>
      <c r="J93" s="8">
        <f t="shared" si="4"/>
        <v>2026</v>
      </c>
      <c r="K93" s="24"/>
      <c r="L93" s="7" t="str">
        <f t="shared" si="5"/>
        <v>OK</v>
      </c>
    </row>
    <row r="94" spans="1:12" x14ac:dyDescent="0.25">
      <c r="A94" s="23">
        <v>46106</v>
      </c>
      <c r="B94" s="24" t="s">
        <v>153</v>
      </c>
      <c r="C94" s="24" t="s">
        <v>228</v>
      </c>
      <c r="D94" s="24" t="s">
        <v>229</v>
      </c>
      <c r="E94" s="24" t="s">
        <v>151</v>
      </c>
      <c r="F94" s="24" t="s">
        <v>230</v>
      </c>
      <c r="G94" s="25">
        <v>2800</v>
      </c>
      <c r="H94" s="16" t="str">
        <f>IF(C94="","",IFERROR(INDEX(Settings!$L$4:$L$56,MATCH(C94,Settings!$K$4:$K$56,0)),"Unknown"))</f>
        <v>Financial Obligations</v>
      </c>
      <c r="I94" s="8">
        <f t="shared" si="3"/>
        <v>3</v>
      </c>
      <c r="J94" s="8">
        <f t="shared" si="4"/>
        <v>2026</v>
      </c>
      <c r="K94" s="24"/>
      <c r="L94" s="7" t="str">
        <f t="shared" si="5"/>
        <v>OK</v>
      </c>
    </row>
    <row r="95" spans="1:12" x14ac:dyDescent="0.25">
      <c r="A95" s="23">
        <v>46106</v>
      </c>
      <c r="B95" s="24" t="s">
        <v>153</v>
      </c>
      <c r="C95" s="24" t="s">
        <v>268</v>
      </c>
      <c r="D95" s="24" t="s">
        <v>269</v>
      </c>
      <c r="E95" s="24" t="s">
        <v>151</v>
      </c>
      <c r="F95" s="24" t="s">
        <v>171</v>
      </c>
      <c r="G95" s="25">
        <v>50000</v>
      </c>
      <c r="H95" s="16" t="str">
        <f>IF(C95="","",IFERROR(INDEX(Settings!$L$4:$L$56,MATCH(C95,Settings!$K$4:$K$56,0)),"Unknown"))</f>
        <v>Savings &amp; Investments</v>
      </c>
      <c r="I95" s="8">
        <f t="shared" si="3"/>
        <v>3</v>
      </c>
      <c r="J95" s="8">
        <f t="shared" si="4"/>
        <v>2026</v>
      </c>
      <c r="K95" s="24"/>
      <c r="L95" s="7" t="str">
        <f t="shared" si="5"/>
        <v>OK</v>
      </c>
    </row>
    <row r="96" spans="1:12" x14ac:dyDescent="0.25">
      <c r="A96" s="23">
        <v>46109</v>
      </c>
      <c r="B96" s="24" t="s">
        <v>153</v>
      </c>
      <c r="C96" s="24" t="s">
        <v>231</v>
      </c>
      <c r="D96" s="24" t="s">
        <v>232</v>
      </c>
      <c r="E96" s="24" t="s">
        <v>170</v>
      </c>
      <c r="F96" s="24" t="s">
        <v>171</v>
      </c>
      <c r="G96" s="25">
        <v>250</v>
      </c>
      <c r="H96" s="16" t="str">
        <f>IF(C96="","",IFERROR(INDEX(Settings!$L$4:$L$56,MATCH(C96,Settings!$K$4:$K$56,0)),"Unknown"))</f>
        <v>Financial Obligations</v>
      </c>
      <c r="I96" s="8">
        <f t="shared" si="3"/>
        <v>3</v>
      </c>
      <c r="J96" s="8">
        <f t="shared" si="4"/>
        <v>2026</v>
      </c>
      <c r="K96" s="24"/>
      <c r="L96" s="7" t="str">
        <f t="shared" si="5"/>
        <v>OK</v>
      </c>
    </row>
    <row r="97" spans="1:12" x14ac:dyDescent="0.25">
      <c r="A97" s="23">
        <v>46109</v>
      </c>
      <c r="B97" s="24" t="s">
        <v>153</v>
      </c>
      <c r="C97" s="24" t="s">
        <v>233</v>
      </c>
      <c r="D97" s="24" t="s">
        <v>234</v>
      </c>
      <c r="E97" s="24" t="s">
        <v>151</v>
      </c>
      <c r="F97" s="24" t="s">
        <v>235</v>
      </c>
      <c r="G97" s="25">
        <v>3000</v>
      </c>
      <c r="H97" s="16" t="str">
        <f>IF(C97="","",IFERROR(INDEX(Settings!$L$4:$L$56,MATCH(C97,Settings!$K$4:$K$56,0)),"Unknown"))</f>
        <v>Savings &amp; Investments</v>
      </c>
      <c r="I97" s="8">
        <f t="shared" si="3"/>
        <v>3</v>
      </c>
      <c r="J97" s="8">
        <f t="shared" si="4"/>
        <v>2026</v>
      </c>
      <c r="K97" s="24"/>
      <c r="L97" s="7" t="str">
        <f t="shared" si="5"/>
        <v>OK</v>
      </c>
    </row>
    <row r="98" spans="1:12" x14ac:dyDescent="0.25">
      <c r="A98" s="23">
        <v>46109</v>
      </c>
      <c r="B98" s="24" t="s">
        <v>148</v>
      </c>
      <c r="C98" s="24" t="s">
        <v>270</v>
      </c>
      <c r="D98" s="24" t="s">
        <v>271</v>
      </c>
      <c r="E98" s="24" t="s">
        <v>151</v>
      </c>
      <c r="F98" s="24" t="s">
        <v>171</v>
      </c>
      <c r="G98" s="25">
        <v>3200</v>
      </c>
      <c r="H98" s="16" t="str">
        <f>IF(C98="","",IFERROR(INDEX(Settings!$L$4:$L$56,MATCH(C98,Settings!$K$4:$K$56,0)),"Unknown"))</f>
        <v>Income</v>
      </c>
      <c r="I98" s="8">
        <f t="shared" si="3"/>
        <v>3</v>
      </c>
      <c r="J98" s="8">
        <f t="shared" si="4"/>
        <v>2026</v>
      </c>
      <c r="K98" s="24"/>
      <c r="L98" s="7" t="str">
        <f t="shared" si="5"/>
        <v>OK</v>
      </c>
    </row>
    <row r="99" spans="1:12" x14ac:dyDescent="0.25">
      <c r="A99" s="23">
        <v>46113</v>
      </c>
      <c r="B99" s="24" t="s">
        <v>148</v>
      </c>
      <c r="C99" s="24" t="s">
        <v>149</v>
      </c>
      <c r="D99" s="24" t="s">
        <v>272</v>
      </c>
      <c r="E99" s="24" t="s">
        <v>151</v>
      </c>
      <c r="F99" s="24" t="s">
        <v>152</v>
      </c>
      <c r="G99" s="25">
        <v>115000</v>
      </c>
      <c r="H99" s="16" t="str">
        <f>IF(C99="","",IFERROR(INDEX(Settings!$L$4:$L$56,MATCH(C99,Settings!$K$4:$K$56,0)),"Unknown"))</f>
        <v>Income</v>
      </c>
      <c r="I99" s="8">
        <f t="shared" si="3"/>
        <v>4</v>
      </c>
      <c r="J99" s="8">
        <f t="shared" si="4"/>
        <v>2026</v>
      </c>
      <c r="K99" s="24"/>
      <c r="L99" s="7" t="str">
        <f t="shared" si="5"/>
        <v>OK</v>
      </c>
    </row>
    <row r="100" spans="1:12" x14ac:dyDescent="0.25">
      <c r="A100" s="23">
        <v>46114</v>
      </c>
      <c r="B100" s="24" t="s">
        <v>153</v>
      </c>
      <c r="C100" s="24" t="s">
        <v>154</v>
      </c>
      <c r="D100" s="24" t="s">
        <v>155</v>
      </c>
      <c r="E100" s="24" t="s">
        <v>156</v>
      </c>
      <c r="F100" s="24" t="s">
        <v>157</v>
      </c>
      <c r="G100" s="25">
        <v>1100</v>
      </c>
      <c r="H100" s="16" t="str">
        <f>IF(C100="","",IFERROR(INDEX(Settings!$L$4:$L$56,MATCH(C100,Settings!$K$4:$K$56,0)),"Unknown"))</f>
        <v>Lifestyle</v>
      </c>
      <c r="I100" s="8">
        <f t="shared" si="3"/>
        <v>4</v>
      </c>
      <c r="J100" s="8">
        <f t="shared" si="4"/>
        <v>2026</v>
      </c>
      <c r="K100" s="24"/>
      <c r="L100" s="7" t="str">
        <f t="shared" si="5"/>
        <v>OK</v>
      </c>
    </row>
    <row r="101" spans="1:12" x14ac:dyDescent="0.25">
      <c r="A101" s="23">
        <v>46115</v>
      </c>
      <c r="B101" s="24" t="s">
        <v>153</v>
      </c>
      <c r="C101" s="24" t="s">
        <v>158</v>
      </c>
      <c r="D101" s="24" t="s">
        <v>273</v>
      </c>
      <c r="E101" s="24" t="s">
        <v>151</v>
      </c>
      <c r="F101" s="24" t="s">
        <v>160</v>
      </c>
      <c r="G101" s="25">
        <v>22000</v>
      </c>
      <c r="H101" s="16" t="str">
        <f>IF(C101="","",IFERROR(INDEX(Settings!$L$4:$L$56,MATCH(C101,Settings!$K$4:$K$56,0)),"Unknown"))</f>
        <v>Housing &amp; Utilities</v>
      </c>
      <c r="I101" s="8">
        <f t="shared" si="3"/>
        <v>4</v>
      </c>
      <c r="J101" s="8">
        <f t="shared" si="4"/>
        <v>2026</v>
      </c>
      <c r="K101" s="24"/>
      <c r="L101" s="7" t="str">
        <f t="shared" si="5"/>
        <v>OK</v>
      </c>
    </row>
    <row r="102" spans="1:12" x14ac:dyDescent="0.25">
      <c r="A102" s="23">
        <v>46116</v>
      </c>
      <c r="B102" s="24" t="s">
        <v>153</v>
      </c>
      <c r="C102" s="24" t="s">
        <v>161</v>
      </c>
      <c r="D102" s="24" t="s">
        <v>162</v>
      </c>
      <c r="E102" s="24" t="s">
        <v>163</v>
      </c>
      <c r="F102" s="24" t="s">
        <v>164</v>
      </c>
      <c r="G102" s="25">
        <v>3740</v>
      </c>
      <c r="H102" s="16" t="str">
        <f>IF(C102="","",IFERROR(INDEX(Settings!$L$4:$L$56,MATCH(C102,Settings!$K$4:$K$56,0)),"Unknown"))</f>
        <v>Food</v>
      </c>
      <c r="I102" s="8">
        <f t="shared" si="3"/>
        <v>4</v>
      </c>
      <c r="J102" s="8">
        <f t="shared" si="4"/>
        <v>2026</v>
      </c>
      <c r="K102" s="24"/>
      <c r="L102" s="7" t="str">
        <f t="shared" si="5"/>
        <v>OK</v>
      </c>
    </row>
    <row r="103" spans="1:12" x14ac:dyDescent="0.25">
      <c r="A103" s="23">
        <v>46117</v>
      </c>
      <c r="B103" s="24" t="s">
        <v>153</v>
      </c>
      <c r="C103" s="24" t="s">
        <v>165</v>
      </c>
      <c r="D103" s="24" t="s">
        <v>166</v>
      </c>
      <c r="E103" s="24" t="s">
        <v>163</v>
      </c>
      <c r="F103" s="24" t="s">
        <v>167</v>
      </c>
      <c r="G103" s="25">
        <v>3000</v>
      </c>
      <c r="H103" s="16" t="str">
        <f>IF(C103="","",IFERROR(INDEX(Settings!$L$4:$L$56,MATCH(C103,Settings!$K$4:$K$56,0)),"Unknown"))</f>
        <v>Housing &amp; Utilities</v>
      </c>
      <c r="I103" s="8">
        <f t="shared" si="3"/>
        <v>4</v>
      </c>
      <c r="J103" s="8">
        <f t="shared" si="4"/>
        <v>2026</v>
      </c>
      <c r="K103" s="24"/>
      <c r="L103" s="7" t="str">
        <f t="shared" si="5"/>
        <v>OK</v>
      </c>
    </row>
    <row r="104" spans="1:12" x14ac:dyDescent="0.25">
      <c r="A104" s="23">
        <v>46117</v>
      </c>
      <c r="B104" s="24" t="s">
        <v>153</v>
      </c>
      <c r="C104" s="24" t="s">
        <v>168</v>
      </c>
      <c r="D104" s="24" t="s">
        <v>169</v>
      </c>
      <c r="E104" s="24" t="s">
        <v>170</v>
      </c>
      <c r="F104" s="24" t="s">
        <v>171</v>
      </c>
      <c r="G104" s="25">
        <v>15300</v>
      </c>
      <c r="H104" s="16" t="str">
        <f>IF(C104="","",IFERROR(INDEX(Settings!$L$4:$L$56,MATCH(C104,Settings!$K$4:$K$56,0)),"Unknown"))</f>
        <v>Financial Obligations</v>
      </c>
      <c r="I104" s="8">
        <f t="shared" si="3"/>
        <v>4</v>
      </c>
      <c r="J104" s="8">
        <f t="shared" si="4"/>
        <v>2026</v>
      </c>
      <c r="K104" s="24"/>
      <c r="L104" s="7" t="str">
        <f t="shared" si="5"/>
        <v>OK</v>
      </c>
    </row>
    <row r="105" spans="1:12" x14ac:dyDescent="0.25">
      <c r="A105" s="23">
        <v>46117</v>
      </c>
      <c r="B105" s="24" t="s">
        <v>153</v>
      </c>
      <c r="C105" s="24" t="s">
        <v>172</v>
      </c>
      <c r="D105" s="24" t="s">
        <v>173</v>
      </c>
      <c r="E105" s="24" t="s">
        <v>170</v>
      </c>
      <c r="F105" s="24" t="s">
        <v>174</v>
      </c>
      <c r="G105" s="25">
        <v>5000</v>
      </c>
      <c r="H105" s="16" t="str">
        <f>IF(C105="","",IFERROR(INDEX(Settings!$L$4:$L$56,MATCH(C105,Settings!$K$4:$K$56,0)),"Unknown"))</f>
        <v>Savings &amp; Investments</v>
      </c>
      <c r="I105" s="8">
        <f t="shared" si="3"/>
        <v>4</v>
      </c>
      <c r="J105" s="8">
        <f t="shared" si="4"/>
        <v>2026</v>
      </c>
      <c r="K105" s="24"/>
      <c r="L105" s="7" t="str">
        <f t="shared" si="5"/>
        <v>OK</v>
      </c>
    </row>
    <row r="106" spans="1:12" x14ac:dyDescent="0.25">
      <c r="A106" s="23">
        <v>46117</v>
      </c>
      <c r="B106" s="24" t="s">
        <v>153</v>
      </c>
      <c r="C106" s="24" t="s">
        <v>175</v>
      </c>
      <c r="D106" s="24" t="s">
        <v>176</v>
      </c>
      <c r="E106" s="24" t="s">
        <v>151</v>
      </c>
      <c r="F106" s="24" t="s">
        <v>177</v>
      </c>
      <c r="G106" s="25">
        <v>3500</v>
      </c>
      <c r="H106" s="16" t="str">
        <f>IF(C106="","",IFERROR(INDEX(Settings!$L$4:$L$56,MATCH(C106,Settings!$K$4:$K$56,0)),"Unknown"))</f>
        <v>Family &amp; Education</v>
      </c>
      <c r="I106" s="8">
        <f t="shared" si="3"/>
        <v>4</v>
      </c>
      <c r="J106" s="8">
        <f t="shared" si="4"/>
        <v>2026</v>
      </c>
      <c r="K106" s="24"/>
      <c r="L106" s="7" t="str">
        <f t="shared" si="5"/>
        <v>OK</v>
      </c>
    </row>
    <row r="107" spans="1:12" x14ac:dyDescent="0.25">
      <c r="A107" s="23">
        <v>46118</v>
      </c>
      <c r="B107" s="24" t="s">
        <v>153</v>
      </c>
      <c r="C107" s="24" t="s">
        <v>178</v>
      </c>
      <c r="D107" s="24" t="s">
        <v>179</v>
      </c>
      <c r="E107" s="24" t="s">
        <v>180</v>
      </c>
      <c r="F107" s="24" t="s">
        <v>181</v>
      </c>
      <c r="G107" s="25">
        <v>1000</v>
      </c>
      <c r="H107" s="16" t="str">
        <f>IF(C107="","",IFERROR(INDEX(Settings!$L$4:$L$56,MATCH(C107,Settings!$K$4:$K$56,0)),"Unknown"))</f>
        <v>Housing &amp; Utilities</v>
      </c>
      <c r="I107" s="8">
        <f t="shared" si="3"/>
        <v>4</v>
      </c>
      <c r="J107" s="8">
        <f t="shared" si="4"/>
        <v>2026</v>
      </c>
      <c r="K107" s="24"/>
      <c r="L107" s="7" t="str">
        <f t="shared" si="5"/>
        <v>OK</v>
      </c>
    </row>
    <row r="108" spans="1:12" x14ac:dyDescent="0.25">
      <c r="A108" s="23">
        <v>46119</v>
      </c>
      <c r="B108" s="24" t="s">
        <v>153</v>
      </c>
      <c r="C108" s="24" t="s">
        <v>182</v>
      </c>
      <c r="D108" s="24" t="s">
        <v>183</v>
      </c>
      <c r="E108" s="24" t="s">
        <v>180</v>
      </c>
      <c r="F108" s="24" t="s">
        <v>184</v>
      </c>
      <c r="G108" s="25">
        <v>950</v>
      </c>
      <c r="H108" s="16" t="str">
        <f>IF(C108="","",IFERROR(INDEX(Settings!$L$4:$L$56,MATCH(C108,Settings!$K$4:$K$56,0)),"Unknown"))</f>
        <v>Transport</v>
      </c>
      <c r="I108" s="8">
        <f t="shared" si="3"/>
        <v>4</v>
      </c>
      <c r="J108" s="8">
        <f t="shared" si="4"/>
        <v>2026</v>
      </c>
      <c r="K108" s="24"/>
      <c r="L108" s="7" t="str">
        <f t="shared" si="5"/>
        <v>OK</v>
      </c>
    </row>
    <row r="109" spans="1:12" x14ac:dyDescent="0.25">
      <c r="A109" s="23">
        <v>46120</v>
      </c>
      <c r="B109" s="24" t="s">
        <v>153</v>
      </c>
      <c r="C109" s="24" t="s">
        <v>185</v>
      </c>
      <c r="D109" s="24" t="s">
        <v>186</v>
      </c>
      <c r="E109" s="24" t="s">
        <v>180</v>
      </c>
      <c r="F109" s="24" t="s">
        <v>187</v>
      </c>
      <c r="G109" s="25">
        <v>2830</v>
      </c>
      <c r="H109" s="16" t="str">
        <f>IF(C109="","",IFERROR(INDEX(Settings!$L$4:$L$56,MATCH(C109,Settings!$K$4:$K$56,0)),"Unknown"))</f>
        <v>Housing &amp; Utilities</v>
      </c>
      <c r="I109" s="8">
        <f t="shared" si="3"/>
        <v>4</v>
      </c>
      <c r="J109" s="8">
        <f t="shared" si="4"/>
        <v>2026</v>
      </c>
      <c r="K109" s="24"/>
      <c r="L109" s="7" t="str">
        <f t="shared" si="5"/>
        <v>OK</v>
      </c>
    </row>
    <row r="110" spans="1:12" x14ac:dyDescent="0.25">
      <c r="A110" s="23">
        <v>46121</v>
      </c>
      <c r="B110" s="24" t="s">
        <v>153</v>
      </c>
      <c r="C110" s="24" t="s">
        <v>188</v>
      </c>
      <c r="D110" s="24" t="s">
        <v>189</v>
      </c>
      <c r="E110" s="24" t="s">
        <v>180</v>
      </c>
      <c r="F110" s="24" t="s">
        <v>190</v>
      </c>
      <c r="G110" s="25">
        <v>700</v>
      </c>
      <c r="H110" s="16" t="str">
        <f>IF(C110="","",IFERROR(INDEX(Settings!$L$4:$L$56,MATCH(C110,Settings!$K$4:$K$56,0)),"Unknown"))</f>
        <v>Housing &amp; Utilities</v>
      </c>
      <c r="I110" s="8">
        <f t="shared" si="3"/>
        <v>4</v>
      </c>
      <c r="J110" s="8">
        <f t="shared" si="4"/>
        <v>2026</v>
      </c>
      <c r="K110" s="24"/>
      <c r="L110" s="7" t="str">
        <f t="shared" si="5"/>
        <v>OK</v>
      </c>
    </row>
    <row r="111" spans="1:12" x14ac:dyDescent="0.25">
      <c r="A111" s="23">
        <v>46122</v>
      </c>
      <c r="B111" s="24" t="s">
        <v>153</v>
      </c>
      <c r="C111" s="24" t="s">
        <v>193</v>
      </c>
      <c r="D111" s="24" t="s">
        <v>194</v>
      </c>
      <c r="E111" s="24" t="s">
        <v>180</v>
      </c>
      <c r="F111" s="24" t="s">
        <v>195</v>
      </c>
      <c r="G111" s="25">
        <v>1080</v>
      </c>
      <c r="H111" s="16" t="str">
        <f>IF(C111="","",IFERROR(INDEX(Settings!$L$4:$L$56,MATCH(C111,Settings!$K$4:$K$56,0)),"Unknown"))</f>
        <v>Housing &amp; Utilities</v>
      </c>
      <c r="I111" s="8">
        <f t="shared" si="3"/>
        <v>4</v>
      </c>
      <c r="J111" s="8">
        <f t="shared" si="4"/>
        <v>2026</v>
      </c>
      <c r="K111" s="24"/>
      <c r="L111" s="7" t="str">
        <f t="shared" si="5"/>
        <v>OK</v>
      </c>
    </row>
    <row r="112" spans="1:12" x14ac:dyDescent="0.25">
      <c r="A112" s="23">
        <v>46122</v>
      </c>
      <c r="B112" s="24" t="s">
        <v>153</v>
      </c>
      <c r="C112" s="24" t="s">
        <v>196</v>
      </c>
      <c r="D112" s="24" t="s">
        <v>197</v>
      </c>
      <c r="E112" s="24" t="s">
        <v>180</v>
      </c>
      <c r="F112" s="24" t="s">
        <v>198</v>
      </c>
      <c r="G112" s="25">
        <v>5000</v>
      </c>
      <c r="H112" s="16" t="str">
        <f>IF(C112="","",IFERROR(INDEX(Settings!$L$4:$L$56,MATCH(C112,Settings!$K$4:$K$56,0)),"Unknown"))</f>
        <v>Family &amp; Education</v>
      </c>
      <c r="I112" s="8">
        <f t="shared" si="3"/>
        <v>4</v>
      </c>
      <c r="J112" s="8">
        <f t="shared" si="4"/>
        <v>2026</v>
      </c>
      <c r="K112" s="24"/>
      <c r="L112" s="7" t="str">
        <f t="shared" si="5"/>
        <v>OK</v>
      </c>
    </row>
    <row r="113" spans="1:12" x14ac:dyDescent="0.25">
      <c r="A113" s="23">
        <v>46122</v>
      </c>
      <c r="B113" s="24" t="s">
        <v>153</v>
      </c>
      <c r="C113" s="24" t="s">
        <v>257</v>
      </c>
      <c r="D113" s="24" t="s">
        <v>274</v>
      </c>
      <c r="E113" s="24" t="s">
        <v>163</v>
      </c>
      <c r="F113" s="24" t="s">
        <v>275</v>
      </c>
      <c r="G113" s="25">
        <v>2500</v>
      </c>
      <c r="H113" s="16" t="str">
        <f>IF(C113="","",IFERROR(INDEX(Settings!$L$4:$L$56,MATCH(C113,Settings!$K$4:$K$56,0)),"Unknown"))</f>
        <v>Lifestyle</v>
      </c>
      <c r="I113" s="8">
        <f t="shared" si="3"/>
        <v>4</v>
      </c>
      <c r="J113" s="8">
        <f t="shared" si="4"/>
        <v>2026</v>
      </c>
      <c r="K113" s="24"/>
      <c r="L113" s="7" t="str">
        <f t="shared" si="5"/>
        <v>OK</v>
      </c>
    </row>
    <row r="114" spans="1:12" x14ac:dyDescent="0.25">
      <c r="A114" s="23">
        <v>46123</v>
      </c>
      <c r="B114" s="24" t="s">
        <v>153</v>
      </c>
      <c r="C114" s="24" t="s">
        <v>199</v>
      </c>
      <c r="D114" s="24" t="s">
        <v>200</v>
      </c>
      <c r="E114" s="24" t="s">
        <v>163</v>
      </c>
      <c r="F114" s="24" t="s">
        <v>201</v>
      </c>
      <c r="G114" s="25">
        <v>1490</v>
      </c>
      <c r="H114" s="16" t="str">
        <f>IF(C114="","",IFERROR(INDEX(Settings!$L$4:$L$56,MATCH(C114,Settings!$K$4:$K$56,0)),"Unknown"))</f>
        <v>Transport</v>
      </c>
      <c r="I114" s="8">
        <f t="shared" si="3"/>
        <v>4</v>
      </c>
      <c r="J114" s="8">
        <f t="shared" si="4"/>
        <v>2026</v>
      </c>
      <c r="K114" s="24"/>
      <c r="L114" s="7" t="str">
        <f t="shared" si="5"/>
        <v>OK</v>
      </c>
    </row>
    <row r="115" spans="1:12" x14ac:dyDescent="0.25">
      <c r="A115" s="23">
        <v>46124</v>
      </c>
      <c r="B115" s="24" t="s">
        <v>153</v>
      </c>
      <c r="C115" s="24" t="s">
        <v>202</v>
      </c>
      <c r="D115" s="24" t="s">
        <v>203</v>
      </c>
      <c r="E115" s="24" t="s">
        <v>180</v>
      </c>
      <c r="F115" s="24" t="s">
        <v>204</v>
      </c>
      <c r="G115" s="25">
        <v>900</v>
      </c>
      <c r="H115" s="16" t="str">
        <f>IF(C115="","",IFERROR(INDEX(Settings!$L$4:$L$56,MATCH(C115,Settings!$K$4:$K$56,0)),"Unknown"))</f>
        <v>Housing &amp; Utilities</v>
      </c>
      <c r="I115" s="8">
        <f t="shared" si="3"/>
        <v>4</v>
      </c>
      <c r="J115" s="8">
        <f t="shared" si="4"/>
        <v>2026</v>
      </c>
      <c r="K115" s="24"/>
      <c r="L115" s="7" t="str">
        <f t="shared" si="5"/>
        <v>OK</v>
      </c>
    </row>
    <row r="116" spans="1:12" x14ac:dyDescent="0.25">
      <c r="A116" s="23">
        <v>46124</v>
      </c>
      <c r="B116" s="24" t="s">
        <v>153</v>
      </c>
      <c r="C116" s="24" t="s">
        <v>276</v>
      </c>
      <c r="D116" s="24" t="s">
        <v>277</v>
      </c>
      <c r="E116" s="24" t="s">
        <v>206</v>
      </c>
      <c r="F116" s="24" t="s">
        <v>278</v>
      </c>
      <c r="G116" s="25">
        <v>1800</v>
      </c>
      <c r="H116" s="16" t="str">
        <f>IF(C116="","",IFERROR(INDEX(Settings!$L$4:$L$56,MATCH(C116,Settings!$K$4:$K$56,0)),"Unknown"))</f>
        <v>Health</v>
      </c>
      <c r="I116" s="8">
        <f t="shared" si="3"/>
        <v>4</v>
      </c>
      <c r="J116" s="8">
        <f t="shared" si="4"/>
        <v>2026</v>
      </c>
      <c r="K116" s="24"/>
      <c r="L116" s="7" t="str">
        <f t="shared" si="5"/>
        <v>OK</v>
      </c>
    </row>
    <row r="117" spans="1:12" x14ac:dyDescent="0.25">
      <c r="A117" s="23">
        <v>46125</v>
      </c>
      <c r="B117" s="24" t="s">
        <v>153</v>
      </c>
      <c r="C117" s="24" t="s">
        <v>161</v>
      </c>
      <c r="D117" s="24" t="s">
        <v>205</v>
      </c>
      <c r="E117" s="24" t="s">
        <v>206</v>
      </c>
      <c r="F117" s="24" t="s">
        <v>207</v>
      </c>
      <c r="G117" s="25">
        <v>3890</v>
      </c>
      <c r="H117" s="16" t="str">
        <f>IF(C117="","",IFERROR(INDEX(Settings!$L$4:$L$56,MATCH(C117,Settings!$K$4:$K$56,0)),"Unknown"))</f>
        <v>Food</v>
      </c>
      <c r="I117" s="8">
        <f t="shared" si="3"/>
        <v>4</v>
      </c>
      <c r="J117" s="8">
        <f t="shared" si="4"/>
        <v>2026</v>
      </c>
      <c r="K117" s="24"/>
      <c r="L117" s="7" t="str">
        <f t="shared" si="5"/>
        <v>OK</v>
      </c>
    </row>
    <row r="118" spans="1:12" x14ac:dyDescent="0.25">
      <c r="A118" s="23">
        <v>46126</v>
      </c>
      <c r="B118" s="24" t="s">
        <v>153</v>
      </c>
      <c r="C118" s="24" t="s">
        <v>208</v>
      </c>
      <c r="D118" s="24" t="s">
        <v>209</v>
      </c>
      <c r="E118" s="24" t="s">
        <v>156</v>
      </c>
      <c r="F118" s="24" t="s">
        <v>210</v>
      </c>
      <c r="G118" s="25">
        <v>990</v>
      </c>
      <c r="H118" s="16" t="str">
        <f>IF(C118="","",IFERROR(INDEX(Settings!$L$4:$L$56,MATCH(C118,Settings!$K$4:$K$56,0)),"Unknown"))</f>
        <v>Food</v>
      </c>
      <c r="I118" s="8">
        <f t="shared" si="3"/>
        <v>4</v>
      </c>
      <c r="J118" s="8">
        <f t="shared" si="4"/>
        <v>2026</v>
      </c>
      <c r="K118" s="24"/>
      <c r="L118" s="7" t="str">
        <f t="shared" si="5"/>
        <v>OK</v>
      </c>
    </row>
    <row r="119" spans="1:12" x14ac:dyDescent="0.25">
      <c r="A119" s="23">
        <v>46126</v>
      </c>
      <c r="B119" s="24" t="s">
        <v>153</v>
      </c>
      <c r="C119" s="24" t="s">
        <v>260</v>
      </c>
      <c r="D119" s="24" t="s">
        <v>279</v>
      </c>
      <c r="E119" s="24" t="s">
        <v>163</v>
      </c>
      <c r="F119" s="24" t="s">
        <v>262</v>
      </c>
      <c r="G119" s="25">
        <v>3000</v>
      </c>
      <c r="H119" s="16" t="str">
        <f>IF(C119="","",IFERROR(INDEX(Settings!$L$4:$L$56,MATCH(C119,Settings!$K$4:$K$56,0)),"Unknown"))</f>
        <v>Religious &amp; Social</v>
      </c>
      <c r="I119" s="8">
        <f t="shared" si="3"/>
        <v>4</v>
      </c>
      <c r="J119" s="8">
        <f t="shared" si="4"/>
        <v>2026</v>
      </c>
      <c r="K119" s="24"/>
      <c r="L119" s="7" t="str">
        <f t="shared" si="5"/>
        <v>OK</v>
      </c>
    </row>
    <row r="120" spans="1:12" x14ac:dyDescent="0.25">
      <c r="A120" s="23">
        <v>46127</v>
      </c>
      <c r="B120" s="24" t="s">
        <v>153</v>
      </c>
      <c r="C120" s="24" t="s">
        <v>182</v>
      </c>
      <c r="D120" s="24" t="s">
        <v>211</v>
      </c>
      <c r="E120" s="24" t="s">
        <v>163</v>
      </c>
      <c r="F120" s="24" t="s">
        <v>192</v>
      </c>
      <c r="G120" s="25">
        <v>760</v>
      </c>
      <c r="H120" s="16" t="str">
        <f>IF(C120="","",IFERROR(INDEX(Settings!$L$4:$L$56,MATCH(C120,Settings!$K$4:$K$56,0)),"Unknown"))</f>
        <v>Transport</v>
      </c>
      <c r="I120" s="8">
        <f t="shared" si="3"/>
        <v>4</v>
      </c>
      <c r="J120" s="8">
        <f t="shared" si="4"/>
        <v>2026</v>
      </c>
      <c r="K120" s="24"/>
      <c r="L120" s="7" t="str">
        <f t="shared" si="5"/>
        <v>OK</v>
      </c>
    </row>
    <row r="121" spans="1:12" x14ac:dyDescent="0.25">
      <c r="A121" s="23">
        <v>46127</v>
      </c>
      <c r="B121" s="24" t="s">
        <v>153</v>
      </c>
      <c r="C121" s="24" t="s">
        <v>212</v>
      </c>
      <c r="D121" s="24" t="s">
        <v>213</v>
      </c>
      <c r="E121" s="24" t="s">
        <v>170</v>
      </c>
      <c r="F121" s="24" t="s">
        <v>214</v>
      </c>
      <c r="G121" s="25">
        <v>2500</v>
      </c>
      <c r="H121" s="16" t="str">
        <f>IF(C121="","",IFERROR(INDEX(Settings!$L$4:$L$56,MATCH(C121,Settings!$K$4:$K$56,0)),"Unknown"))</f>
        <v>Financial Obligations</v>
      </c>
      <c r="I121" s="8">
        <f t="shared" si="3"/>
        <v>4</v>
      </c>
      <c r="J121" s="8">
        <f t="shared" si="4"/>
        <v>2026</v>
      </c>
      <c r="K121" s="24"/>
      <c r="L121" s="7" t="str">
        <f t="shared" si="5"/>
        <v>OK</v>
      </c>
    </row>
    <row r="122" spans="1:12" x14ac:dyDescent="0.25">
      <c r="A122" s="23">
        <v>46127</v>
      </c>
      <c r="B122" s="24" t="s">
        <v>148</v>
      </c>
      <c r="C122" s="24" t="s">
        <v>215</v>
      </c>
      <c r="D122" s="24" t="s">
        <v>216</v>
      </c>
      <c r="E122" s="24" t="s">
        <v>151</v>
      </c>
      <c r="F122" s="24" t="s">
        <v>217</v>
      </c>
      <c r="G122" s="25">
        <v>7776</v>
      </c>
      <c r="H122" s="16" t="str">
        <f>IF(C122="","",IFERROR(INDEX(Settings!$L$4:$L$56,MATCH(C122,Settings!$K$4:$K$56,0)),"Unknown"))</f>
        <v>Income</v>
      </c>
      <c r="I122" s="8">
        <f t="shared" si="3"/>
        <v>4</v>
      </c>
      <c r="J122" s="8">
        <f t="shared" si="4"/>
        <v>2026</v>
      </c>
      <c r="K122" s="24"/>
      <c r="L122" s="7" t="str">
        <f t="shared" si="5"/>
        <v>OK</v>
      </c>
    </row>
    <row r="123" spans="1:12" x14ac:dyDescent="0.25">
      <c r="A123" s="23">
        <v>46128</v>
      </c>
      <c r="B123" s="24" t="s">
        <v>148</v>
      </c>
      <c r="C123" s="24" t="s">
        <v>241</v>
      </c>
      <c r="D123" s="24" t="s">
        <v>242</v>
      </c>
      <c r="E123" s="24" t="s">
        <v>180</v>
      </c>
      <c r="F123" s="24" t="s">
        <v>243</v>
      </c>
      <c r="G123" s="25">
        <v>14480</v>
      </c>
      <c r="H123" s="16" t="str">
        <f>IF(C123="","",IFERROR(INDEX(Settings!$L$4:$L$56,MATCH(C123,Settings!$K$4:$K$56,0)),"Unknown"))</f>
        <v>Income</v>
      </c>
      <c r="I123" s="8">
        <f t="shared" si="3"/>
        <v>4</v>
      </c>
      <c r="J123" s="8">
        <f t="shared" si="4"/>
        <v>2026</v>
      </c>
      <c r="K123" s="24"/>
      <c r="L123" s="7" t="str">
        <f t="shared" si="5"/>
        <v>OK</v>
      </c>
    </row>
    <row r="124" spans="1:12" x14ac:dyDescent="0.25">
      <c r="A124" s="23">
        <v>46130</v>
      </c>
      <c r="B124" s="24" t="s">
        <v>153</v>
      </c>
      <c r="C124" s="24" t="s">
        <v>218</v>
      </c>
      <c r="D124" s="24" t="s">
        <v>219</v>
      </c>
      <c r="E124" s="24" t="s">
        <v>163</v>
      </c>
      <c r="F124" s="24" t="s">
        <v>220</v>
      </c>
      <c r="G124" s="25">
        <v>1190</v>
      </c>
      <c r="H124" s="16" t="str">
        <f>IF(C124="","",IFERROR(INDEX(Settings!$L$4:$L$56,MATCH(C124,Settings!$K$4:$K$56,0)),"Unknown"))</f>
        <v>Health</v>
      </c>
      <c r="I124" s="8">
        <f t="shared" si="3"/>
        <v>4</v>
      </c>
      <c r="J124" s="8">
        <f t="shared" si="4"/>
        <v>2026</v>
      </c>
      <c r="K124" s="24"/>
      <c r="L124" s="7" t="str">
        <f t="shared" si="5"/>
        <v>OK</v>
      </c>
    </row>
    <row r="125" spans="1:12" x14ac:dyDescent="0.25">
      <c r="A125" s="23">
        <v>46130</v>
      </c>
      <c r="B125" s="24" t="s">
        <v>153</v>
      </c>
      <c r="C125" s="24" t="s">
        <v>221</v>
      </c>
      <c r="D125" s="24" t="s">
        <v>222</v>
      </c>
      <c r="E125" s="24" t="s">
        <v>151</v>
      </c>
      <c r="F125" s="24" t="s">
        <v>223</v>
      </c>
      <c r="G125" s="25">
        <v>5000</v>
      </c>
      <c r="H125" s="16" t="str">
        <f>IF(C125="","",IFERROR(INDEX(Settings!$L$4:$L$56,MATCH(C125,Settings!$K$4:$K$56,0)),"Unknown"))</f>
        <v>Savings &amp; Investments</v>
      </c>
      <c r="I125" s="8">
        <f t="shared" si="3"/>
        <v>4</v>
      </c>
      <c r="J125" s="8">
        <f t="shared" si="4"/>
        <v>2026</v>
      </c>
      <c r="K125" s="24"/>
      <c r="L125" s="7" t="str">
        <f t="shared" si="5"/>
        <v>OK</v>
      </c>
    </row>
    <row r="126" spans="1:12" x14ac:dyDescent="0.25">
      <c r="A126" s="23">
        <v>46131</v>
      </c>
      <c r="B126" s="24" t="s">
        <v>153</v>
      </c>
      <c r="C126" s="24" t="s">
        <v>244</v>
      </c>
      <c r="D126" s="24" t="s">
        <v>245</v>
      </c>
      <c r="E126" s="24" t="s">
        <v>163</v>
      </c>
      <c r="F126" s="24" t="s">
        <v>246</v>
      </c>
      <c r="G126" s="25">
        <v>1530</v>
      </c>
      <c r="H126" s="16" t="str">
        <f>IF(C126="","",IFERROR(INDEX(Settings!$L$4:$L$56,MATCH(C126,Settings!$K$4:$K$56,0)),"Unknown"))</f>
        <v>Lifestyle</v>
      </c>
      <c r="I126" s="8">
        <f t="shared" si="3"/>
        <v>4</v>
      </c>
      <c r="J126" s="8">
        <f t="shared" si="4"/>
        <v>2026</v>
      </c>
      <c r="K126" s="24"/>
      <c r="L126" s="7" t="str">
        <f t="shared" si="5"/>
        <v>OK</v>
      </c>
    </row>
    <row r="127" spans="1:12" x14ac:dyDescent="0.25">
      <c r="A127" s="23">
        <v>46132</v>
      </c>
      <c r="B127" s="24" t="s">
        <v>153</v>
      </c>
      <c r="C127" s="24" t="s">
        <v>224</v>
      </c>
      <c r="D127" s="24" t="s">
        <v>225</v>
      </c>
      <c r="E127" s="24" t="s">
        <v>163</v>
      </c>
      <c r="F127" s="24" t="s">
        <v>226</v>
      </c>
      <c r="G127" s="25">
        <v>860</v>
      </c>
      <c r="H127" s="16" t="str">
        <f>IF(C127="","",IFERROR(INDEX(Settings!$L$4:$L$56,MATCH(C127,Settings!$K$4:$K$56,0)),"Unknown"))</f>
        <v>Lifestyle</v>
      </c>
      <c r="I127" s="8">
        <f t="shared" si="3"/>
        <v>4</v>
      </c>
      <c r="J127" s="8">
        <f t="shared" si="4"/>
        <v>2026</v>
      </c>
      <c r="K127" s="24"/>
      <c r="L127" s="7" t="str">
        <f t="shared" si="5"/>
        <v>OK</v>
      </c>
    </row>
    <row r="128" spans="1:12" x14ac:dyDescent="0.25">
      <c r="A128" s="23">
        <v>46134</v>
      </c>
      <c r="B128" s="24" t="s">
        <v>153</v>
      </c>
      <c r="C128" s="24" t="s">
        <v>161</v>
      </c>
      <c r="D128" s="24" t="s">
        <v>227</v>
      </c>
      <c r="E128" s="24" t="s">
        <v>163</v>
      </c>
      <c r="F128" s="24" t="s">
        <v>164</v>
      </c>
      <c r="G128" s="25">
        <v>3910</v>
      </c>
      <c r="H128" s="16" t="str">
        <f>IF(C128="","",IFERROR(INDEX(Settings!$L$4:$L$56,MATCH(C128,Settings!$K$4:$K$56,0)),"Unknown"))</f>
        <v>Food</v>
      </c>
      <c r="I128" s="8">
        <f t="shared" si="3"/>
        <v>4</v>
      </c>
      <c r="J128" s="8">
        <f t="shared" si="4"/>
        <v>2026</v>
      </c>
      <c r="K128" s="24"/>
      <c r="L128" s="7" t="str">
        <f t="shared" si="5"/>
        <v>OK</v>
      </c>
    </row>
    <row r="129" spans="1:12" x14ac:dyDescent="0.25">
      <c r="A129" s="23">
        <v>46137</v>
      </c>
      <c r="B129" s="24" t="s">
        <v>153</v>
      </c>
      <c r="C129" s="24" t="s">
        <v>228</v>
      </c>
      <c r="D129" s="24" t="s">
        <v>229</v>
      </c>
      <c r="E129" s="24" t="s">
        <v>151</v>
      </c>
      <c r="F129" s="24" t="s">
        <v>230</v>
      </c>
      <c r="G129" s="25">
        <v>2800</v>
      </c>
      <c r="H129" s="16" t="str">
        <f>IF(C129="","",IFERROR(INDEX(Settings!$L$4:$L$56,MATCH(C129,Settings!$K$4:$K$56,0)),"Unknown"))</f>
        <v>Financial Obligations</v>
      </c>
      <c r="I129" s="8">
        <f t="shared" si="3"/>
        <v>4</v>
      </c>
      <c r="J129" s="8">
        <f t="shared" si="4"/>
        <v>2026</v>
      </c>
      <c r="K129" s="24"/>
      <c r="L129" s="7" t="str">
        <f t="shared" si="5"/>
        <v>OK</v>
      </c>
    </row>
    <row r="130" spans="1:12" x14ac:dyDescent="0.25">
      <c r="A130" s="23">
        <v>46140</v>
      </c>
      <c r="B130" s="24" t="s">
        <v>153</v>
      </c>
      <c r="C130" s="24" t="s">
        <v>231</v>
      </c>
      <c r="D130" s="24" t="s">
        <v>232</v>
      </c>
      <c r="E130" s="24" t="s">
        <v>170</v>
      </c>
      <c r="F130" s="24" t="s">
        <v>171</v>
      </c>
      <c r="G130" s="25">
        <v>250</v>
      </c>
      <c r="H130" s="16" t="str">
        <f>IF(C130="","",IFERROR(INDEX(Settings!$L$4:$L$56,MATCH(C130,Settings!$K$4:$K$56,0)),"Unknown"))</f>
        <v>Financial Obligations</v>
      </c>
      <c r="I130" s="8">
        <f t="shared" si="3"/>
        <v>4</v>
      </c>
      <c r="J130" s="8">
        <f t="shared" si="4"/>
        <v>2026</v>
      </c>
      <c r="K130" s="24"/>
      <c r="L130" s="7" t="str">
        <f t="shared" si="5"/>
        <v>OK</v>
      </c>
    </row>
    <row r="131" spans="1:12" x14ac:dyDescent="0.25">
      <c r="A131" s="23">
        <v>46140</v>
      </c>
      <c r="B131" s="24" t="s">
        <v>153</v>
      </c>
      <c r="C131" s="24" t="s">
        <v>233</v>
      </c>
      <c r="D131" s="24" t="s">
        <v>234</v>
      </c>
      <c r="E131" s="24" t="s">
        <v>151</v>
      </c>
      <c r="F131" s="24" t="s">
        <v>235</v>
      </c>
      <c r="G131" s="25">
        <v>3000</v>
      </c>
      <c r="H131" s="16" t="str">
        <f>IF(C131="","",IFERROR(INDEX(Settings!$L$4:$L$56,MATCH(C131,Settings!$K$4:$K$56,0)),"Unknown"))</f>
        <v>Savings &amp; Investments</v>
      </c>
      <c r="I131" s="8">
        <f t="shared" si="3"/>
        <v>4</v>
      </c>
      <c r="J131" s="8">
        <f t="shared" si="4"/>
        <v>2026</v>
      </c>
      <c r="K131" s="24"/>
      <c r="L131" s="7" t="str">
        <f t="shared" si="5"/>
        <v>OK</v>
      </c>
    </row>
    <row r="132" spans="1:12" x14ac:dyDescent="0.25">
      <c r="A132" s="23">
        <v>46143</v>
      </c>
      <c r="B132" s="24" t="s">
        <v>148</v>
      </c>
      <c r="C132" s="24" t="s">
        <v>149</v>
      </c>
      <c r="D132" s="24" t="s">
        <v>280</v>
      </c>
      <c r="E132" s="24" t="s">
        <v>151</v>
      </c>
      <c r="F132" s="24" t="s">
        <v>152</v>
      </c>
      <c r="G132" s="25">
        <v>115000</v>
      </c>
      <c r="H132" s="16" t="str">
        <f>IF(C132="","",IFERROR(INDEX(Settings!$L$4:$L$56,MATCH(C132,Settings!$K$4:$K$56,0)),"Unknown"))</f>
        <v>Income</v>
      </c>
      <c r="I132" s="8">
        <f t="shared" si="3"/>
        <v>5</v>
      </c>
      <c r="J132" s="8">
        <f t="shared" si="4"/>
        <v>2026</v>
      </c>
      <c r="K132" s="24"/>
      <c r="L132" s="7" t="str">
        <f t="shared" si="5"/>
        <v>OK</v>
      </c>
    </row>
    <row r="133" spans="1:12" x14ac:dyDescent="0.25">
      <c r="A133" s="23">
        <v>46144</v>
      </c>
      <c r="B133" s="24" t="s">
        <v>153</v>
      </c>
      <c r="C133" s="24" t="s">
        <v>154</v>
      </c>
      <c r="D133" s="24" t="s">
        <v>155</v>
      </c>
      <c r="E133" s="24" t="s">
        <v>156</v>
      </c>
      <c r="F133" s="24" t="s">
        <v>157</v>
      </c>
      <c r="G133" s="25">
        <v>1100</v>
      </c>
      <c r="H133" s="16" t="str">
        <f>IF(C133="","",IFERROR(INDEX(Settings!$L$4:$L$56,MATCH(C133,Settings!$K$4:$K$56,0)),"Unknown"))</f>
        <v>Lifestyle</v>
      </c>
      <c r="I133" s="8">
        <f t="shared" si="3"/>
        <v>5</v>
      </c>
      <c r="J133" s="8">
        <f t="shared" si="4"/>
        <v>2026</v>
      </c>
      <c r="K133" s="24"/>
      <c r="L133" s="7" t="str">
        <f t="shared" si="5"/>
        <v>OK</v>
      </c>
    </row>
    <row r="134" spans="1:12" x14ac:dyDescent="0.25">
      <c r="A134" s="23">
        <v>46145</v>
      </c>
      <c r="B134" s="24" t="s">
        <v>153</v>
      </c>
      <c r="C134" s="24" t="s">
        <v>158</v>
      </c>
      <c r="D134" s="24" t="s">
        <v>281</v>
      </c>
      <c r="E134" s="24" t="s">
        <v>151</v>
      </c>
      <c r="F134" s="24" t="s">
        <v>160</v>
      </c>
      <c r="G134" s="25">
        <v>22000</v>
      </c>
      <c r="H134" s="16" t="str">
        <f>IF(C134="","",IFERROR(INDEX(Settings!$L$4:$L$56,MATCH(C134,Settings!$K$4:$K$56,0)),"Unknown"))</f>
        <v>Housing &amp; Utilities</v>
      </c>
      <c r="I134" s="8">
        <f t="shared" ref="I134:I197" si="6">IF(A134="","",MONTH(A134))</f>
        <v>5</v>
      </c>
      <c r="J134" s="8">
        <f t="shared" ref="J134:J197" si="7">IF(A134="","",YEAR(A134))</f>
        <v>2026</v>
      </c>
      <c r="K134" s="24"/>
      <c r="L134" s="7" t="str">
        <f t="shared" ref="L134:L197" si="8">IF(OR(B134="",C134=""),"",IF(AND(B134="Income",H134&lt;&gt;"Income"),"Category is not an Income category",IF(AND(B134="Expense",H134="Income"),"Category is an Income category","OK")))</f>
        <v>OK</v>
      </c>
    </row>
    <row r="135" spans="1:12" x14ac:dyDescent="0.25">
      <c r="A135" s="23">
        <v>46146</v>
      </c>
      <c r="B135" s="24" t="s">
        <v>153</v>
      </c>
      <c r="C135" s="24" t="s">
        <v>161</v>
      </c>
      <c r="D135" s="24" t="s">
        <v>162</v>
      </c>
      <c r="E135" s="24" t="s">
        <v>163</v>
      </c>
      <c r="F135" s="24" t="s">
        <v>164</v>
      </c>
      <c r="G135" s="25">
        <v>3440</v>
      </c>
      <c r="H135" s="16" t="str">
        <f>IF(C135="","",IFERROR(INDEX(Settings!$L$4:$L$56,MATCH(C135,Settings!$K$4:$K$56,0)),"Unknown"))</f>
        <v>Food</v>
      </c>
      <c r="I135" s="8">
        <f t="shared" si="6"/>
        <v>5</v>
      </c>
      <c r="J135" s="8">
        <f t="shared" si="7"/>
        <v>2026</v>
      </c>
      <c r="K135" s="24"/>
      <c r="L135" s="7" t="str">
        <f t="shared" si="8"/>
        <v>OK</v>
      </c>
    </row>
    <row r="136" spans="1:12" x14ac:dyDescent="0.25">
      <c r="A136" s="23">
        <v>46147</v>
      </c>
      <c r="B136" s="24" t="s">
        <v>153</v>
      </c>
      <c r="C136" s="24" t="s">
        <v>165</v>
      </c>
      <c r="D136" s="24" t="s">
        <v>166</v>
      </c>
      <c r="E136" s="24" t="s">
        <v>163</v>
      </c>
      <c r="F136" s="24" t="s">
        <v>167</v>
      </c>
      <c r="G136" s="25">
        <v>3000</v>
      </c>
      <c r="H136" s="16" t="str">
        <f>IF(C136="","",IFERROR(INDEX(Settings!$L$4:$L$56,MATCH(C136,Settings!$K$4:$K$56,0)),"Unknown"))</f>
        <v>Housing &amp; Utilities</v>
      </c>
      <c r="I136" s="8">
        <f t="shared" si="6"/>
        <v>5</v>
      </c>
      <c r="J136" s="8">
        <f t="shared" si="7"/>
        <v>2026</v>
      </c>
      <c r="K136" s="24"/>
      <c r="L136" s="7" t="str">
        <f t="shared" si="8"/>
        <v>OK</v>
      </c>
    </row>
    <row r="137" spans="1:12" x14ac:dyDescent="0.25">
      <c r="A137" s="23">
        <v>46147</v>
      </c>
      <c r="B137" s="24" t="s">
        <v>153</v>
      </c>
      <c r="C137" s="24" t="s">
        <v>168</v>
      </c>
      <c r="D137" s="24" t="s">
        <v>169</v>
      </c>
      <c r="E137" s="24" t="s">
        <v>170</v>
      </c>
      <c r="F137" s="24" t="s">
        <v>171</v>
      </c>
      <c r="G137" s="25">
        <v>15300</v>
      </c>
      <c r="H137" s="16" t="str">
        <f>IF(C137="","",IFERROR(INDEX(Settings!$L$4:$L$56,MATCH(C137,Settings!$K$4:$K$56,0)),"Unknown"))</f>
        <v>Financial Obligations</v>
      </c>
      <c r="I137" s="8">
        <f t="shared" si="6"/>
        <v>5</v>
      </c>
      <c r="J137" s="8">
        <f t="shared" si="7"/>
        <v>2026</v>
      </c>
      <c r="K137" s="24"/>
      <c r="L137" s="7" t="str">
        <f t="shared" si="8"/>
        <v>OK</v>
      </c>
    </row>
    <row r="138" spans="1:12" x14ac:dyDescent="0.25">
      <c r="A138" s="23">
        <v>46147</v>
      </c>
      <c r="B138" s="24" t="s">
        <v>153</v>
      </c>
      <c r="C138" s="24" t="s">
        <v>172</v>
      </c>
      <c r="D138" s="24" t="s">
        <v>173</v>
      </c>
      <c r="E138" s="24" t="s">
        <v>170</v>
      </c>
      <c r="F138" s="24" t="s">
        <v>174</v>
      </c>
      <c r="G138" s="25">
        <v>5000</v>
      </c>
      <c r="H138" s="16" t="str">
        <f>IF(C138="","",IFERROR(INDEX(Settings!$L$4:$L$56,MATCH(C138,Settings!$K$4:$K$56,0)),"Unknown"))</f>
        <v>Savings &amp; Investments</v>
      </c>
      <c r="I138" s="8">
        <f t="shared" si="6"/>
        <v>5</v>
      </c>
      <c r="J138" s="8">
        <f t="shared" si="7"/>
        <v>2026</v>
      </c>
      <c r="K138" s="24"/>
      <c r="L138" s="7" t="str">
        <f t="shared" si="8"/>
        <v>OK</v>
      </c>
    </row>
    <row r="139" spans="1:12" x14ac:dyDescent="0.25">
      <c r="A139" s="23">
        <v>46147</v>
      </c>
      <c r="B139" s="24" t="s">
        <v>153</v>
      </c>
      <c r="C139" s="24" t="s">
        <v>175</v>
      </c>
      <c r="D139" s="24" t="s">
        <v>176</v>
      </c>
      <c r="E139" s="24" t="s">
        <v>151</v>
      </c>
      <c r="F139" s="24" t="s">
        <v>177</v>
      </c>
      <c r="G139" s="25">
        <v>3500</v>
      </c>
      <c r="H139" s="16" t="str">
        <f>IF(C139="","",IFERROR(INDEX(Settings!$L$4:$L$56,MATCH(C139,Settings!$K$4:$K$56,0)),"Unknown"))</f>
        <v>Family &amp; Education</v>
      </c>
      <c r="I139" s="8">
        <f t="shared" si="6"/>
        <v>5</v>
      </c>
      <c r="J139" s="8">
        <f t="shared" si="7"/>
        <v>2026</v>
      </c>
      <c r="K139" s="24"/>
      <c r="L139" s="7" t="str">
        <f t="shared" si="8"/>
        <v>OK</v>
      </c>
    </row>
    <row r="140" spans="1:12" x14ac:dyDescent="0.25">
      <c r="A140" s="23">
        <v>46148</v>
      </c>
      <c r="B140" s="24" t="s">
        <v>153</v>
      </c>
      <c r="C140" s="24" t="s">
        <v>178</v>
      </c>
      <c r="D140" s="24" t="s">
        <v>179</v>
      </c>
      <c r="E140" s="24" t="s">
        <v>180</v>
      </c>
      <c r="F140" s="24" t="s">
        <v>181</v>
      </c>
      <c r="G140" s="25">
        <v>1000</v>
      </c>
      <c r="H140" s="16" t="str">
        <f>IF(C140="","",IFERROR(INDEX(Settings!$L$4:$L$56,MATCH(C140,Settings!$K$4:$K$56,0)),"Unknown"))</f>
        <v>Housing &amp; Utilities</v>
      </c>
      <c r="I140" s="8">
        <f t="shared" si="6"/>
        <v>5</v>
      </c>
      <c r="J140" s="8">
        <f t="shared" si="7"/>
        <v>2026</v>
      </c>
      <c r="K140" s="24"/>
      <c r="L140" s="7" t="str">
        <f t="shared" si="8"/>
        <v>OK</v>
      </c>
    </row>
    <row r="141" spans="1:12" x14ac:dyDescent="0.25">
      <c r="A141" s="23">
        <v>46149</v>
      </c>
      <c r="B141" s="24" t="s">
        <v>153</v>
      </c>
      <c r="C141" s="24" t="s">
        <v>182</v>
      </c>
      <c r="D141" s="24" t="s">
        <v>183</v>
      </c>
      <c r="E141" s="24" t="s">
        <v>180</v>
      </c>
      <c r="F141" s="24" t="s">
        <v>184</v>
      </c>
      <c r="G141" s="25">
        <v>830</v>
      </c>
      <c r="H141" s="16" t="str">
        <f>IF(C141="","",IFERROR(INDEX(Settings!$L$4:$L$56,MATCH(C141,Settings!$K$4:$K$56,0)),"Unknown"))</f>
        <v>Transport</v>
      </c>
      <c r="I141" s="8">
        <f t="shared" si="6"/>
        <v>5</v>
      </c>
      <c r="J141" s="8">
        <f t="shared" si="7"/>
        <v>2026</v>
      </c>
      <c r="K141" s="24"/>
      <c r="L141" s="7" t="str">
        <f t="shared" si="8"/>
        <v>OK</v>
      </c>
    </row>
    <row r="142" spans="1:12" x14ac:dyDescent="0.25">
      <c r="A142" s="23">
        <v>46150</v>
      </c>
      <c r="B142" s="24" t="s">
        <v>153</v>
      </c>
      <c r="C142" s="24" t="s">
        <v>185</v>
      </c>
      <c r="D142" s="24" t="s">
        <v>186</v>
      </c>
      <c r="E142" s="24" t="s">
        <v>180</v>
      </c>
      <c r="F142" s="24" t="s">
        <v>187</v>
      </c>
      <c r="G142" s="25">
        <v>3410</v>
      </c>
      <c r="H142" s="16" t="str">
        <f>IF(C142="","",IFERROR(INDEX(Settings!$L$4:$L$56,MATCH(C142,Settings!$K$4:$K$56,0)),"Unknown"))</f>
        <v>Housing &amp; Utilities</v>
      </c>
      <c r="I142" s="8">
        <f t="shared" si="6"/>
        <v>5</v>
      </c>
      <c r="J142" s="8">
        <f t="shared" si="7"/>
        <v>2026</v>
      </c>
      <c r="K142" s="24"/>
      <c r="L142" s="7" t="str">
        <f t="shared" si="8"/>
        <v>OK</v>
      </c>
    </row>
    <row r="143" spans="1:12" x14ac:dyDescent="0.25">
      <c r="A143" s="23">
        <v>46151</v>
      </c>
      <c r="B143" s="24" t="s">
        <v>153</v>
      </c>
      <c r="C143" s="24" t="s">
        <v>188</v>
      </c>
      <c r="D143" s="24" t="s">
        <v>189</v>
      </c>
      <c r="E143" s="24" t="s">
        <v>180</v>
      </c>
      <c r="F143" s="24" t="s">
        <v>190</v>
      </c>
      <c r="G143" s="25">
        <v>700</v>
      </c>
      <c r="H143" s="16" t="str">
        <f>IF(C143="","",IFERROR(INDEX(Settings!$L$4:$L$56,MATCH(C143,Settings!$K$4:$K$56,0)),"Unknown"))</f>
        <v>Housing &amp; Utilities</v>
      </c>
      <c r="I143" s="8">
        <f t="shared" si="6"/>
        <v>5</v>
      </c>
      <c r="J143" s="8">
        <f t="shared" si="7"/>
        <v>2026</v>
      </c>
      <c r="K143" s="24"/>
      <c r="L143" s="7" t="str">
        <f t="shared" si="8"/>
        <v>OK</v>
      </c>
    </row>
    <row r="144" spans="1:12" x14ac:dyDescent="0.25">
      <c r="A144" s="23">
        <v>46152</v>
      </c>
      <c r="B144" s="24" t="s">
        <v>153</v>
      </c>
      <c r="C144" s="24" t="s">
        <v>193</v>
      </c>
      <c r="D144" s="24" t="s">
        <v>194</v>
      </c>
      <c r="E144" s="24" t="s">
        <v>180</v>
      </c>
      <c r="F144" s="24" t="s">
        <v>195</v>
      </c>
      <c r="G144" s="25">
        <v>1080</v>
      </c>
      <c r="H144" s="16" t="str">
        <f>IF(C144="","",IFERROR(INDEX(Settings!$L$4:$L$56,MATCH(C144,Settings!$K$4:$K$56,0)),"Unknown"))</f>
        <v>Housing &amp; Utilities</v>
      </c>
      <c r="I144" s="8">
        <f t="shared" si="6"/>
        <v>5</v>
      </c>
      <c r="J144" s="8">
        <f t="shared" si="7"/>
        <v>2026</v>
      </c>
      <c r="K144" s="24"/>
      <c r="L144" s="7" t="str">
        <f t="shared" si="8"/>
        <v>OK</v>
      </c>
    </row>
    <row r="145" spans="1:12" x14ac:dyDescent="0.25">
      <c r="A145" s="23">
        <v>46152</v>
      </c>
      <c r="B145" s="24" t="s">
        <v>153</v>
      </c>
      <c r="C145" s="24" t="s">
        <v>196</v>
      </c>
      <c r="D145" s="24" t="s">
        <v>197</v>
      </c>
      <c r="E145" s="24" t="s">
        <v>180</v>
      </c>
      <c r="F145" s="24" t="s">
        <v>198</v>
      </c>
      <c r="G145" s="25">
        <v>5000</v>
      </c>
      <c r="H145" s="16" t="str">
        <f>IF(C145="","",IFERROR(INDEX(Settings!$L$4:$L$56,MATCH(C145,Settings!$K$4:$K$56,0)),"Unknown"))</f>
        <v>Family &amp; Education</v>
      </c>
      <c r="I145" s="8">
        <f t="shared" si="6"/>
        <v>5</v>
      </c>
      <c r="J145" s="8">
        <f t="shared" si="7"/>
        <v>2026</v>
      </c>
      <c r="K145" s="24"/>
      <c r="L145" s="7" t="str">
        <f t="shared" si="8"/>
        <v>OK</v>
      </c>
    </row>
    <row r="146" spans="1:12" x14ac:dyDescent="0.25">
      <c r="A146" s="23">
        <v>46153</v>
      </c>
      <c r="B146" s="24" t="s">
        <v>153</v>
      </c>
      <c r="C146" s="24" t="s">
        <v>199</v>
      </c>
      <c r="D146" s="24" t="s">
        <v>200</v>
      </c>
      <c r="E146" s="24" t="s">
        <v>163</v>
      </c>
      <c r="F146" s="24" t="s">
        <v>201</v>
      </c>
      <c r="G146" s="25">
        <v>1370</v>
      </c>
      <c r="H146" s="16" t="str">
        <f>IF(C146="","",IFERROR(INDEX(Settings!$L$4:$L$56,MATCH(C146,Settings!$K$4:$K$56,0)),"Unknown"))</f>
        <v>Transport</v>
      </c>
      <c r="I146" s="8">
        <f t="shared" si="6"/>
        <v>5</v>
      </c>
      <c r="J146" s="8">
        <f t="shared" si="7"/>
        <v>2026</v>
      </c>
      <c r="K146" s="24"/>
      <c r="L146" s="7" t="str">
        <f t="shared" si="8"/>
        <v>OK</v>
      </c>
    </row>
    <row r="147" spans="1:12" x14ac:dyDescent="0.25">
      <c r="A147" s="23">
        <v>46154</v>
      </c>
      <c r="B147" s="24" t="s">
        <v>153</v>
      </c>
      <c r="C147" s="24" t="s">
        <v>202</v>
      </c>
      <c r="D147" s="24" t="s">
        <v>203</v>
      </c>
      <c r="E147" s="24" t="s">
        <v>180</v>
      </c>
      <c r="F147" s="24" t="s">
        <v>204</v>
      </c>
      <c r="G147" s="25">
        <v>900</v>
      </c>
      <c r="H147" s="16" t="str">
        <f>IF(C147="","",IFERROR(INDEX(Settings!$L$4:$L$56,MATCH(C147,Settings!$K$4:$K$56,0)),"Unknown"))</f>
        <v>Housing &amp; Utilities</v>
      </c>
      <c r="I147" s="8">
        <f t="shared" si="6"/>
        <v>5</v>
      </c>
      <c r="J147" s="8">
        <f t="shared" si="7"/>
        <v>2026</v>
      </c>
      <c r="K147" s="24"/>
      <c r="L147" s="7" t="str">
        <f t="shared" si="8"/>
        <v>OK</v>
      </c>
    </row>
    <row r="148" spans="1:12" x14ac:dyDescent="0.25">
      <c r="A148" s="23">
        <v>46155</v>
      </c>
      <c r="B148" s="24" t="s">
        <v>153</v>
      </c>
      <c r="C148" s="24" t="s">
        <v>161</v>
      </c>
      <c r="D148" s="24" t="s">
        <v>205</v>
      </c>
      <c r="E148" s="24" t="s">
        <v>206</v>
      </c>
      <c r="F148" s="24" t="s">
        <v>207</v>
      </c>
      <c r="G148" s="25">
        <v>3450</v>
      </c>
      <c r="H148" s="16" t="str">
        <f>IF(C148="","",IFERROR(INDEX(Settings!$L$4:$L$56,MATCH(C148,Settings!$K$4:$K$56,0)),"Unknown"))</f>
        <v>Food</v>
      </c>
      <c r="I148" s="8">
        <f t="shared" si="6"/>
        <v>5</v>
      </c>
      <c r="J148" s="8">
        <f t="shared" si="7"/>
        <v>2026</v>
      </c>
      <c r="K148" s="24"/>
      <c r="L148" s="7" t="str">
        <f t="shared" si="8"/>
        <v>OK</v>
      </c>
    </row>
    <row r="149" spans="1:12" x14ac:dyDescent="0.25">
      <c r="A149" s="23">
        <v>46156</v>
      </c>
      <c r="B149" s="24" t="s">
        <v>153</v>
      </c>
      <c r="C149" s="24" t="s">
        <v>208</v>
      </c>
      <c r="D149" s="24" t="s">
        <v>209</v>
      </c>
      <c r="E149" s="24" t="s">
        <v>156</v>
      </c>
      <c r="F149" s="24" t="s">
        <v>210</v>
      </c>
      <c r="G149" s="25">
        <v>1030</v>
      </c>
      <c r="H149" s="16" t="str">
        <f>IF(C149="","",IFERROR(INDEX(Settings!$L$4:$L$56,MATCH(C149,Settings!$K$4:$K$56,0)),"Unknown"))</f>
        <v>Food</v>
      </c>
      <c r="I149" s="8">
        <f t="shared" si="6"/>
        <v>5</v>
      </c>
      <c r="J149" s="8">
        <f t="shared" si="7"/>
        <v>2026</v>
      </c>
      <c r="K149" s="24"/>
      <c r="L149" s="7" t="str">
        <f t="shared" si="8"/>
        <v>OK</v>
      </c>
    </row>
    <row r="150" spans="1:12" x14ac:dyDescent="0.25">
      <c r="A150" s="23">
        <v>46157</v>
      </c>
      <c r="B150" s="24" t="s">
        <v>153</v>
      </c>
      <c r="C150" s="24" t="s">
        <v>182</v>
      </c>
      <c r="D150" s="24" t="s">
        <v>211</v>
      </c>
      <c r="E150" s="24" t="s">
        <v>163</v>
      </c>
      <c r="F150" s="24" t="s">
        <v>192</v>
      </c>
      <c r="G150" s="25">
        <v>790</v>
      </c>
      <c r="H150" s="16" t="str">
        <f>IF(C150="","",IFERROR(INDEX(Settings!$L$4:$L$56,MATCH(C150,Settings!$K$4:$K$56,0)),"Unknown"))</f>
        <v>Transport</v>
      </c>
      <c r="I150" s="8">
        <f t="shared" si="6"/>
        <v>5</v>
      </c>
      <c r="J150" s="8">
        <f t="shared" si="7"/>
        <v>2026</v>
      </c>
      <c r="K150" s="24"/>
      <c r="L150" s="7" t="str">
        <f t="shared" si="8"/>
        <v>OK</v>
      </c>
    </row>
    <row r="151" spans="1:12" x14ac:dyDescent="0.25">
      <c r="A151" s="23">
        <v>46157</v>
      </c>
      <c r="B151" s="24" t="s">
        <v>153</v>
      </c>
      <c r="C151" s="24" t="s">
        <v>212</v>
      </c>
      <c r="D151" s="24" t="s">
        <v>213</v>
      </c>
      <c r="E151" s="24" t="s">
        <v>170</v>
      </c>
      <c r="F151" s="24" t="s">
        <v>214</v>
      </c>
      <c r="G151" s="25">
        <v>2500</v>
      </c>
      <c r="H151" s="16" t="str">
        <f>IF(C151="","",IFERROR(INDEX(Settings!$L$4:$L$56,MATCH(C151,Settings!$K$4:$K$56,0)),"Unknown"))</f>
        <v>Financial Obligations</v>
      </c>
      <c r="I151" s="8">
        <f t="shared" si="6"/>
        <v>5</v>
      </c>
      <c r="J151" s="8">
        <f t="shared" si="7"/>
        <v>2026</v>
      </c>
      <c r="K151" s="24"/>
      <c r="L151" s="7" t="str">
        <f t="shared" si="8"/>
        <v>OK</v>
      </c>
    </row>
    <row r="152" spans="1:12" x14ac:dyDescent="0.25">
      <c r="A152" s="23">
        <v>46160</v>
      </c>
      <c r="B152" s="24" t="s">
        <v>153</v>
      </c>
      <c r="C152" s="24" t="s">
        <v>218</v>
      </c>
      <c r="D152" s="24" t="s">
        <v>219</v>
      </c>
      <c r="E152" s="24" t="s">
        <v>163</v>
      </c>
      <c r="F152" s="24" t="s">
        <v>220</v>
      </c>
      <c r="G152" s="25">
        <v>1640</v>
      </c>
      <c r="H152" s="16" t="str">
        <f>IF(C152="","",IFERROR(INDEX(Settings!$L$4:$L$56,MATCH(C152,Settings!$K$4:$K$56,0)),"Unknown"))</f>
        <v>Health</v>
      </c>
      <c r="I152" s="8">
        <f t="shared" si="6"/>
        <v>5</v>
      </c>
      <c r="J152" s="8">
        <f t="shared" si="7"/>
        <v>2026</v>
      </c>
      <c r="K152" s="24"/>
      <c r="L152" s="7" t="str">
        <f t="shared" si="8"/>
        <v>OK</v>
      </c>
    </row>
    <row r="153" spans="1:12" x14ac:dyDescent="0.25">
      <c r="A153" s="23">
        <v>46162</v>
      </c>
      <c r="B153" s="24" t="s">
        <v>153</v>
      </c>
      <c r="C153" s="24" t="s">
        <v>224</v>
      </c>
      <c r="D153" s="24" t="s">
        <v>225</v>
      </c>
      <c r="E153" s="24" t="s">
        <v>163</v>
      </c>
      <c r="F153" s="24" t="s">
        <v>226</v>
      </c>
      <c r="G153" s="25">
        <v>860</v>
      </c>
      <c r="H153" s="16" t="str">
        <f>IF(C153="","",IFERROR(INDEX(Settings!$L$4:$L$56,MATCH(C153,Settings!$K$4:$K$56,0)),"Unknown"))</f>
        <v>Lifestyle</v>
      </c>
      <c r="I153" s="8">
        <f t="shared" si="6"/>
        <v>5</v>
      </c>
      <c r="J153" s="8">
        <f t="shared" si="7"/>
        <v>2026</v>
      </c>
      <c r="K153" s="24"/>
      <c r="L153" s="7" t="str">
        <f t="shared" si="8"/>
        <v>OK</v>
      </c>
    </row>
    <row r="154" spans="1:12" x14ac:dyDescent="0.25">
      <c r="A154" s="23">
        <v>46162</v>
      </c>
      <c r="B154" s="24" t="s">
        <v>148</v>
      </c>
      <c r="C154" s="24" t="s">
        <v>255</v>
      </c>
      <c r="D154" s="24" t="s">
        <v>282</v>
      </c>
      <c r="E154" s="24" t="s">
        <v>151</v>
      </c>
      <c r="F154" s="24" t="s">
        <v>152</v>
      </c>
      <c r="G154" s="25">
        <v>72000</v>
      </c>
      <c r="H154" s="16" t="str">
        <f>IF(C154="","",IFERROR(INDEX(Settings!$L$4:$L$56,MATCH(C154,Settings!$K$4:$K$56,0)),"Unknown"))</f>
        <v>Income</v>
      </c>
      <c r="I154" s="8">
        <f t="shared" si="6"/>
        <v>5</v>
      </c>
      <c r="J154" s="8">
        <f t="shared" si="7"/>
        <v>2026</v>
      </c>
      <c r="K154" s="24"/>
      <c r="L154" s="7" t="str">
        <f t="shared" si="8"/>
        <v>OK</v>
      </c>
    </row>
    <row r="155" spans="1:12" x14ac:dyDescent="0.25">
      <c r="A155" s="23">
        <v>46164</v>
      </c>
      <c r="B155" s="24" t="s">
        <v>153</v>
      </c>
      <c r="C155" s="24" t="s">
        <v>161</v>
      </c>
      <c r="D155" s="24" t="s">
        <v>227</v>
      </c>
      <c r="E155" s="24" t="s">
        <v>163</v>
      </c>
      <c r="F155" s="24" t="s">
        <v>164</v>
      </c>
      <c r="G155" s="25">
        <v>3730</v>
      </c>
      <c r="H155" s="16" t="str">
        <f>IF(C155="","",IFERROR(INDEX(Settings!$L$4:$L$56,MATCH(C155,Settings!$K$4:$K$56,0)),"Unknown"))</f>
        <v>Food</v>
      </c>
      <c r="I155" s="8">
        <f t="shared" si="6"/>
        <v>5</v>
      </c>
      <c r="J155" s="8">
        <f t="shared" si="7"/>
        <v>2026</v>
      </c>
      <c r="K155" s="24"/>
      <c r="L155" s="7" t="str">
        <f t="shared" si="8"/>
        <v>OK</v>
      </c>
    </row>
    <row r="156" spans="1:12" x14ac:dyDescent="0.25">
      <c r="A156" s="23">
        <v>46164</v>
      </c>
      <c r="B156" s="24" t="s">
        <v>153</v>
      </c>
      <c r="C156" s="24" t="s">
        <v>257</v>
      </c>
      <c r="D156" s="24" t="s">
        <v>283</v>
      </c>
      <c r="E156" s="24" t="s">
        <v>206</v>
      </c>
      <c r="F156" s="24" t="s">
        <v>284</v>
      </c>
      <c r="G156" s="25">
        <v>7500</v>
      </c>
      <c r="H156" s="16" t="str">
        <f>IF(C156="","",IFERROR(INDEX(Settings!$L$4:$L$56,MATCH(C156,Settings!$K$4:$K$56,0)),"Unknown"))</f>
        <v>Lifestyle</v>
      </c>
      <c r="I156" s="8">
        <f t="shared" si="6"/>
        <v>5</v>
      </c>
      <c r="J156" s="8">
        <f t="shared" si="7"/>
        <v>2026</v>
      </c>
      <c r="K156" s="24"/>
      <c r="L156" s="7" t="str">
        <f t="shared" si="8"/>
        <v>OK</v>
      </c>
    </row>
    <row r="157" spans="1:12" x14ac:dyDescent="0.25">
      <c r="A157" s="23">
        <v>46166</v>
      </c>
      <c r="B157" s="24" t="s">
        <v>153</v>
      </c>
      <c r="C157" s="24" t="s">
        <v>285</v>
      </c>
      <c r="D157" s="24" t="s">
        <v>286</v>
      </c>
      <c r="E157" s="24" t="s">
        <v>163</v>
      </c>
      <c r="F157" s="24" t="s">
        <v>287</v>
      </c>
      <c r="G157" s="25">
        <v>20000</v>
      </c>
      <c r="H157" s="16" t="str">
        <f>IF(C157="","",IFERROR(INDEX(Settings!$L$4:$L$56,MATCH(C157,Settings!$K$4:$K$56,0)),"Unknown"))</f>
        <v>Religious &amp; Social</v>
      </c>
      <c r="I157" s="8">
        <f t="shared" si="6"/>
        <v>5</v>
      </c>
      <c r="J157" s="8">
        <f t="shared" si="7"/>
        <v>2026</v>
      </c>
      <c r="K157" s="24"/>
      <c r="L157" s="7" t="str">
        <f t="shared" si="8"/>
        <v>OK</v>
      </c>
    </row>
    <row r="158" spans="1:12" x14ac:dyDescent="0.25">
      <c r="A158" s="23">
        <v>46167</v>
      </c>
      <c r="B158" s="24" t="s">
        <v>153</v>
      </c>
      <c r="C158" s="24" t="s">
        <v>228</v>
      </c>
      <c r="D158" s="24" t="s">
        <v>229</v>
      </c>
      <c r="E158" s="24" t="s">
        <v>151</v>
      </c>
      <c r="F158" s="24" t="s">
        <v>230</v>
      </c>
      <c r="G158" s="25">
        <v>2800</v>
      </c>
      <c r="H158" s="16" t="str">
        <f>IF(C158="","",IFERROR(INDEX(Settings!$L$4:$L$56,MATCH(C158,Settings!$K$4:$K$56,0)),"Unknown"))</f>
        <v>Financial Obligations</v>
      </c>
      <c r="I158" s="8">
        <f t="shared" si="6"/>
        <v>5</v>
      </c>
      <c r="J158" s="8">
        <f t="shared" si="7"/>
        <v>2026</v>
      </c>
      <c r="K158" s="24"/>
      <c r="L158" s="7" t="str">
        <f t="shared" si="8"/>
        <v>OK</v>
      </c>
    </row>
    <row r="159" spans="1:12" x14ac:dyDescent="0.25">
      <c r="A159" s="23">
        <v>46167</v>
      </c>
      <c r="B159" s="24" t="s">
        <v>153</v>
      </c>
      <c r="C159" s="24" t="s">
        <v>260</v>
      </c>
      <c r="D159" s="24" t="s">
        <v>288</v>
      </c>
      <c r="E159" s="24" t="s">
        <v>163</v>
      </c>
      <c r="F159" s="24" t="s">
        <v>262</v>
      </c>
      <c r="G159" s="25">
        <v>6500</v>
      </c>
      <c r="H159" s="16" t="str">
        <f>IF(C159="","",IFERROR(INDEX(Settings!$L$4:$L$56,MATCH(C159,Settings!$K$4:$K$56,0)),"Unknown"))</f>
        <v>Religious &amp; Social</v>
      </c>
      <c r="I159" s="8">
        <f t="shared" si="6"/>
        <v>5</v>
      </c>
      <c r="J159" s="8">
        <f t="shared" si="7"/>
        <v>2026</v>
      </c>
      <c r="K159" s="24"/>
      <c r="L159" s="7" t="str">
        <f t="shared" si="8"/>
        <v>OK</v>
      </c>
    </row>
    <row r="160" spans="1:12" x14ac:dyDescent="0.25">
      <c r="A160" s="23">
        <v>46170</v>
      </c>
      <c r="B160" s="24" t="s">
        <v>153</v>
      </c>
      <c r="C160" s="24" t="s">
        <v>231</v>
      </c>
      <c r="D160" s="24" t="s">
        <v>232</v>
      </c>
      <c r="E160" s="24" t="s">
        <v>170</v>
      </c>
      <c r="F160" s="24" t="s">
        <v>171</v>
      </c>
      <c r="G160" s="25">
        <v>250</v>
      </c>
      <c r="H160" s="16" t="str">
        <f>IF(C160="","",IFERROR(INDEX(Settings!$L$4:$L$56,MATCH(C160,Settings!$K$4:$K$56,0)),"Unknown"))</f>
        <v>Financial Obligations</v>
      </c>
      <c r="I160" s="8">
        <f t="shared" si="6"/>
        <v>5</v>
      </c>
      <c r="J160" s="8">
        <f t="shared" si="7"/>
        <v>2026</v>
      </c>
      <c r="K160" s="24"/>
      <c r="L160" s="7" t="str">
        <f t="shared" si="8"/>
        <v>OK</v>
      </c>
    </row>
    <row r="161" spans="1:12" x14ac:dyDescent="0.25">
      <c r="A161" s="23">
        <v>46170</v>
      </c>
      <c r="B161" s="24" t="s">
        <v>153</v>
      </c>
      <c r="C161" s="24" t="s">
        <v>233</v>
      </c>
      <c r="D161" s="24" t="s">
        <v>234</v>
      </c>
      <c r="E161" s="24" t="s">
        <v>151</v>
      </c>
      <c r="F161" s="24" t="s">
        <v>235</v>
      </c>
      <c r="G161" s="25">
        <v>3000</v>
      </c>
      <c r="H161" s="16" t="str">
        <f>IF(C161="","",IFERROR(INDEX(Settings!$L$4:$L$56,MATCH(C161,Settings!$K$4:$K$56,0)),"Unknown"))</f>
        <v>Savings &amp; Investments</v>
      </c>
      <c r="I161" s="8">
        <f t="shared" si="6"/>
        <v>5</v>
      </c>
      <c r="J161" s="8">
        <f t="shared" si="7"/>
        <v>2026</v>
      </c>
      <c r="K161" s="24"/>
      <c r="L161" s="7" t="str">
        <f t="shared" si="8"/>
        <v>OK</v>
      </c>
    </row>
    <row r="162" spans="1:12" x14ac:dyDescent="0.25">
      <c r="A162" s="23">
        <v>46174</v>
      </c>
      <c r="B162" s="24" t="s">
        <v>148</v>
      </c>
      <c r="C162" s="24" t="s">
        <v>149</v>
      </c>
      <c r="D162" s="24" t="s">
        <v>289</v>
      </c>
      <c r="E162" s="24" t="s">
        <v>151</v>
      </c>
      <c r="F162" s="24" t="s">
        <v>152</v>
      </c>
      <c r="G162" s="25">
        <v>115000</v>
      </c>
      <c r="H162" s="16" t="str">
        <f>IF(C162="","",IFERROR(INDEX(Settings!$L$4:$L$56,MATCH(C162,Settings!$K$4:$K$56,0)),"Unknown"))</f>
        <v>Income</v>
      </c>
      <c r="I162" s="8">
        <f t="shared" si="6"/>
        <v>6</v>
      </c>
      <c r="J162" s="8">
        <f t="shared" si="7"/>
        <v>2026</v>
      </c>
      <c r="K162" s="24"/>
      <c r="L162" s="7" t="str">
        <f t="shared" si="8"/>
        <v>OK</v>
      </c>
    </row>
    <row r="163" spans="1:12" x14ac:dyDescent="0.25">
      <c r="A163" s="23">
        <v>46175</v>
      </c>
      <c r="B163" s="24" t="s">
        <v>153</v>
      </c>
      <c r="C163" s="24" t="s">
        <v>154</v>
      </c>
      <c r="D163" s="24" t="s">
        <v>155</v>
      </c>
      <c r="E163" s="24" t="s">
        <v>156</v>
      </c>
      <c r="F163" s="24" t="s">
        <v>157</v>
      </c>
      <c r="G163" s="25">
        <v>1100</v>
      </c>
      <c r="H163" s="16" t="str">
        <f>IF(C163="","",IFERROR(INDEX(Settings!$L$4:$L$56,MATCH(C163,Settings!$K$4:$K$56,0)),"Unknown"))</f>
        <v>Lifestyle</v>
      </c>
      <c r="I163" s="8">
        <f t="shared" si="6"/>
        <v>6</v>
      </c>
      <c r="J163" s="8">
        <f t="shared" si="7"/>
        <v>2026</v>
      </c>
      <c r="K163" s="24"/>
      <c r="L163" s="7" t="str">
        <f t="shared" si="8"/>
        <v>OK</v>
      </c>
    </row>
    <row r="164" spans="1:12" x14ac:dyDescent="0.25">
      <c r="A164" s="23">
        <v>46176</v>
      </c>
      <c r="B164" s="24" t="s">
        <v>153</v>
      </c>
      <c r="C164" s="24" t="s">
        <v>158</v>
      </c>
      <c r="D164" s="24" t="s">
        <v>290</v>
      </c>
      <c r="E164" s="24" t="s">
        <v>151</v>
      </c>
      <c r="F164" s="24" t="s">
        <v>160</v>
      </c>
      <c r="G164" s="25">
        <v>22000</v>
      </c>
      <c r="H164" s="16" t="str">
        <f>IF(C164="","",IFERROR(INDEX(Settings!$L$4:$L$56,MATCH(C164,Settings!$K$4:$K$56,0)),"Unknown"))</f>
        <v>Housing &amp; Utilities</v>
      </c>
      <c r="I164" s="8">
        <f t="shared" si="6"/>
        <v>6</v>
      </c>
      <c r="J164" s="8">
        <f t="shared" si="7"/>
        <v>2026</v>
      </c>
      <c r="K164" s="24"/>
      <c r="L164" s="7" t="str">
        <f t="shared" si="8"/>
        <v>OK</v>
      </c>
    </row>
    <row r="165" spans="1:12" x14ac:dyDescent="0.25">
      <c r="A165" s="23">
        <v>46177</v>
      </c>
      <c r="B165" s="24" t="s">
        <v>153</v>
      </c>
      <c r="C165" s="24" t="s">
        <v>161</v>
      </c>
      <c r="D165" s="24" t="s">
        <v>162</v>
      </c>
      <c r="E165" s="24" t="s">
        <v>163</v>
      </c>
      <c r="F165" s="24" t="s">
        <v>164</v>
      </c>
      <c r="G165" s="25">
        <v>3730</v>
      </c>
      <c r="H165" s="16" t="str">
        <f>IF(C165="","",IFERROR(INDEX(Settings!$L$4:$L$56,MATCH(C165,Settings!$K$4:$K$56,0)),"Unknown"))</f>
        <v>Food</v>
      </c>
      <c r="I165" s="8">
        <f t="shared" si="6"/>
        <v>6</v>
      </c>
      <c r="J165" s="8">
        <f t="shared" si="7"/>
        <v>2026</v>
      </c>
      <c r="K165" s="24"/>
      <c r="L165" s="7" t="str">
        <f t="shared" si="8"/>
        <v>OK</v>
      </c>
    </row>
    <row r="166" spans="1:12" x14ac:dyDescent="0.25">
      <c r="A166" s="23">
        <v>46178</v>
      </c>
      <c r="B166" s="24" t="s">
        <v>153</v>
      </c>
      <c r="C166" s="24" t="s">
        <v>165</v>
      </c>
      <c r="D166" s="24" t="s">
        <v>166</v>
      </c>
      <c r="E166" s="24" t="s">
        <v>163</v>
      </c>
      <c r="F166" s="24" t="s">
        <v>167</v>
      </c>
      <c r="G166" s="25">
        <v>3000</v>
      </c>
      <c r="H166" s="16" t="str">
        <f>IF(C166="","",IFERROR(INDEX(Settings!$L$4:$L$56,MATCH(C166,Settings!$K$4:$K$56,0)),"Unknown"))</f>
        <v>Housing &amp; Utilities</v>
      </c>
      <c r="I166" s="8">
        <f t="shared" si="6"/>
        <v>6</v>
      </c>
      <c r="J166" s="8">
        <f t="shared" si="7"/>
        <v>2026</v>
      </c>
      <c r="K166" s="24"/>
      <c r="L166" s="7" t="str">
        <f t="shared" si="8"/>
        <v>OK</v>
      </c>
    </row>
    <row r="167" spans="1:12" x14ac:dyDescent="0.25">
      <c r="A167" s="23">
        <v>46178</v>
      </c>
      <c r="B167" s="24" t="s">
        <v>153</v>
      </c>
      <c r="C167" s="24" t="s">
        <v>168</v>
      </c>
      <c r="D167" s="24" t="s">
        <v>169</v>
      </c>
      <c r="E167" s="24" t="s">
        <v>170</v>
      </c>
      <c r="F167" s="24" t="s">
        <v>171</v>
      </c>
      <c r="G167" s="25">
        <v>15300</v>
      </c>
      <c r="H167" s="16" t="str">
        <f>IF(C167="","",IFERROR(INDEX(Settings!$L$4:$L$56,MATCH(C167,Settings!$K$4:$K$56,0)),"Unknown"))</f>
        <v>Financial Obligations</v>
      </c>
      <c r="I167" s="8">
        <f t="shared" si="6"/>
        <v>6</v>
      </c>
      <c r="J167" s="8">
        <f t="shared" si="7"/>
        <v>2026</v>
      </c>
      <c r="K167" s="24"/>
      <c r="L167" s="7" t="str">
        <f t="shared" si="8"/>
        <v>OK</v>
      </c>
    </row>
    <row r="168" spans="1:12" x14ac:dyDescent="0.25">
      <c r="A168" s="23">
        <v>46178</v>
      </c>
      <c r="B168" s="24" t="s">
        <v>153</v>
      </c>
      <c r="C168" s="24" t="s">
        <v>172</v>
      </c>
      <c r="D168" s="24" t="s">
        <v>173</v>
      </c>
      <c r="E168" s="24" t="s">
        <v>170</v>
      </c>
      <c r="F168" s="24" t="s">
        <v>174</v>
      </c>
      <c r="G168" s="25">
        <v>5000</v>
      </c>
      <c r="H168" s="16" t="str">
        <f>IF(C168="","",IFERROR(INDEX(Settings!$L$4:$L$56,MATCH(C168,Settings!$K$4:$K$56,0)),"Unknown"))</f>
        <v>Savings &amp; Investments</v>
      </c>
      <c r="I168" s="8">
        <f t="shared" si="6"/>
        <v>6</v>
      </c>
      <c r="J168" s="8">
        <f t="shared" si="7"/>
        <v>2026</v>
      </c>
      <c r="K168" s="24"/>
      <c r="L168" s="7" t="str">
        <f t="shared" si="8"/>
        <v>OK</v>
      </c>
    </row>
    <row r="169" spans="1:12" x14ac:dyDescent="0.25">
      <c r="A169" s="23">
        <v>46178</v>
      </c>
      <c r="B169" s="24" t="s">
        <v>153</v>
      </c>
      <c r="C169" s="24" t="s">
        <v>175</v>
      </c>
      <c r="D169" s="24" t="s">
        <v>176</v>
      </c>
      <c r="E169" s="24" t="s">
        <v>151</v>
      </c>
      <c r="F169" s="24" t="s">
        <v>177</v>
      </c>
      <c r="G169" s="25">
        <v>3500</v>
      </c>
      <c r="H169" s="16" t="str">
        <f>IF(C169="","",IFERROR(INDEX(Settings!$L$4:$L$56,MATCH(C169,Settings!$K$4:$K$56,0)),"Unknown"))</f>
        <v>Family &amp; Education</v>
      </c>
      <c r="I169" s="8">
        <f t="shared" si="6"/>
        <v>6</v>
      </c>
      <c r="J169" s="8">
        <f t="shared" si="7"/>
        <v>2026</v>
      </c>
      <c r="K169" s="24"/>
      <c r="L169" s="7" t="str">
        <f t="shared" si="8"/>
        <v>OK</v>
      </c>
    </row>
    <row r="170" spans="1:12" x14ac:dyDescent="0.25">
      <c r="A170" s="23">
        <v>46179</v>
      </c>
      <c r="B170" s="24" t="s">
        <v>153</v>
      </c>
      <c r="C170" s="24" t="s">
        <v>178</v>
      </c>
      <c r="D170" s="24" t="s">
        <v>179</v>
      </c>
      <c r="E170" s="24" t="s">
        <v>180</v>
      </c>
      <c r="F170" s="24" t="s">
        <v>181</v>
      </c>
      <c r="G170" s="25">
        <v>1000</v>
      </c>
      <c r="H170" s="16" t="str">
        <f>IF(C170="","",IFERROR(INDEX(Settings!$L$4:$L$56,MATCH(C170,Settings!$K$4:$K$56,0)),"Unknown"))</f>
        <v>Housing &amp; Utilities</v>
      </c>
      <c r="I170" s="8">
        <f t="shared" si="6"/>
        <v>6</v>
      </c>
      <c r="J170" s="8">
        <f t="shared" si="7"/>
        <v>2026</v>
      </c>
      <c r="K170" s="24"/>
      <c r="L170" s="7" t="str">
        <f t="shared" si="8"/>
        <v>OK</v>
      </c>
    </row>
    <row r="171" spans="1:12" x14ac:dyDescent="0.25">
      <c r="A171" s="23">
        <v>46180</v>
      </c>
      <c r="B171" s="24" t="s">
        <v>153</v>
      </c>
      <c r="C171" s="24" t="s">
        <v>182</v>
      </c>
      <c r="D171" s="24" t="s">
        <v>183</v>
      </c>
      <c r="E171" s="24" t="s">
        <v>180</v>
      </c>
      <c r="F171" s="24" t="s">
        <v>184</v>
      </c>
      <c r="G171" s="25">
        <v>930</v>
      </c>
      <c r="H171" s="16" t="str">
        <f>IF(C171="","",IFERROR(INDEX(Settings!$L$4:$L$56,MATCH(C171,Settings!$K$4:$K$56,0)),"Unknown"))</f>
        <v>Transport</v>
      </c>
      <c r="I171" s="8">
        <f t="shared" si="6"/>
        <v>6</v>
      </c>
      <c r="J171" s="8">
        <f t="shared" si="7"/>
        <v>2026</v>
      </c>
      <c r="K171" s="24"/>
      <c r="L171" s="7" t="str">
        <f t="shared" si="8"/>
        <v>OK</v>
      </c>
    </row>
    <row r="172" spans="1:12" x14ac:dyDescent="0.25">
      <c r="A172" s="23">
        <v>46181</v>
      </c>
      <c r="B172" s="24" t="s">
        <v>153</v>
      </c>
      <c r="C172" s="24" t="s">
        <v>185</v>
      </c>
      <c r="D172" s="24" t="s">
        <v>186</v>
      </c>
      <c r="E172" s="24" t="s">
        <v>180</v>
      </c>
      <c r="F172" s="24" t="s">
        <v>187</v>
      </c>
      <c r="G172" s="25">
        <v>3640</v>
      </c>
      <c r="H172" s="16" t="str">
        <f>IF(C172="","",IFERROR(INDEX(Settings!$L$4:$L$56,MATCH(C172,Settings!$K$4:$K$56,0)),"Unknown"))</f>
        <v>Housing &amp; Utilities</v>
      </c>
      <c r="I172" s="8">
        <f t="shared" si="6"/>
        <v>6</v>
      </c>
      <c r="J172" s="8">
        <f t="shared" si="7"/>
        <v>2026</v>
      </c>
      <c r="K172" s="24"/>
      <c r="L172" s="7" t="str">
        <f t="shared" si="8"/>
        <v>OK</v>
      </c>
    </row>
    <row r="173" spans="1:12" x14ac:dyDescent="0.25">
      <c r="A173" s="23">
        <v>46182</v>
      </c>
      <c r="B173" s="24" t="s">
        <v>153</v>
      </c>
      <c r="C173" s="24" t="s">
        <v>188</v>
      </c>
      <c r="D173" s="24" t="s">
        <v>189</v>
      </c>
      <c r="E173" s="24" t="s">
        <v>180</v>
      </c>
      <c r="F173" s="24" t="s">
        <v>190</v>
      </c>
      <c r="G173" s="25">
        <v>700</v>
      </c>
      <c r="H173" s="16" t="str">
        <f>IF(C173="","",IFERROR(INDEX(Settings!$L$4:$L$56,MATCH(C173,Settings!$K$4:$K$56,0)),"Unknown"))</f>
        <v>Housing &amp; Utilities</v>
      </c>
      <c r="I173" s="8">
        <f t="shared" si="6"/>
        <v>6</v>
      </c>
      <c r="J173" s="8">
        <f t="shared" si="7"/>
        <v>2026</v>
      </c>
      <c r="K173" s="24"/>
      <c r="L173" s="7" t="str">
        <f t="shared" si="8"/>
        <v>OK</v>
      </c>
    </row>
    <row r="174" spans="1:12" x14ac:dyDescent="0.25">
      <c r="A174" s="23">
        <v>46183</v>
      </c>
      <c r="B174" s="24" t="s">
        <v>153</v>
      </c>
      <c r="C174" s="24" t="s">
        <v>193</v>
      </c>
      <c r="D174" s="24" t="s">
        <v>194</v>
      </c>
      <c r="E174" s="24" t="s">
        <v>180</v>
      </c>
      <c r="F174" s="24" t="s">
        <v>195</v>
      </c>
      <c r="G174" s="25">
        <v>1080</v>
      </c>
      <c r="H174" s="16" t="str">
        <f>IF(C174="","",IFERROR(INDEX(Settings!$L$4:$L$56,MATCH(C174,Settings!$K$4:$K$56,0)),"Unknown"))</f>
        <v>Housing &amp; Utilities</v>
      </c>
      <c r="I174" s="8">
        <f t="shared" si="6"/>
        <v>6</v>
      </c>
      <c r="J174" s="8">
        <f t="shared" si="7"/>
        <v>2026</v>
      </c>
      <c r="K174" s="24"/>
      <c r="L174" s="7" t="str">
        <f t="shared" si="8"/>
        <v>OK</v>
      </c>
    </row>
    <row r="175" spans="1:12" x14ac:dyDescent="0.25">
      <c r="A175" s="23">
        <v>46183</v>
      </c>
      <c r="B175" s="24" t="s">
        <v>153</v>
      </c>
      <c r="C175" s="24" t="s">
        <v>196</v>
      </c>
      <c r="D175" s="24" t="s">
        <v>197</v>
      </c>
      <c r="E175" s="24" t="s">
        <v>180</v>
      </c>
      <c r="F175" s="24" t="s">
        <v>198</v>
      </c>
      <c r="G175" s="25">
        <v>5000</v>
      </c>
      <c r="H175" s="16" t="str">
        <f>IF(C175="","",IFERROR(INDEX(Settings!$L$4:$L$56,MATCH(C175,Settings!$K$4:$K$56,0)),"Unknown"))</f>
        <v>Family &amp; Education</v>
      </c>
      <c r="I175" s="8">
        <f t="shared" si="6"/>
        <v>6</v>
      </c>
      <c r="J175" s="8">
        <f t="shared" si="7"/>
        <v>2026</v>
      </c>
      <c r="K175" s="24"/>
      <c r="L175" s="7" t="str">
        <f t="shared" si="8"/>
        <v>OK</v>
      </c>
    </row>
    <row r="176" spans="1:12" x14ac:dyDescent="0.25">
      <c r="A176" s="23">
        <v>46184</v>
      </c>
      <c r="B176" s="24" t="s">
        <v>153</v>
      </c>
      <c r="C176" s="24" t="s">
        <v>199</v>
      </c>
      <c r="D176" s="24" t="s">
        <v>200</v>
      </c>
      <c r="E176" s="24" t="s">
        <v>163</v>
      </c>
      <c r="F176" s="24" t="s">
        <v>201</v>
      </c>
      <c r="G176" s="25">
        <v>1300</v>
      </c>
      <c r="H176" s="16" t="str">
        <f>IF(C176="","",IFERROR(INDEX(Settings!$L$4:$L$56,MATCH(C176,Settings!$K$4:$K$56,0)),"Unknown"))</f>
        <v>Transport</v>
      </c>
      <c r="I176" s="8">
        <f t="shared" si="6"/>
        <v>6</v>
      </c>
      <c r="J176" s="8">
        <f t="shared" si="7"/>
        <v>2026</v>
      </c>
      <c r="K176" s="24"/>
      <c r="L176" s="7" t="str">
        <f t="shared" si="8"/>
        <v>OK</v>
      </c>
    </row>
    <row r="177" spans="1:12" x14ac:dyDescent="0.25">
      <c r="A177" s="23">
        <v>46185</v>
      </c>
      <c r="B177" s="24" t="s">
        <v>153</v>
      </c>
      <c r="C177" s="24" t="s">
        <v>202</v>
      </c>
      <c r="D177" s="24" t="s">
        <v>203</v>
      </c>
      <c r="E177" s="24" t="s">
        <v>180</v>
      </c>
      <c r="F177" s="24" t="s">
        <v>204</v>
      </c>
      <c r="G177" s="25">
        <v>900</v>
      </c>
      <c r="H177" s="16" t="str">
        <f>IF(C177="","",IFERROR(INDEX(Settings!$L$4:$L$56,MATCH(C177,Settings!$K$4:$K$56,0)),"Unknown"))</f>
        <v>Housing &amp; Utilities</v>
      </c>
      <c r="I177" s="8">
        <f t="shared" si="6"/>
        <v>6</v>
      </c>
      <c r="J177" s="8">
        <f t="shared" si="7"/>
        <v>2026</v>
      </c>
      <c r="K177" s="24"/>
      <c r="L177" s="7" t="str">
        <f t="shared" si="8"/>
        <v>OK</v>
      </c>
    </row>
    <row r="178" spans="1:12" x14ac:dyDescent="0.25">
      <c r="A178" s="23">
        <v>46186</v>
      </c>
      <c r="B178" s="24" t="s">
        <v>153</v>
      </c>
      <c r="C178" s="24" t="s">
        <v>161</v>
      </c>
      <c r="D178" s="24" t="s">
        <v>205</v>
      </c>
      <c r="E178" s="24" t="s">
        <v>206</v>
      </c>
      <c r="F178" s="24" t="s">
        <v>207</v>
      </c>
      <c r="G178" s="25">
        <v>3470</v>
      </c>
      <c r="H178" s="16" t="str">
        <f>IF(C178="","",IFERROR(INDEX(Settings!$L$4:$L$56,MATCH(C178,Settings!$K$4:$K$56,0)),"Unknown"))</f>
        <v>Food</v>
      </c>
      <c r="I178" s="8">
        <f t="shared" si="6"/>
        <v>6</v>
      </c>
      <c r="J178" s="8">
        <f t="shared" si="7"/>
        <v>2026</v>
      </c>
      <c r="K178" s="24"/>
      <c r="L178" s="7" t="str">
        <f t="shared" si="8"/>
        <v>OK</v>
      </c>
    </row>
    <row r="179" spans="1:12" x14ac:dyDescent="0.25">
      <c r="A179" s="23">
        <v>46187</v>
      </c>
      <c r="B179" s="24" t="s">
        <v>153</v>
      </c>
      <c r="C179" s="24" t="s">
        <v>208</v>
      </c>
      <c r="D179" s="24" t="s">
        <v>209</v>
      </c>
      <c r="E179" s="24" t="s">
        <v>156</v>
      </c>
      <c r="F179" s="24" t="s">
        <v>210</v>
      </c>
      <c r="G179" s="25">
        <v>1070</v>
      </c>
      <c r="H179" s="16" t="str">
        <f>IF(C179="","",IFERROR(INDEX(Settings!$L$4:$L$56,MATCH(C179,Settings!$K$4:$K$56,0)),"Unknown"))</f>
        <v>Food</v>
      </c>
      <c r="I179" s="8">
        <f t="shared" si="6"/>
        <v>6</v>
      </c>
      <c r="J179" s="8">
        <f t="shared" si="7"/>
        <v>2026</v>
      </c>
      <c r="K179" s="24"/>
      <c r="L179" s="7" t="str">
        <f t="shared" si="8"/>
        <v>OK</v>
      </c>
    </row>
    <row r="180" spans="1:12" x14ac:dyDescent="0.25">
      <c r="A180" s="23">
        <v>46188</v>
      </c>
      <c r="B180" s="24" t="s">
        <v>153</v>
      </c>
      <c r="C180" s="24" t="s">
        <v>182</v>
      </c>
      <c r="D180" s="24" t="s">
        <v>211</v>
      </c>
      <c r="E180" s="24" t="s">
        <v>163</v>
      </c>
      <c r="F180" s="24" t="s">
        <v>192</v>
      </c>
      <c r="G180" s="25">
        <v>810</v>
      </c>
      <c r="H180" s="16" t="str">
        <f>IF(C180="","",IFERROR(INDEX(Settings!$L$4:$L$56,MATCH(C180,Settings!$K$4:$K$56,0)),"Unknown"))</f>
        <v>Transport</v>
      </c>
      <c r="I180" s="8">
        <f t="shared" si="6"/>
        <v>6</v>
      </c>
      <c r="J180" s="8">
        <f t="shared" si="7"/>
        <v>2026</v>
      </c>
      <c r="K180" s="24"/>
      <c r="L180" s="7" t="str">
        <f t="shared" si="8"/>
        <v>OK</v>
      </c>
    </row>
    <row r="181" spans="1:12" x14ac:dyDescent="0.25">
      <c r="A181" s="23">
        <v>46188</v>
      </c>
      <c r="B181" s="24" t="s">
        <v>153</v>
      </c>
      <c r="C181" s="24" t="s">
        <v>212</v>
      </c>
      <c r="D181" s="24" t="s">
        <v>213</v>
      </c>
      <c r="E181" s="24" t="s">
        <v>170</v>
      </c>
      <c r="F181" s="24" t="s">
        <v>214</v>
      </c>
      <c r="G181" s="25">
        <v>2500</v>
      </c>
      <c r="H181" s="16" t="str">
        <f>IF(C181="","",IFERROR(INDEX(Settings!$L$4:$L$56,MATCH(C181,Settings!$K$4:$K$56,0)),"Unknown"))</f>
        <v>Financial Obligations</v>
      </c>
      <c r="I181" s="8">
        <f t="shared" si="6"/>
        <v>6</v>
      </c>
      <c r="J181" s="8">
        <f t="shared" si="7"/>
        <v>2026</v>
      </c>
      <c r="K181" s="24"/>
      <c r="L181" s="7" t="str">
        <f t="shared" si="8"/>
        <v>OK</v>
      </c>
    </row>
    <row r="182" spans="1:12" x14ac:dyDescent="0.25">
      <c r="A182" s="23">
        <v>46189</v>
      </c>
      <c r="B182" s="24" t="s">
        <v>148</v>
      </c>
      <c r="C182" s="24" t="s">
        <v>241</v>
      </c>
      <c r="D182" s="24" t="s">
        <v>242</v>
      </c>
      <c r="E182" s="24" t="s">
        <v>180</v>
      </c>
      <c r="F182" s="24" t="s">
        <v>243</v>
      </c>
      <c r="G182" s="25">
        <v>13120</v>
      </c>
      <c r="H182" s="16" t="str">
        <f>IF(C182="","",IFERROR(INDEX(Settings!$L$4:$L$56,MATCH(C182,Settings!$K$4:$K$56,0)),"Unknown"))</f>
        <v>Income</v>
      </c>
      <c r="I182" s="8">
        <f t="shared" si="6"/>
        <v>6</v>
      </c>
      <c r="J182" s="8">
        <f t="shared" si="7"/>
        <v>2026</v>
      </c>
      <c r="K182" s="24"/>
      <c r="L182" s="7" t="str">
        <f t="shared" si="8"/>
        <v>OK</v>
      </c>
    </row>
    <row r="183" spans="1:12" x14ac:dyDescent="0.25">
      <c r="A183" s="23">
        <v>46191</v>
      </c>
      <c r="B183" s="24" t="s">
        <v>153</v>
      </c>
      <c r="C183" s="24" t="s">
        <v>218</v>
      </c>
      <c r="D183" s="24" t="s">
        <v>219</v>
      </c>
      <c r="E183" s="24" t="s">
        <v>163</v>
      </c>
      <c r="F183" s="24" t="s">
        <v>220</v>
      </c>
      <c r="G183" s="25">
        <v>1060</v>
      </c>
      <c r="H183" s="16" t="str">
        <f>IF(C183="","",IFERROR(INDEX(Settings!$L$4:$L$56,MATCH(C183,Settings!$K$4:$K$56,0)),"Unknown"))</f>
        <v>Health</v>
      </c>
      <c r="I183" s="8">
        <f t="shared" si="6"/>
        <v>6</v>
      </c>
      <c r="J183" s="8">
        <f t="shared" si="7"/>
        <v>2026</v>
      </c>
      <c r="K183" s="24"/>
      <c r="L183" s="7" t="str">
        <f t="shared" si="8"/>
        <v>OK</v>
      </c>
    </row>
    <row r="184" spans="1:12" x14ac:dyDescent="0.25">
      <c r="A184" s="23">
        <v>46192</v>
      </c>
      <c r="B184" s="24" t="s">
        <v>153</v>
      </c>
      <c r="C184" s="24" t="s">
        <v>244</v>
      </c>
      <c r="D184" s="24" t="s">
        <v>245</v>
      </c>
      <c r="E184" s="24" t="s">
        <v>163</v>
      </c>
      <c r="F184" s="24" t="s">
        <v>246</v>
      </c>
      <c r="G184" s="25">
        <v>1250</v>
      </c>
      <c r="H184" s="16" t="str">
        <f>IF(C184="","",IFERROR(INDEX(Settings!$L$4:$L$56,MATCH(C184,Settings!$K$4:$K$56,0)),"Unknown"))</f>
        <v>Lifestyle</v>
      </c>
      <c r="I184" s="8">
        <f t="shared" si="6"/>
        <v>6</v>
      </c>
      <c r="J184" s="8">
        <f t="shared" si="7"/>
        <v>2026</v>
      </c>
      <c r="K184" s="24"/>
      <c r="L184" s="7" t="str">
        <f t="shared" si="8"/>
        <v>OK</v>
      </c>
    </row>
    <row r="185" spans="1:12" x14ac:dyDescent="0.25">
      <c r="A185" s="23">
        <v>46193</v>
      </c>
      <c r="B185" s="24" t="s">
        <v>153</v>
      </c>
      <c r="C185" s="24" t="s">
        <v>224</v>
      </c>
      <c r="D185" s="24" t="s">
        <v>225</v>
      </c>
      <c r="E185" s="24" t="s">
        <v>163</v>
      </c>
      <c r="F185" s="24" t="s">
        <v>226</v>
      </c>
      <c r="G185" s="25">
        <v>770</v>
      </c>
      <c r="H185" s="16" t="str">
        <f>IF(C185="","",IFERROR(INDEX(Settings!$L$4:$L$56,MATCH(C185,Settings!$K$4:$K$56,0)),"Unknown"))</f>
        <v>Lifestyle</v>
      </c>
      <c r="I185" s="8">
        <f t="shared" si="6"/>
        <v>6</v>
      </c>
      <c r="J185" s="8">
        <f t="shared" si="7"/>
        <v>2026</v>
      </c>
      <c r="K185" s="24"/>
      <c r="L185" s="7" t="str">
        <f t="shared" si="8"/>
        <v>OK</v>
      </c>
    </row>
    <row r="186" spans="1:12" x14ac:dyDescent="0.25">
      <c r="A186" s="23">
        <v>46195</v>
      </c>
      <c r="B186" s="24" t="s">
        <v>153</v>
      </c>
      <c r="C186" s="24" t="s">
        <v>161</v>
      </c>
      <c r="D186" s="24" t="s">
        <v>227</v>
      </c>
      <c r="E186" s="24" t="s">
        <v>163</v>
      </c>
      <c r="F186" s="24" t="s">
        <v>164</v>
      </c>
      <c r="G186" s="25">
        <v>3870</v>
      </c>
      <c r="H186" s="16" t="str">
        <f>IF(C186="","",IFERROR(INDEX(Settings!$L$4:$L$56,MATCH(C186,Settings!$K$4:$K$56,0)),"Unknown"))</f>
        <v>Food</v>
      </c>
      <c r="I186" s="8">
        <f t="shared" si="6"/>
        <v>6</v>
      </c>
      <c r="J186" s="8">
        <f t="shared" si="7"/>
        <v>2026</v>
      </c>
      <c r="K186" s="24"/>
      <c r="L186" s="7" t="str">
        <f t="shared" si="8"/>
        <v>OK</v>
      </c>
    </row>
    <row r="187" spans="1:12" x14ac:dyDescent="0.25">
      <c r="A187" s="23">
        <v>46195</v>
      </c>
      <c r="B187" s="24" t="s">
        <v>153</v>
      </c>
      <c r="C187" s="24" t="s">
        <v>265</v>
      </c>
      <c r="D187" s="24" t="s">
        <v>266</v>
      </c>
      <c r="E187" s="24" t="s">
        <v>163</v>
      </c>
      <c r="F187" s="24" t="s">
        <v>267</v>
      </c>
      <c r="G187" s="25">
        <v>2360</v>
      </c>
      <c r="H187" s="16" t="str">
        <f>IF(C187="","",IFERROR(INDEX(Settings!$L$4:$L$56,MATCH(C187,Settings!$K$4:$K$56,0)),"Unknown"))</f>
        <v>Transport</v>
      </c>
      <c r="I187" s="8">
        <f t="shared" si="6"/>
        <v>6</v>
      </c>
      <c r="J187" s="8">
        <f t="shared" si="7"/>
        <v>2026</v>
      </c>
      <c r="K187" s="24"/>
      <c r="L187" s="7" t="str">
        <f t="shared" si="8"/>
        <v>OK</v>
      </c>
    </row>
    <row r="188" spans="1:12" x14ac:dyDescent="0.25">
      <c r="A188" s="23">
        <v>46197</v>
      </c>
      <c r="B188" s="24" t="s">
        <v>153</v>
      </c>
      <c r="C188" s="24" t="s">
        <v>247</v>
      </c>
      <c r="D188" s="24" t="s">
        <v>291</v>
      </c>
      <c r="E188" s="24" t="s">
        <v>151</v>
      </c>
      <c r="F188" s="24" t="s">
        <v>292</v>
      </c>
      <c r="G188" s="25">
        <v>5000</v>
      </c>
      <c r="H188" s="16" t="str">
        <f>IF(C188="","",IFERROR(INDEX(Settings!$L$4:$L$56,MATCH(C188,Settings!$K$4:$K$56,0)),"Unknown"))</f>
        <v>Financial Obligations</v>
      </c>
      <c r="I188" s="8">
        <f t="shared" si="6"/>
        <v>6</v>
      </c>
      <c r="J188" s="8">
        <f t="shared" si="7"/>
        <v>2026</v>
      </c>
      <c r="K188" s="24"/>
      <c r="L188" s="7" t="str">
        <f t="shared" si="8"/>
        <v>OK</v>
      </c>
    </row>
    <row r="189" spans="1:12" x14ac:dyDescent="0.25">
      <c r="A189" s="23">
        <v>46198</v>
      </c>
      <c r="B189" s="24" t="s">
        <v>153</v>
      </c>
      <c r="C189" s="24" t="s">
        <v>228</v>
      </c>
      <c r="D189" s="24" t="s">
        <v>229</v>
      </c>
      <c r="E189" s="24" t="s">
        <v>151</v>
      </c>
      <c r="F189" s="24" t="s">
        <v>230</v>
      </c>
      <c r="G189" s="25">
        <v>2800</v>
      </c>
      <c r="H189" s="16" t="str">
        <f>IF(C189="","",IFERROR(INDEX(Settings!$L$4:$L$56,MATCH(C189,Settings!$K$4:$K$56,0)),"Unknown"))</f>
        <v>Financial Obligations</v>
      </c>
      <c r="I189" s="8">
        <f t="shared" si="6"/>
        <v>6</v>
      </c>
      <c r="J189" s="8">
        <f t="shared" si="7"/>
        <v>2026</v>
      </c>
      <c r="K189" s="24"/>
      <c r="L189" s="7" t="str">
        <f t="shared" si="8"/>
        <v>OK</v>
      </c>
    </row>
    <row r="190" spans="1:12" x14ac:dyDescent="0.25">
      <c r="A190" s="23">
        <v>46201</v>
      </c>
      <c r="B190" s="24" t="s">
        <v>153</v>
      </c>
      <c r="C190" s="24" t="s">
        <v>231</v>
      </c>
      <c r="D190" s="24" t="s">
        <v>232</v>
      </c>
      <c r="E190" s="24" t="s">
        <v>170</v>
      </c>
      <c r="F190" s="24" t="s">
        <v>171</v>
      </c>
      <c r="G190" s="25">
        <v>250</v>
      </c>
      <c r="H190" s="16" t="str">
        <f>IF(C190="","",IFERROR(INDEX(Settings!$L$4:$L$56,MATCH(C190,Settings!$K$4:$K$56,0)),"Unknown"))</f>
        <v>Financial Obligations</v>
      </c>
      <c r="I190" s="8">
        <f t="shared" si="6"/>
        <v>6</v>
      </c>
      <c r="J190" s="8">
        <f t="shared" si="7"/>
        <v>2026</v>
      </c>
      <c r="K190" s="24"/>
      <c r="L190" s="7" t="str">
        <f t="shared" si="8"/>
        <v>OK</v>
      </c>
    </row>
    <row r="191" spans="1:12" x14ac:dyDescent="0.25">
      <c r="A191" s="23">
        <v>46201</v>
      </c>
      <c r="B191" s="24" t="s">
        <v>153</v>
      </c>
      <c r="C191" s="24" t="s">
        <v>233</v>
      </c>
      <c r="D191" s="24" t="s">
        <v>234</v>
      </c>
      <c r="E191" s="24" t="s">
        <v>151</v>
      </c>
      <c r="F191" s="24" t="s">
        <v>235</v>
      </c>
      <c r="G191" s="25">
        <v>3000</v>
      </c>
      <c r="H191" s="16" t="str">
        <f>IF(C191="","",IFERROR(INDEX(Settings!$L$4:$L$56,MATCH(C191,Settings!$K$4:$K$56,0)),"Unknown"))</f>
        <v>Savings &amp; Investments</v>
      </c>
      <c r="I191" s="8">
        <f t="shared" si="6"/>
        <v>6</v>
      </c>
      <c r="J191" s="8">
        <f t="shared" si="7"/>
        <v>2026</v>
      </c>
      <c r="K191" s="24"/>
      <c r="L191" s="7" t="str">
        <f t="shared" si="8"/>
        <v>OK</v>
      </c>
    </row>
    <row r="192" spans="1:12" x14ac:dyDescent="0.25">
      <c r="A192" s="23">
        <v>46201</v>
      </c>
      <c r="B192" s="24" t="s">
        <v>148</v>
      </c>
      <c r="C192" s="24" t="s">
        <v>270</v>
      </c>
      <c r="D192" s="24" t="s">
        <v>271</v>
      </c>
      <c r="E192" s="24" t="s">
        <v>151</v>
      </c>
      <c r="F192" s="24" t="s">
        <v>171</v>
      </c>
      <c r="G192" s="25">
        <v>3200</v>
      </c>
      <c r="H192" s="16" t="str">
        <f>IF(C192="","",IFERROR(INDEX(Settings!$L$4:$L$56,MATCH(C192,Settings!$K$4:$K$56,0)),"Unknown"))</f>
        <v>Income</v>
      </c>
      <c r="I192" s="8">
        <f t="shared" si="6"/>
        <v>6</v>
      </c>
      <c r="J192" s="8">
        <f t="shared" si="7"/>
        <v>2026</v>
      </c>
      <c r="K192" s="24"/>
      <c r="L192" s="7" t="str">
        <f t="shared" si="8"/>
        <v>OK</v>
      </c>
    </row>
    <row r="193" spans="1:12" x14ac:dyDescent="0.25">
      <c r="A193" s="23">
        <v>46204</v>
      </c>
      <c r="B193" s="24" t="s">
        <v>148</v>
      </c>
      <c r="C193" s="24" t="s">
        <v>149</v>
      </c>
      <c r="D193" s="24" t="s">
        <v>293</v>
      </c>
      <c r="E193" s="24" t="s">
        <v>151</v>
      </c>
      <c r="F193" s="24" t="s">
        <v>152</v>
      </c>
      <c r="G193" s="25">
        <v>115000</v>
      </c>
      <c r="H193" s="16" t="str">
        <f>IF(C193="","",IFERROR(INDEX(Settings!$L$4:$L$56,MATCH(C193,Settings!$K$4:$K$56,0)),"Unknown"))</f>
        <v>Income</v>
      </c>
      <c r="I193" s="8">
        <f t="shared" si="6"/>
        <v>7</v>
      </c>
      <c r="J193" s="8">
        <f t="shared" si="7"/>
        <v>2026</v>
      </c>
      <c r="K193" s="24"/>
      <c r="L193" s="7" t="str">
        <f t="shared" si="8"/>
        <v>OK</v>
      </c>
    </row>
    <row r="194" spans="1:12" x14ac:dyDescent="0.25">
      <c r="A194" s="23">
        <v>46205</v>
      </c>
      <c r="B194" s="24" t="s">
        <v>153</v>
      </c>
      <c r="C194" s="24" t="s">
        <v>154</v>
      </c>
      <c r="D194" s="24" t="s">
        <v>155</v>
      </c>
      <c r="E194" s="24" t="s">
        <v>156</v>
      </c>
      <c r="F194" s="24" t="s">
        <v>157</v>
      </c>
      <c r="G194" s="25">
        <v>1100</v>
      </c>
      <c r="H194" s="16" t="str">
        <f>IF(C194="","",IFERROR(INDEX(Settings!$L$4:$L$56,MATCH(C194,Settings!$K$4:$K$56,0)),"Unknown"))</f>
        <v>Lifestyle</v>
      </c>
      <c r="I194" s="8">
        <f t="shared" si="6"/>
        <v>7</v>
      </c>
      <c r="J194" s="8">
        <f t="shared" si="7"/>
        <v>2026</v>
      </c>
      <c r="K194" s="24"/>
      <c r="L194" s="7" t="str">
        <f t="shared" si="8"/>
        <v>OK</v>
      </c>
    </row>
    <row r="195" spans="1:12" x14ac:dyDescent="0.25">
      <c r="A195" s="23">
        <v>46206</v>
      </c>
      <c r="B195" s="24" t="s">
        <v>153</v>
      </c>
      <c r="C195" s="24" t="s">
        <v>158</v>
      </c>
      <c r="D195" s="24" t="s">
        <v>294</v>
      </c>
      <c r="E195" s="24" t="s">
        <v>151</v>
      </c>
      <c r="F195" s="24" t="s">
        <v>160</v>
      </c>
      <c r="G195" s="25">
        <v>22000</v>
      </c>
      <c r="H195" s="16" t="str">
        <f>IF(C195="","",IFERROR(INDEX(Settings!$L$4:$L$56,MATCH(C195,Settings!$K$4:$K$56,0)),"Unknown"))</f>
        <v>Housing &amp; Utilities</v>
      </c>
      <c r="I195" s="8">
        <f t="shared" si="6"/>
        <v>7</v>
      </c>
      <c r="J195" s="8">
        <f t="shared" si="7"/>
        <v>2026</v>
      </c>
      <c r="K195" s="24"/>
      <c r="L195" s="7" t="str">
        <f t="shared" si="8"/>
        <v>OK</v>
      </c>
    </row>
    <row r="196" spans="1:12" x14ac:dyDescent="0.25">
      <c r="A196" s="23">
        <v>46207</v>
      </c>
      <c r="B196" s="24" t="s">
        <v>153</v>
      </c>
      <c r="C196" s="24" t="s">
        <v>161</v>
      </c>
      <c r="D196" s="24" t="s">
        <v>162</v>
      </c>
      <c r="E196" s="24" t="s">
        <v>163</v>
      </c>
      <c r="F196" s="24" t="s">
        <v>164</v>
      </c>
      <c r="G196" s="25">
        <v>3940</v>
      </c>
      <c r="H196" s="16" t="str">
        <f>IF(C196="","",IFERROR(INDEX(Settings!$L$4:$L$56,MATCH(C196,Settings!$K$4:$K$56,0)),"Unknown"))</f>
        <v>Food</v>
      </c>
      <c r="I196" s="8">
        <f t="shared" si="6"/>
        <v>7</v>
      </c>
      <c r="J196" s="8">
        <f t="shared" si="7"/>
        <v>2026</v>
      </c>
      <c r="K196" s="24"/>
      <c r="L196" s="7" t="str">
        <f t="shared" si="8"/>
        <v>OK</v>
      </c>
    </row>
    <row r="197" spans="1:12" x14ac:dyDescent="0.25">
      <c r="A197" s="23">
        <v>46208</v>
      </c>
      <c r="B197" s="24" t="s">
        <v>153</v>
      </c>
      <c r="C197" s="24" t="s">
        <v>165</v>
      </c>
      <c r="D197" s="24" t="s">
        <v>166</v>
      </c>
      <c r="E197" s="24" t="s">
        <v>163</v>
      </c>
      <c r="F197" s="24" t="s">
        <v>167</v>
      </c>
      <c r="G197" s="25">
        <v>3000</v>
      </c>
      <c r="H197" s="16" t="str">
        <f>IF(C197="","",IFERROR(INDEX(Settings!$L$4:$L$56,MATCH(C197,Settings!$K$4:$K$56,0)),"Unknown"))</f>
        <v>Housing &amp; Utilities</v>
      </c>
      <c r="I197" s="8">
        <f t="shared" si="6"/>
        <v>7</v>
      </c>
      <c r="J197" s="8">
        <f t="shared" si="7"/>
        <v>2026</v>
      </c>
      <c r="K197" s="24"/>
      <c r="L197" s="7" t="str">
        <f t="shared" si="8"/>
        <v>OK</v>
      </c>
    </row>
    <row r="198" spans="1:12" x14ac:dyDescent="0.25">
      <c r="A198" s="23">
        <v>46208</v>
      </c>
      <c r="B198" s="24" t="s">
        <v>153</v>
      </c>
      <c r="C198" s="24" t="s">
        <v>168</v>
      </c>
      <c r="D198" s="24" t="s">
        <v>169</v>
      </c>
      <c r="E198" s="24" t="s">
        <v>170</v>
      </c>
      <c r="F198" s="24" t="s">
        <v>171</v>
      </c>
      <c r="G198" s="25">
        <v>15300</v>
      </c>
      <c r="H198" s="16" t="str">
        <f>IF(C198="","",IFERROR(INDEX(Settings!$L$4:$L$56,MATCH(C198,Settings!$K$4:$K$56,0)),"Unknown"))</f>
        <v>Financial Obligations</v>
      </c>
      <c r="I198" s="8">
        <f t="shared" ref="I198:I261" si="9">IF(A198="","",MONTH(A198))</f>
        <v>7</v>
      </c>
      <c r="J198" s="8">
        <f t="shared" ref="J198:J261" si="10">IF(A198="","",YEAR(A198))</f>
        <v>2026</v>
      </c>
      <c r="K198" s="24"/>
      <c r="L198" s="7" t="str">
        <f t="shared" ref="L198:L261" si="11">IF(OR(B198="",C198=""),"",IF(AND(B198="Income",H198&lt;&gt;"Income"),"Category is not an Income category",IF(AND(B198="Expense",H198="Income"),"Category is an Income category","OK")))</f>
        <v>OK</v>
      </c>
    </row>
    <row r="199" spans="1:12" x14ac:dyDescent="0.25">
      <c r="A199" s="23">
        <v>46208</v>
      </c>
      <c r="B199" s="24" t="s">
        <v>153</v>
      </c>
      <c r="C199" s="24" t="s">
        <v>172</v>
      </c>
      <c r="D199" s="24" t="s">
        <v>173</v>
      </c>
      <c r="E199" s="24" t="s">
        <v>170</v>
      </c>
      <c r="F199" s="24" t="s">
        <v>174</v>
      </c>
      <c r="G199" s="25">
        <v>5000</v>
      </c>
      <c r="H199" s="16" t="str">
        <f>IF(C199="","",IFERROR(INDEX(Settings!$L$4:$L$56,MATCH(C199,Settings!$K$4:$K$56,0)),"Unknown"))</f>
        <v>Savings &amp; Investments</v>
      </c>
      <c r="I199" s="8">
        <f t="shared" si="9"/>
        <v>7</v>
      </c>
      <c r="J199" s="8">
        <f t="shared" si="10"/>
        <v>2026</v>
      </c>
      <c r="K199" s="24"/>
      <c r="L199" s="7" t="str">
        <f t="shared" si="11"/>
        <v>OK</v>
      </c>
    </row>
    <row r="200" spans="1:12" x14ac:dyDescent="0.25">
      <c r="A200" s="23">
        <v>46208</v>
      </c>
      <c r="B200" s="24" t="s">
        <v>153</v>
      </c>
      <c r="C200" s="24" t="s">
        <v>175</v>
      </c>
      <c r="D200" s="24" t="s">
        <v>176</v>
      </c>
      <c r="E200" s="24" t="s">
        <v>151</v>
      </c>
      <c r="F200" s="24" t="s">
        <v>177</v>
      </c>
      <c r="G200" s="25">
        <v>3500</v>
      </c>
      <c r="H200" s="16" t="str">
        <f>IF(C200="","",IFERROR(INDEX(Settings!$L$4:$L$56,MATCH(C200,Settings!$K$4:$K$56,0)),"Unknown"))</f>
        <v>Family &amp; Education</v>
      </c>
      <c r="I200" s="8">
        <f t="shared" si="9"/>
        <v>7</v>
      </c>
      <c r="J200" s="8">
        <f t="shared" si="10"/>
        <v>2026</v>
      </c>
      <c r="K200" s="24"/>
      <c r="L200" s="7" t="str">
        <f t="shared" si="11"/>
        <v>OK</v>
      </c>
    </row>
    <row r="201" spans="1:12" x14ac:dyDescent="0.25">
      <c r="A201" s="23">
        <v>46209</v>
      </c>
      <c r="B201" s="24" t="s">
        <v>153</v>
      </c>
      <c r="C201" s="24" t="s">
        <v>178</v>
      </c>
      <c r="D201" s="24" t="s">
        <v>179</v>
      </c>
      <c r="E201" s="24" t="s">
        <v>180</v>
      </c>
      <c r="F201" s="24" t="s">
        <v>181</v>
      </c>
      <c r="G201" s="25">
        <v>1000</v>
      </c>
      <c r="H201" s="16" t="str">
        <f>IF(C201="","",IFERROR(INDEX(Settings!$L$4:$L$56,MATCH(C201,Settings!$K$4:$K$56,0)),"Unknown"))</f>
        <v>Housing &amp; Utilities</v>
      </c>
      <c r="I201" s="8">
        <f t="shared" si="9"/>
        <v>7</v>
      </c>
      <c r="J201" s="8">
        <f t="shared" si="10"/>
        <v>2026</v>
      </c>
      <c r="K201" s="24"/>
      <c r="L201" s="7" t="str">
        <f t="shared" si="11"/>
        <v>OK</v>
      </c>
    </row>
    <row r="202" spans="1:12" x14ac:dyDescent="0.25">
      <c r="A202" s="23">
        <v>46210</v>
      </c>
      <c r="B202" s="24" t="s">
        <v>153</v>
      </c>
      <c r="C202" s="24" t="s">
        <v>182</v>
      </c>
      <c r="D202" s="24" t="s">
        <v>183</v>
      </c>
      <c r="E202" s="24" t="s">
        <v>180</v>
      </c>
      <c r="F202" s="24" t="s">
        <v>184</v>
      </c>
      <c r="G202" s="25">
        <v>930</v>
      </c>
      <c r="H202" s="16" t="str">
        <f>IF(C202="","",IFERROR(INDEX(Settings!$L$4:$L$56,MATCH(C202,Settings!$K$4:$K$56,0)),"Unknown"))</f>
        <v>Transport</v>
      </c>
      <c r="I202" s="8">
        <f t="shared" si="9"/>
        <v>7</v>
      </c>
      <c r="J202" s="8">
        <f t="shared" si="10"/>
        <v>2026</v>
      </c>
      <c r="K202" s="24"/>
      <c r="L202" s="7" t="str">
        <f t="shared" si="11"/>
        <v>OK</v>
      </c>
    </row>
    <row r="203" spans="1:12" x14ac:dyDescent="0.25">
      <c r="A203" s="23">
        <v>46211</v>
      </c>
      <c r="B203" s="24" t="s">
        <v>153</v>
      </c>
      <c r="C203" s="24" t="s">
        <v>185</v>
      </c>
      <c r="D203" s="24" t="s">
        <v>186</v>
      </c>
      <c r="E203" s="24" t="s">
        <v>180</v>
      </c>
      <c r="F203" s="24" t="s">
        <v>187</v>
      </c>
      <c r="G203" s="25">
        <v>3840</v>
      </c>
      <c r="H203" s="16" t="str">
        <f>IF(C203="","",IFERROR(INDEX(Settings!$L$4:$L$56,MATCH(C203,Settings!$K$4:$K$56,0)),"Unknown"))</f>
        <v>Housing &amp; Utilities</v>
      </c>
      <c r="I203" s="8">
        <f t="shared" si="9"/>
        <v>7</v>
      </c>
      <c r="J203" s="8">
        <f t="shared" si="10"/>
        <v>2026</v>
      </c>
      <c r="K203" s="24"/>
      <c r="L203" s="7" t="str">
        <f t="shared" si="11"/>
        <v>OK</v>
      </c>
    </row>
    <row r="204" spans="1:12" x14ac:dyDescent="0.25">
      <c r="A204" s="23">
        <v>46212</v>
      </c>
      <c r="B204" s="24" t="s">
        <v>153</v>
      </c>
      <c r="C204" s="24" t="s">
        <v>188</v>
      </c>
      <c r="D204" s="24" t="s">
        <v>189</v>
      </c>
      <c r="E204" s="24" t="s">
        <v>180</v>
      </c>
      <c r="F204" s="24" t="s">
        <v>190</v>
      </c>
      <c r="G204" s="25">
        <v>700</v>
      </c>
      <c r="H204" s="16" t="str">
        <f>IF(C204="","",IFERROR(INDEX(Settings!$L$4:$L$56,MATCH(C204,Settings!$K$4:$K$56,0)),"Unknown"))</f>
        <v>Housing &amp; Utilities</v>
      </c>
      <c r="I204" s="8">
        <f t="shared" si="9"/>
        <v>7</v>
      </c>
      <c r="J204" s="8">
        <f t="shared" si="10"/>
        <v>2026</v>
      </c>
      <c r="K204" s="24"/>
      <c r="L204" s="7" t="str">
        <f t="shared" si="11"/>
        <v>OK</v>
      </c>
    </row>
    <row r="205" spans="1:12" x14ac:dyDescent="0.25">
      <c r="A205" s="23">
        <v>46212</v>
      </c>
      <c r="B205" s="24" t="s">
        <v>153</v>
      </c>
      <c r="C205" s="24" t="s">
        <v>191</v>
      </c>
      <c r="D205" s="24" t="s">
        <v>191</v>
      </c>
      <c r="E205" s="24" t="s">
        <v>163</v>
      </c>
      <c r="F205" s="24" t="s">
        <v>192</v>
      </c>
      <c r="G205" s="25">
        <v>900</v>
      </c>
      <c r="H205" s="16" t="str">
        <f>IF(C205="","",IFERROR(INDEX(Settings!$L$4:$L$56,MATCH(C205,Settings!$K$4:$K$56,0)),"Unknown"))</f>
        <v>Other</v>
      </c>
      <c r="I205" s="8">
        <f t="shared" si="9"/>
        <v>7</v>
      </c>
      <c r="J205" s="8">
        <f t="shared" si="10"/>
        <v>2026</v>
      </c>
      <c r="K205" s="24"/>
      <c r="L205" s="7" t="str">
        <f t="shared" si="11"/>
        <v>OK</v>
      </c>
    </row>
    <row r="206" spans="1:12" x14ac:dyDescent="0.25">
      <c r="A206" s="23">
        <v>46213</v>
      </c>
      <c r="B206" s="24" t="s">
        <v>153</v>
      </c>
      <c r="C206" s="24" t="s">
        <v>193</v>
      </c>
      <c r="D206" s="24" t="s">
        <v>194</v>
      </c>
      <c r="E206" s="24" t="s">
        <v>180</v>
      </c>
      <c r="F206" s="24" t="s">
        <v>195</v>
      </c>
      <c r="G206" s="25">
        <v>1080</v>
      </c>
      <c r="H206" s="16" t="str">
        <f>IF(C206="","",IFERROR(INDEX(Settings!$L$4:$L$56,MATCH(C206,Settings!$K$4:$K$56,0)),"Unknown"))</f>
        <v>Housing &amp; Utilities</v>
      </c>
      <c r="I206" s="8">
        <f t="shared" si="9"/>
        <v>7</v>
      </c>
      <c r="J206" s="8">
        <f t="shared" si="10"/>
        <v>2026</v>
      </c>
      <c r="K206" s="24"/>
      <c r="L206" s="7" t="str">
        <f t="shared" si="11"/>
        <v>OK</v>
      </c>
    </row>
    <row r="207" spans="1:12" x14ac:dyDescent="0.25">
      <c r="A207" s="23">
        <v>46213</v>
      </c>
      <c r="B207" s="24" t="s">
        <v>153</v>
      </c>
      <c r="C207" s="24" t="s">
        <v>196</v>
      </c>
      <c r="D207" s="24" t="s">
        <v>197</v>
      </c>
      <c r="E207" s="24" t="s">
        <v>180</v>
      </c>
      <c r="F207" s="24" t="s">
        <v>198</v>
      </c>
      <c r="G207" s="25">
        <v>5000</v>
      </c>
      <c r="H207" s="16" t="str">
        <f>IF(C207="","",IFERROR(INDEX(Settings!$L$4:$L$56,MATCH(C207,Settings!$K$4:$K$56,0)),"Unknown"))</f>
        <v>Family &amp; Education</v>
      </c>
      <c r="I207" s="8">
        <f t="shared" si="9"/>
        <v>7</v>
      </c>
      <c r="J207" s="8">
        <f t="shared" si="10"/>
        <v>2026</v>
      </c>
      <c r="K207" s="24"/>
      <c r="L207" s="7" t="str">
        <f t="shared" si="11"/>
        <v>OK</v>
      </c>
    </row>
    <row r="208" spans="1:12" x14ac:dyDescent="0.25">
      <c r="A208" s="23">
        <v>46214</v>
      </c>
      <c r="B208" s="24" t="s">
        <v>153</v>
      </c>
      <c r="C208" s="24" t="s">
        <v>199</v>
      </c>
      <c r="D208" s="24" t="s">
        <v>200</v>
      </c>
      <c r="E208" s="24" t="s">
        <v>163</v>
      </c>
      <c r="F208" s="24" t="s">
        <v>201</v>
      </c>
      <c r="G208" s="25">
        <v>1390</v>
      </c>
      <c r="H208" s="16" t="str">
        <f>IF(C208="","",IFERROR(INDEX(Settings!$L$4:$L$56,MATCH(C208,Settings!$K$4:$K$56,0)),"Unknown"))</f>
        <v>Transport</v>
      </c>
      <c r="I208" s="8">
        <f t="shared" si="9"/>
        <v>7</v>
      </c>
      <c r="J208" s="8">
        <f t="shared" si="10"/>
        <v>2026</v>
      </c>
      <c r="K208" s="24"/>
      <c r="L208" s="7" t="str">
        <f t="shared" si="11"/>
        <v>OK</v>
      </c>
    </row>
    <row r="209" spans="1:12" x14ac:dyDescent="0.25">
      <c r="A209" s="23">
        <v>46215</v>
      </c>
      <c r="B209" s="24" t="s">
        <v>153</v>
      </c>
      <c r="C209" s="24" t="s">
        <v>202</v>
      </c>
      <c r="D209" s="24" t="s">
        <v>203</v>
      </c>
      <c r="E209" s="24" t="s">
        <v>180</v>
      </c>
      <c r="F209" s="24" t="s">
        <v>204</v>
      </c>
      <c r="G209" s="25">
        <v>900</v>
      </c>
      <c r="H209" s="16" t="str">
        <f>IF(C209="","",IFERROR(INDEX(Settings!$L$4:$L$56,MATCH(C209,Settings!$K$4:$K$56,0)),"Unknown"))</f>
        <v>Housing &amp; Utilities</v>
      </c>
      <c r="I209" s="8">
        <f t="shared" si="9"/>
        <v>7</v>
      </c>
      <c r="J209" s="8">
        <f t="shared" si="10"/>
        <v>2026</v>
      </c>
      <c r="K209" s="24"/>
      <c r="L209" s="7" t="str">
        <f t="shared" si="11"/>
        <v>OK</v>
      </c>
    </row>
    <row r="210" spans="1:12" x14ac:dyDescent="0.25">
      <c r="A210" s="23">
        <v>46216</v>
      </c>
      <c r="B210" s="24" t="s">
        <v>153</v>
      </c>
      <c r="C210" s="24" t="s">
        <v>161</v>
      </c>
      <c r="D210" s="24" t="s">
        <v>205</v>
      </c>
      <c r="E210" s="24" t="s">
        <v>206</v>
      </c>
      <c r="F210" s="24" t="s">
        <v>207</v>
      </c>
      <c r="G210" s="25">
        <v>3850</v>
      </c>
      <c r="H210" s="16" t="str">
        <f>IF(C210="","",IFERROR(INDEX(Settings!$L$4:$L$56,MATCH(C210,Settings!$K$4:$K$56,0)),"Unknown"))</f>
        <v>Food</v>
      </c>
      <c r="I210" s="8">
        <f t="shared" si="9"/>
        <v>7</v>
      </c>
      <c r="J210" s="8">
        <f t="shared" si="10"/>
        <v>2026</v>
      </c>
      <c r="K210" s="24"/>
      <c r="L210" s="7" t="str">
        <f t="shared" si="11"/>
        <v>OK</v>
      </c>
    </row>
    <row r="211" spans="1:12" x14ac:dyDescent="0.25">
      <c r="A211" s="23">
        <v>46217</v>
      </c>
      <c r="B211" s="24" t="s">
        <v>153</v>
      </c>
      <c r="C211" s="24" t="s">
        <v>208</v>
      </c>
      <c r="D211" s="24" t="s">
        <v>209</v>
      </c>
      <c r="E211" s="24" t="s">
        <v>156</v>
      </c>
      <c r="F211" s="24" t="s">
        <v>210</v>
      </c>
      <c r="G211" s="25">
        <v>1070</v>
      </c>
      <c r="H211" s="16" t="str">
        <f>IF(C211="","",IFERROR(INDEX(Settings!$L$4:$L$56,MATCH(C211,Settings!$K$4:$K$56,0)),"Unknown"))</f>
        <v>Food</v>
      </c>
      <c r="I211" s="8">
        <f t="shared" si="9"/>
        <v>7</v>
      </c>
      <c r="J211" s="8">
        <f t="shared" si="10"/>
        <v>2026</v>
      </c>
      <c r="K211" s="24"/>
      <c r="L211" s="7" t="str">
        <f t="shared" si="11"/>
        <v>OK</v>
      </c>
    </row>
    <row r="212" spans="1:12" x14ac:dyDescent="0.25">
      <c r="A212" s="23">
        <v>46218</v>
      </c>
      <c r="B212" s="24" t="s">
        <v>153</v>
      </c>
      <c r="C212" s="24" t="s">
        <v>182</v>
      </c>
      <c r="D212" s="24" t="s">
        <v>211</v>
      </c>
      <c r="E212" s="24" t="s">
        <v>163</v>
      </c>
      <c r="F212" s="24" t="s">
        <v>192</v>
      </c>
      <c r="G212" s="25">
        <v>780</v>
      </c>
      <c r="H212" s="16" t="str">
        <f>IF(C212="","",IFERROR(INDEX(Settings!$L$4:$L$56,MATCH(C212,Settings!$K$4:$K$56,0)),"Unknown"))</f>
        <v>Transport</v>
      </c>
      <c r="I212" s="8">
        <f t="shared" si="9"/>
        <v>7</v>
      </c>
      <c r="J212" s="8">
        <f t="shared" si="10"/>
        <v>2026</v>
      </c>
      <c r="K212" s="24"/>
      <c r="L212" s="7" t="str">
        <f t="shared" si="11"/>
        <v>OK</v>
      </c>
    </row>
    <row r="213" spans="1:12" x14ac:dyDescent="0.25">
      <c r="A213" s="23">
        <v>46218</v>
      </c>
      <c r="B213" s="24" t="s">
        <v>153</v>
      </c>
      <c r="C213" s="24" t="s">
        <v>212</v>
      </c>
      <c r="D213" s="24" t="s">
        <v>213</v>
      </c>
      <c r="E213" s="24" t="s">
        <v>170</v>
      </c>
      <c r="F213" s="24" t="s">
        <v>214</v>
      </c>
      <c r="G213" s="25">
        <v>2500</v>
      </c>
      <c r="H213" s="16" t="str">
        <f>IF(C213="","",IFERROR(INDEX(Settings!$L$4:$L$56,MATCH(C213,Settings!$K$4:$K$56,0)),"Unknown"))</f>
        <v>Financial Obligations</v>
      </c>
      <c r="I213" s="8">
        <f t="shared" si="9"/>
        <v>7</v>
      </c>
      <c r="J213" s="8">
        <f t="shared" si="10"/>
        <v>2026</v>
      </c>
      <c r="K213" s="24"/>
      <c r="L213" s="7" t="str">
        <f t="shared" si="11"/>
        <v>OK</v>
      </c>
    </row>
    <row r="214" spans="1:12" x14ac:dyDescent="0.25">
      <c r="A214" s="23">
        <v>46218</v>
      </c>
      <c r="B214" s="24" t="s">
        <v>148</v>
      </c>
      <c r="C214" s="24" t="s">
        <v>215</v>
      </c>
      <c r="D214" s="24" t="s">
        <v>216</v>
      </c>
      <c r="E214" s="24" t="s">
        <v>151</v>
      </c>
      <c r="F214" s="24" t="s">
        <v>217</v>
      </c>
      <c r="G214" s="25">
        <v>7776</v>
      </c>
      <c r="H214" s="16" t="str">
        <f>IF(C214="","",IFERROR(INDEX(Settings!$L$4:$L$56,MATCH(C214,Settings!$K$4:$K$56,0)),"Unknown"))</f>
        <v>Income</v>
      </c>
      <c r="I214" s="8">
        <f t="shared" si="9"/>
        <v>7</v>
      </c>
      <c r="J214" s="8">
        <f t="shared" si="10"/>
        <v>2026</v>
      </c>
      <c r="K214" s="24"/>
      <c r="L214" s="7" t="str">
        <f t="shared" si="11"/>
        <v>OK</v>
      </c>
    </row>
    <row r="215" spans="1:12" x14ac:dyDescent="0.25">
      <c r="A215" s="23">
        <v>46221</v>
      </c>
      <c r="B215" s="24" t="s">
        <v>153</v>
      </c>
      <c r="C215" s="24" t="s">
        <v>218</v>
      </c>
      <c r="D215" s="24" t="s">
        <v>219</v>
      </c>
      <c r="E215" s="24" t="s">
        <v>163</v>
      </c>
      <c r="F215" s="24" t="s">
        <v>220</v>
      </c>
      <c r="G215" s="25">
        <v>1310</v>
      </c>
      <c r="H215" s="16" t="str">
        <f>IF(C215="","",IFERROR(INDEX(Settings!$L$4:$L$56,MATCH(C215,Settings!$K$4:$K$56,0)),"Unknown"))</f>
        <v>Health</v>
      </c>
      <c r="I215" s="8">
        <f t="shared" si="9"/>
        <v>7</v>
      </c>
      <c r="J215" s="8">
        <f t="shared" si="10"/>
        <v>2026</v>
      </c>
      <c r="K215" s="24"/>
      <c r="L215" s="7" t="str">
        <f t="shared" si="11"/>
        <v>OK</v>
      </c>
    </row>
    <row r="216" spans="1:12" x14ac:dyDescent="0.25">
      <c r="A216" s="23">
        <v>46221</v>
      </c>
      <c r="B216" s="24" t="s">
        <v>153</v>
      </c>
      <c r="C216" s="24" t="s">
        <v>221</v>
      </c>
      <c r="D216" s="24" t="s">
        <v>222</v>
      </c>
      <c r="E216" s="24" t="s">
        <v>151</v>
      </c>
      <c r="F216" s="24" t="s">
        <v>223</v>
      </c>
      <c r="G216" s="25">
        <v>5000</v>
      </c>
      <c r="H216" s="16" t="str">
        <f>IF(C216="","",IFERROR(INDEX(Settings!$L$4:$L$56,MATCH(C216,Settings!$K$4:$K$56,0)),"Unknown"))</f>
        <v>Savings &amp; Investments</v>
      </c>
      <c r="I216" s="8">
        <f t="shared" si="9"/>
        <v>7</v>
      </c>
      <c r="J216" s="8">
        <f t="shared" si="10"/>
        <v>2026</v>
      </c>
      <c r="K216" s="24"/>
      <c r="L216" s="7" t="str">
        <f t="shared" si="11"/>
        <v>OK</v>
      </c>
    </row>
    <row r="217" spans="1:12" x14ac:dyDescent="0.25">
      <c r="A217" s="23">
        <v>46223</v>
      </c>
      <c r="B217" s="24" t="s">
        <v>153</v>
      </c>
      <c r="C217" s="24" t="s">
        <v>224</v>
      </c>
      <c r="D217" s="24" t="s">
        <v>225</v>
      </c>
      <c r="E217" s="24" t="s">
        <v>163</v>
      </c>
      <c r="F217" s="24" t="s">
        <v>226</v>
      </c>
      <c r="G217" s="25">
        <v>740</v>
      </c>
      <c r="H217" s="16" t="str">
        <f>IF(C217="","",IFERROR(INDEX(Settings!$L$4:$L$56,MATCH(C217,Settings!$K$4:$K$56,0)),"Unknown"))</f>
        <v>Lifestyle</v>
      </c>
      <c r="I217" s="8">
        <f t="shared" si="9"/>
        <v>7</v>
      </c>
      <c r="J217" s="8">
        <f t="shared" si="10"/>
        <v>2026</v>
      </c>
      <c r="K217" s="24"/>
      <c r="L217" s="7" t="str">
        <f t="shared" si="11"/>
        <v>OK</v>
      </c>
    </row>
    <row r="218" spans="1:12" x14ac:dyDescent="0.25">
      <c r="A218" s="23">
        <v>46225</v>
      </c>
      <c r="B218" s="24" t="s">
        <v>153</v>
      </c>
      <c r="C218" s="24" t="s">
        <v>161</v>
      </c>
      <c r="D218" s="24" t="s">
        <v>227</v>
      </c>
      <c r="E218" s="24" t="s">
        <v>163</v>
      </c>
      <c r="F218" s="24" t="s">
        <v>164</v>
      </c>
      <c r="G218" s="25">
        <v>3860</v>
      </c>
      <c r="H218" s="16" t="str">
        <f>IF(C218="","",IFERROR(INDEX(Settings!$L$4:$L$56,MATCH(C218,Settings!$K$4:$K$56,0)),"Unknown"))</f>
        <v>Food</v>
      </c>
      <c r="I218" s="8">
        <f t="shared" si="9"/>
        <v>7</v>
      </c>
      <c r="J218" s="8">
        <f t="shared" si="10"/>
        <v>2026</v>
      </c>
      <c r="K218" s="24"/>
      <c r="L218" s="7" t="str">
        <f t="shared" si="11"/>
        <v>OK</v>
      </c>
    </row>
    <row r="219" spans="1:12" x14ac:dyDescent="0.25">
      <c r="A219" s="23">
        <v>46228</v>
      </c>
      <c r="B219" s="24" t="s">
        <v>153</v>
      </c>
      <c r="C219" s="24" t="s">
        <v>228</v>
      </c>
      <c r="D219" s="24" t="s">
        <v>229</v>
      </c>
      <c r="E219" s="24" t="s">
        <v>151</v>
      </c>
      <c r="F219" s="24" t="s">
        <v>230</v>
      </c>
      <c r="G219" s="25">
        <v>2800</v>
      </c>
      <c r="H219" s="16" t="str">
        <f>IF(C219="","",IFERROR(INDEX(Settings!$L$4:$L$56,MATCH(C219,Settings!$K$4:$K$56,0)),"Unknown"))</f>
        <v>Financial Obligations</v>
      </c>
      <c r="I219" s="8">
        <f t="shared" si="9"/>
        <v>7</v>
      </c>
      <c r="J219" s="8">
        <f t="shared" si="10"/>
        <v>2026</v>
      </c>
      <c r="K219" s="24"/>
      <c r="L219" s="7" t="str">
        <f t="shared" si="11"/>
        <v>OK</v>
      </c>
    </row>
    <row r="220" spans="1:12" x14ac:dyDescent="0.25">
      <c r="A220" s="23">
        <v>46231</v>
      </c>
      <c r="B220" s="24" t="s">
        <v>153</v>
      </c>
      <c r="C220" s="24" t="s">
        <v>231</v>
      </c>
      <c r="D220" s="24" t="s">
        <v>232</v>
      </c>
      <c r="E220" s="24" t="s">
        <v>170</v>
      </c>
      <c r="F220" s="24" t="s">
        <v>171</v>
      </c>
      <c r="G220" s="25">
        <v>250</v>
      </c>
      <c r="H220" s="16" t="str">
        <f>IF(C220="","",IFERROR(INDEX(Settings!$L$4:$L$56,MATCH(C220,Settings!$K$4:$K$56,0)),"Unknown"))</f>
        <v>Financial Obligations</v>
      </c>
      <c r="I220" s="8">
        <f t="shared" si="9"/>
        <v>7</v>
      </c>
      <c r="J220" s="8">
        <f t="shared" si="10"/>
        <v>2026</v>
      </c>
      <c r="K220" s="24"/>
      <c r="L220" s="7" t="str">
        <f t="shared" si="11"/>
        <v>OK</v>
      </c>
    </row>
    <row r="221" spans="1:12" x14ac:dyDescent="0.25">
      <c r="A221" s="23">
        <v>46231</v>
      </c>
      <c r="B221" s="24" t="s">
        <v>153</v>
      </c>
      <c r="C221" s="24" t="s">
        <v>233</v>
      </c>
      <c r="D221" s="24" t="s">
        <v>234</v>
      </c>
      <c r="E221" s="24" t="s">
        <v>151</v>
      </c>
      <c r="F221" s="24" t="s">
        <v>235</v>
      </c>
      <c r="G221" s="25">
        <v>3000</v>
      </c>
      <c r="H221" s="16" t="str">
        <f>IF(C221="","",IFERROR(INDEX(Settings!$L$4:$L$56,MATCH(C221,Settings!$K$4:$K$56,0)),"Unknown"))</f>
        <v>Savings &amp; Investments</v>
      </c>
      <c r="I221" s="8">
        <f t="shared" si="9"/>
        <v>7</v>
      </c>
      <c r="J221" s="8">
        <f t="shared" si="10"/>
        <v>2026</v>
      </c>
      <c r="K221" s="24"/>
      <c r="L221" s="7" t="str">
        <f t="shared" si="11"/>
        <v>OK</v>
      </c>
    </row>
    <row r="222" spans="1:12" x14ac:dyDescent="0.25">
      <c r="A222" s="23">
        <v>46235</v>
      </c>
      <c r="B222" s="24" t="s">
        <v>148</v>
      </c>
      <c r="C222" s="24" t="s">
        <v>149</v>
      </c>
      <c r="D222" s="24" t="s">
        <v>295</v>
      </c>
      <c r="E222" s="24" t="s">
        <v>151</v>
      </c>
      <c r="F222" s="24" t="s">
        <v>152</v>
      </c>
      <c r="G222" s="25">
        <v>115000</v>
      </c>
      <c r="H222" s="16" t="str">
        <f>IF(C222="","",IFERROR(INDEX(Settings!$L$4:$L$56,MATCH(C222,Settings!$K$4:$K$56,0)),"Unknown"))</f>
        <v>Income</v>
      </c>
      <c r="I222" s="8">
        <f t="shared" si="9"/>
        <v>8</v>
      </c>
      <c r="J222" s="8">
        <f t="shared" si="10"/>
        <v>2026</v>
      </c>
      <c r="K222" s="24"/>
      <c r="L222" s="7" t="str">
        <f t="shared" si="11"/>
        <v>OK</v>
      </c>
    </row>
    <row r="223" spans="1:12" x14ac:dyDescent="0.25">
      <c r="A223" s="23">
        <v>46236</v>
      </c>
      <c r="B223" s="24" t="s">
        <v>153</v>
      </c>
      <c r="C223" s="24" t="s">
        <v>154</v>
      </c>
      <c r="D223" s="24" t="s">
        <v>155</v>
      </c>
      <c r="E223" s="24" t="s">
        <v>156</v>
      </c>
      <c r="F223" s="24" t="s">
        <v>157</v>
      </c>
      <c r="G223" s="25">
        <v>1100</v>
      </c>
      <c r="H223" s="16" t="str">
        <f>IF(C223="","",IFERROR(INDEX(Settings!$L$4:$L$56,MATCH(C223,Settings!$K$4:$K$56,0)),"Unknown"))</f>
        <v>Lifestyle</v>
      </c>
      <c r="I223" s="8">
        <f t="shared" si="9"/>
        <v>8</v>
      </c>
      <c r="J223" s="8">
        <f t="shared" si="10"/>
        <v>2026</v>
      </c>
      <c r="K223" s="24"/>
      <c r="L223" s="7" t="str">
        <f t="shared" si="11"/>
        <v>OK</v>
      </c>
    </row>
    <row r="224" spans="1:12" x14ac:dyDescent="0.25">
      <c r="A224" s="23">
        <v>46237</v>
      </c>
      <c r="B224" s="24" t="s">
        <v>153</v>
      </c>
      <c r="C224" s="24" t="s">
        <v>158</v>
      </c>
      <c r="D224" s="24" t="s">
        <v>296</v>
      </c>
      <c r="E224" s="24" t="s">
        <v>151</v>
      </c>
      <c r="F224" s="24" t="s">
        <v>160</v>
      </c>
      <c r="G224" s="25">
        <v>22000</v>
      </c>
      <c r="H224" s="16" t="str">
        <f>IF(C224="","",IFERROR(INDEX(Settings!$L$4:$L$56,MATCH(C224,Settings!$K$4:$K$56,0)),"Unknown"))</f>
        <v>Housing &amp; Utilities</v>
      </c>
      <c r="I224" s="8">
        <f t="shared" si="9"/>
        <v>8</v>
      </c>
      <c r="J224" s="8">
        <f t="shared" si="10"/>
        <v>2026</v>
      </c>
      <c r="K224" s="24"/>
      <c r="L224" s="7" t="str">
        <f t="shared" si="11"/>
        <v>OK</v>
      </c>
    </row>
    <row r="225" spans="1:12" x14ac:dyDescent="0.25">
      <c r="A225" s="23">
        <v>46238</v>
      </c>
      <c r="B225" s="24" t="s">
        <v>153</v>
      </c>
      <c r="C225" s="24" t="s">
        <v>161</v>
      </c>
      <c r="D225" s="24" t="s">
        <v>162</v>
      </c>
      <c r="E225" s="24" t="s">
        <v>163</v>
      </c>
      <c r="F225" s="24" t="s">
        <v>164</v>
      </c>
      <c r="G225" s="25">
        <v>3740</v>
      </c>
      <c r="H225" s="16" t="str">
        <f>IF(C225="","",IFERROR(INDEX(Settings!$L$4:$L$56,MATCH(C225,Settings!$K$4:$K$56,0)),"Unknown"))</f>
        <v>Food</v>
      </c>
      <c r="I225" s="8">
        <f t="shared" si="9"/>
        <v>8</v>
      </c>
      <c r="J225" s="8">
        <f t="shared" si="10"/>
        <v>2026</v>
      </c>
      <c r="K225" s="24"/>
      <c r="L225" s="7" t="str">
        <f t="shared" si="11"/>
        <v>OK</v>
      </c>
    </row>
    <row r="226" spans="1:12" x14ac:dyDescent="0.25">
      <c r="A226" s="23">
        <v>46239</v>
      </c>
      <c r="B226" s="24" t="s">
        <v>153</v>
      </c>
      <c r="C226" s="24" t="s">
        <v>165</v>
      </c>
      <c r="D226" s="24" t="s">
        <v>166</v>
      </c>
      <c r="E226" s="24" t="s">
        <v>163</v>
      </c>
      <c r="F226" s="24" t="s">
        <v>167</v>
      </c>
      <c r="G226" s="25">
        <v>3000</v>
      </c>
      <c r="H226" s="16" t="str">
        <f>IF(C226="","",IFERROR(INDEX(Settings!$L$4:$L$56,MATCH(C226,Settings!$K$4:$K$56,0)),"Unknown"))</f>
        <v>Housing &amp; Utilities</v>
      </c>
      <c r="I226" s="8">
        <f t="shared" si="9"/>
        <v>8</v>
      </c>
      <c r="J226" s="8">
        <f t="shared" si="10"/>
        <v>2026</v>
      </c>
      <c r="K226" s="24"/>
      <c r="L226" s="7" t="str">
        <f t="shared" si="11"/>
        <v>OK</v>
      </c>
    </row>
    <row r="227" spans="1:12" x14ac:dyDescent="0.25">
      <c r="A227" s="23">
        <v>46239</v>
      </c>
      <c r="B227" s="24" t="s">
        <v>153</v>
      </c>
      <c r="C227" s="24" t="s">
        <v>168</v>
      </c>
      <c r="D227" s="24" t="s">
        <v>169</v>
      </c>
      <c r="E227" s="24" t="s">
        <v>170</v>
      </c>
      <c r="F227" s="24" t="s">
        <v>171</v>
      </c>
      <c r="G227" s="25">
        <v>15300</v>
      </c>
      <c r="H227" s="16" t="str">
        <f>IF(C227="","",IFERROR(INDEX(Settings!$L$4:$L$56,MATCH(C227,Settings!$K$4:$K$56,0)),"Unknown"))</f>
        <v>Financial Obligations</v>
      </c>
      <c r="I227" s="8">
        <f t="shared" si="9"/>
        <v>8</v>
      </c>
      <c r="J227" s="8">
        <f t="shared" si="10"/>
        <v>2026</v>
      </c>
      <c r="K227" s="24"/>
      <c r="L227" s="7" t="str">
        <f t="shared" si="11"/>
        <v>OK</v>
      </c>
    </row>
    <row r="228" spans="1:12" x14ac:dyDescent="0.25">
      <c r="A228" s="23">
        <v>46239</v>
      </c>
      <c r="B228" s="24" t="s">
        <v>153</v>
      </c>
      <c r="C228" s="24" t="s">
        <v>172</v>
      </c>
      <c r="D228" s="24" t="s">
        <v>173</v>
      </c>
      <c r="E228" s="24" t="s">
        <v>170</v>
      </c>
      <c r="F228" s="24" t="s">
        <v>174</v>
      </c>
      <c r="G228" s="25">
        <v>5000</v>
      </c>
      <c r="H228" s="16" t="str">
        <f>IF(C228="","",IFERROR(INDEX(Settings!$L$4:$L$56,MATCH(C228,Settings!$K$4:$K$56,0)),"Unknown"))</f>
        <v>Savings &amp; Investments</v>
      </c>
      <c r="I228" s="8">
        <f t="shared" si="9"/>
        <v>8</v>
      </c>
      <c r="J228" s="8">
        <f t="shared" si="10"/>
        <v>2026</v>
      </c>
      <c r="K228" s="24"/>
      <c r="L228" s="7" t="str">
        <f t="shared" si="11"/>
        <v>OK</v>
      </c>
    </row>
    <row r="229" spans="1:12" x14ac:dyDescent="0.25">
      <c r="A229" s="23">
        <v>46239</v>
      </c>
      <c r="B229" s="24" t="s">
        <v>153</v>
      </c>
      <c r="C229" s="24" t="s">
        <v>175</v>
      </c>
      <c r="D229" s="24" t="s">
        <v>176</v>
      </c>
      <c r="E229" s="24" t="s">
        <v>151</v>
      </c>
      <c r="F229" s="24" t="s">
        <v>177</v>
      </c>
      <c r="G229" s="25">
        <v>3500</v>
      </c>
      <c r="H229" s="16" t="str">
        <f>IF(C229="","",IFERROR(INDEX(Settings!$L$4:$L$56,MATCH(C229,Settings!$K$4:$K$56,0)),"Unknown"))</f>
        <v>Family &amp; Education</v>
      </c>
      <c r="I229" s="8">
        <f t="shared" si="9"/>
        <v>8</v>
      </c>
      <c r="J229" s="8">
        <f t="shared" si="10"/>
        <v>2026</v>
      </c>
      <c r="K229" s="24"/>
      <c r="L229" s="7" t="str">
        <f t="shared" si="11"/>
        <v>OK</v>
      </c>
    </row>
    <row r="230" spans="1:12" x14ac:dyDescent="0.25">
      <c r="A230" s="23">
        <v>46240</v>
      </c>
      <c r="B230" s="24" t="s">
        <v>153</v>
      </c>
      <c r="C230" s="24" t="s">
        <v>178</v>
      </c>
      <c r="D230" s="24" t="s">
        <v>179</v>
      </c>
      <c r="E230" s="24" t="s">
        <v>180</v>
      </c>
      <c r="F230" s="24" t="s">
        <v>181</v>
      </c>
      <c r="G230" s="25">
        <v>1000</v>
      </c>
      <c r="H230" s="16" t="str">
        <f>IF(C230="","",IFERROR(INDEX(Settings!$L$4:$L$56,MATCH(C230,Settings!$K$4:$K$56,0)),"Unknown"))</f>
        <v>Housing &amp; Utilities</v>
      </c>
      <c r="I230" s="8">
        <f t="shared" si="9"/>
        <v>8</v>
      </c>
      <c r="J230" s="8">
        <f t="shared" si="10"/>
        <v>2026</v>
      </c>
      <c r="K230" s="24"/>
      <c r="L230" s="7" t="str">
        <f t="shared" si="11"/>
        <v>OK</v>
      </c>
    </row>
    <row r="231" spans="1:12" x14ac:dyDescent="0.25">
      <c r="A231" s="23">
        <v>46241</v>
      </c>
      <c r="B231" s="24" t="s">
        <v>153</v>
      </c>
      <c r="C231" s="24" t="s">
        <v>182</v>
      </c>
      <c r="D231" s="24" t="s">
        <v>183</v>
      </c>
      <c r="E231" s="24" t="s">
        <v>180</v>
      </c>
      <c r="F231" s="24" t="s">
        <v>184</v>
      </c>
      <c r="G231" s="25">
        <v>950</v>
      </c>
      <c r="H231" s="16" t="str">
        <f>IF(C231="","",IFERROR(INDEX(Settings!$L$4:$L$56,MATCH(C231,Settings!$K$4:$K$56,0)),"Unknown"))</f>
        <v>Transport</v>
      </c>
      <c r="I231" s="8">
        <f t="shared" si="9"/>
        <v>8</v>
      </c>
      <c r="J231" s="8">
        <f t="shared" si="10"/>
        <v>2026</v>
      </c>
      <c r="K231" s="24"/>
      <c r="L231" s="7" t="str">
        <f t="shared" si="11"/>
        <v>OK</v>
      </c>
    </row>
    <row r="232" spans="1:12" x14ac:dyDescent="0.25">
      <c r="A232" s="23">
        <v>46242</v>
      </c>
      <c r="B232" s="24" t="s">
        <v>153</v>
      </c>
      <c r="C232" s="24" t="s">
        <v>185</v>
      </c>
      <c r="D232" s="24" t="s">
        <v>186</v>
      </c>
      <c r="E232" s="24" t="s">
        <v>180</v>
      </c>
      <c r="F232" s="24" t="s">
        <v>187</v>
      </c>
      <c r="G232" s="25">
        <v>3630</v>
      </c>
      <c r="H232" s="16" t="str">
        <f>IF(C232="","",IFERROR(INDEX(Settings!$L$4:$L$56,MATCH(C232,Settings!$K$4:$K$56,0)),"Unknown"))</f>
        <v>Housing &amp; Utilities</v>
      </c>
      <c r="I232" s="8">
        <f t="shared" si="9"/>
        <v>8</v>
      </c>
      <c r="J232" s="8">
        <f t="shared" si="10"/>
        <v>2026</v>
      </c>
      <c r="K232" s="24"/>
      <c r="L232" s="7" t="str">
        <f t="shared" si="11"/>
        <v>OK</v>
      </c>
    </row>
    <row r="233" spans="1:12" x14ac:dyDescent="0.25">
      <c r="A233" s="23">
        <v>46243</v>
      </c>
      <c r="B233" s="24" t="s">
        <v>153</v>
      </c>
      <c r="C233" s="24" t="s">
        <v>188</v>
      </c>
      <c r="D233" s="24" t="s">
        <v>189</v>
      </c>
      <c r="E233" s="24" t="s">
        <v>180</v>
      </c>
      <c r="F233" s="24" t="s">
        <v>190</v>
      </c>
      <c r="G233" s="25">
        <v>700</v>
      </c>
      <c r="H233" s="16" t="str">
        <f>IF(C233="","",IFERROR(INDEX(Settings!$L$4:$L$56,MATCH(C233,Settings!$K$4:$K$56,0)),"Unknown"))</f>
        <v>Housing &amp; Utilities</v>
      </c>
      <c r="I233" s="8">
        <f t="shared" si="9"/>
        <v>8</v>
      </c>
      <c r="J233" s="8">
        <f t="shared" si="10"/>
        <v>2026</v>
      </c>
      <c r="K233" s="24"/>
      <c r="L233" s="7" t="str">
        <f t="shared" si="11"/>
        <v>OK</v>
      </c>
    </row>
    <row r="234" spans="1:12" x14ac:dyDescent="0.25">
      <c r="A234" s="23">
        <v>46244</v>
      </c>
      <c r="B234" s="24" t="s">
        <v>153</v>
      </c>
      <c r="C234" s="24" t="s">
        <v>193</v>
      </c>
      <c r="D234" s="24" t="s">
        <v>194</v>
      </c>
      <c r="E234" s="24" t="s">
        <v>180</v>
      </c>
      <c r="F234" s="24" t="s">
        <v>195</v>
      </c>
      <c r="G234" s="25">
        <v>1080</v>
      </c>
      <c r="H234" s="16" t="str">
        <f>IF(C234="","",IFERROR(INDEX(Settings!$L$4:$L$56,MATCH(C234,Settings!$K$4:$K$56,0)),"Unknown"))</f>
        <v>Housing &amp; Utilities</v>
      </c>
      <c r="I234" s="8">
        <f t="shared" si="9"/>
        <v>8</v>
      </c>
      <c r="J234" s="8">
        <f t="shared" si="10"/>
        <v>2026</v>
      </c>
      <c r="K234" s="24"/>
      <c r="L234" s="7" t="str">
        <f t="shared" si="11"/>
        <v>OK</v>
      </c>
    </row>
    <row r="235" spans="1:12" x14ac:dyDescent="0.25">
      <c r="A235" s="23">
        <v>46244</v>
      </c>
      <c r="B235" s="24" t="s">
        <v>153</v>
      </c>
      <c r="C235" s="24" t="s">
        <v>196</v>
      </c>
      <c r="D235" s="24" t="s">
        <v>197</v>
      </c>
      <c r="E235" s="24" t="s">
        <v>180</v>
      </c>
      <c r="F235" s="24" t="s">
        <v>198</v>
      </c>
      <c r="G235" s="25">
        <v>5000</v>
      </c>
      <c r="H235" s="16" t="str">
        <f>IF(C235="","",IFERROR(INDEX(Settings!$L$4:$L$56,MATCH(C235,Settings!$K$4:$K$56,0)),"Unknown"))</f>
        <v>Family &amp; Education</v>
      </c>
      <c r="I235" s="8">
        <f t="shared" si="9"/>
        <v>8</v>
      </c>
      <c r="J235" s="8">
        <f t="shared" si="10"/>
        <v>2026</v>
      </c>
      <c r="K235" s="24"/>
      <c r="L235" s="7" t="str">
        <f t="shared" si="11"/>
        <v>OK</v>
      </c>
    </row>
    <row r="236" spans="1:12" x14ac:dyDescent="0.25">
      <c r="A236" s="23">
        <v>46245</v>
      </c>
      <c r="B236" s="24" t="s">
        <v>153</v>
      </c>
      <c r="C236" s="24" t="s">
        <v>199</v>
      </c>
      <c r="D236" s="24" t="s">
        <v>200</v>
      </c>
      <c r="E236" s="24" t="s">
        <v>163</v>
      </c>
      <c r="F236" s="24" t="s">
        <v>201</v>
      </c>
      <c r="G236" s="25">
        <v>1420</v>
      </c>
      <c r="H236" s="16" t="str">
        <f>IF(C236="","",IFERROR(INDEX(Settings!$L$4:$L$56,MATCH(C236,Settings!$K$4:$K$56,0)),"Unknown"))</f>
        <v>Transport</v>
      </c>
      <c r="I236" s="8">
        <f t="shared" si="9"/>
        <v>8</v>
      </c>
      <c r="J236" s="8">
        <f t="shared" si="10"/>
        <v>2026</v>
      </c>
      <c r="K236" s="24"/>
      <c r="L236" s="7" t="str">
        <f t="shared" si="11"/>
        <v>OK</v>
      </c>
    </row>
    <row r="237" spans="1:12" x14ac:dyDescent="0.25">
      <c r="A237" s="23">
        <v>46246</v>
      </c>
      <c r="B237" s="24" t="s">
        <v>153</v>
      </c>
      <c r="C237" s="24" t="s">
        <v>202</v>
      </c>
      <c r="D237" s="24" t="s">
        <v>203</v>
      </c>
      <c r="E237" s="24" t="s">
        <v>180</v>
      </c>
      <c r="F237" s="24" t="s">
        <v>204</v>
      </c>
      <c r="G237" s="25">
        <v>900</v>
      </c>
      <c r="H237" s="16" t="str">
        <f>IF(C237="","",IFERROR(INDEX(Settings!$L$4:$L$56,MATCH(C237,Settings!$K$4:$K$56,0)),"Unknown"))</f>
        <v>Housing &amp; Utilities</v>
      </c>
      <c r="I237" s="8">
        <f t="shared" si="9"/>
        <v>8</v>
      </c>
      <c r="J237" s="8">
        <f t="shared" si="10"/>
        <v>2026</v>
      </c>
      <c r="K237" s="24"/>
      <c r="L237" s="7" t="str">
        <f t="shared" si="11"/>
        <v>OK</v>
      </c>
    </row>
    <row r="238" spans="1:12" x14ac:dyDescent="0.25">
      <c r="A238" s="23">
        <v>46247</v>
      </c>
      <c r="B238" s="24" t="s">
        <v>153</v>
      </c>
      <c r="C238" s="24" t="s">
        <v>161</v>
      </c>
      <c r="D238" s="24" t="s">
        <v>205</v>
      </c>
      <c r="E238" s="24" t="s">
        <v>206</v>
      </c>
      <c r="F238" s="24" t="s">
        <v>207</v>
      </c>
      <c r="G238" s="25">
        <v>3710</v>
      </c>
      <c r="H238" s="16" t="str">
        <f>IF(C238="","",IFERROR(INDEX(Settings!$L$4:$L$56,MATCH(C238,Settings!$K$4:$K$56,0)),"Unknown"))</f>
        <v>Food</v>
      </c>
      <c r="I238" s="8">
        <f t="shared" si="9"/>
        <v>8</v>
      </c>
      <c r="J238" s="8">
        <f t="shared" si="10"/>
        <v>2026</v>
      </c>
      <c r="K238" s="24"/>
      <c r="L238" s="7" t="str">
        <f t="shared" si="11"/>
        <v>OK</v>
      </c>
    </row>
    <row r="239" spans="1:12" x14ac:dyDescent="0.25">
      <c r="A239" s="23">
        <v>46248</v>
      </c>
      <c r="B239" s="24" t="s">
        <v>153</v>
      </c>
      <c r="C239" s="24" t="s">
        <v>208</v>
      </c>
      <c r="D239" s="24" t="s">
        <v>209</v>
      </c>
      <c r="E239" s="24" t="s">
        <v>156</v>
      </c>
      <c r="F239" s="24" t="s">
        <v>210</v>
      </c>
      <c r="G239" s="25">
        <v>1020</v>
      </c>
      <c r="H239" s="16" t="str">
        <f>IF(C239="","",IFERROR(INDEX(Settings!$L$4:$L$56,MATCH(C239,Settings!$K$4:$K$56,0)),"Unknown"))</f>
        <v>Food</v>
      </c>
      <c r="I239" s="8">
        <f t="shared" si="9"/>
        <v>8</v>
      </c>
      <c r="J239" s="8">
        <f t="shared" si="10"/>
        <v>2026</v>
      </c>
      <c r="K239" s="24"/>
      <c r="L239" s="7" t="str">
        <f t="shared" si="11"/>
        <v>OK</v>
      </c>
    </row>
    <row r="240" spans="1:12" x14ac:dyDescent="0.25">
      <c r="A240" s="23">
        <v>46249</v>
      </c>
      <c r="B240" s="24" t="s">
        <v>153</v>
      </c>
      <c r="C240" s="24" t="s">
        <v>182</v>
      </c>
      <c r="D240" s="24" t="s">
        <v>211</v>
      </c>
      <c r="E240" s="24" t="s">
        <v>163</v>
      </c>
      <c r="F240" s="24" t="s">
        <v>192</v>
      </c>
      <c r="G240" s="25">
        <v>800</v>
      </c>
      <c r="H240" s="16" t="str">
        <f>IF(C240="","",IFERROR(INDEX(Settings!$L$4:$L$56,MATCH(C240,Settings!$K$4:$K$56,0)),"Unknown"))</f>
        <v>Transport</v>
      </c>
      <c r="I240" s="8">
        <f t="shared" si="9"/>
        <v>8</v>
      </c>
      <c r="J240" s="8">
        <f t="shared" si="10"/>
        <v>2026</v>
      </c>
      <c r="K240" s="24"/>
      <c r="L240" s="7" t="str">
        <f t="shared" si="11"/>
        <v>OK</v>
      </c>
    </row>
    <row r="241" spans="1:12" x14ac:dyDescent="0.25">
      <c r="A241" s="23">
        <v>46249</v>
      </c>
      <c r="B241" s="24" t="s">
        <v>153</v>
      </c>
      <c r="C241" s="24" t="s">
        <v>212</v>
      </c>
      <c r="D241" s="24" t="s">
        <v>213</v>
      </c>
      <c r="E241" s="24" t="s">
        <v>170</v>
      </c>
      <c r="F241" s="24" t="s">
        <v>214</v>
      </c>
      <c r="G241" s="25">
        <v>2500</v>
      </c>
      <c r="H241" s="16" t="str">
        <f>IF(C241="","",IFERROR(INDEX(Settings!$L$4:$L$56,MATCH(C241,Settings!$K$4:$K$56,0)),"Unknown"))</f>
        <v>Financial Obligations</v>
      </c>
      <c r="I241" s="8">
        <f t="shared" si="9"/>
        <v>8</v>
      </c>
      <c r="J241" s="8">
        <f t="shared" si="10"/>
        <v>2026</v>
      </c>
      <c r="K241" s="24"/>
      <c r="L241" s="7" t="str">
        <f t="shared" si="11"/>
        <v>OK</v>
      </c>
    </row>
    <row r="242" spans="1:12" x14ac:dyDescent="0.25">
      <c r="A242" s="23">
        <v>46249</v>
      </c>
      <c r="B242" s="24" t="s">
        <v>153</v>
      </c>
      <c r="C242" s="24" t="s">
        <v>257</v>
      </c>
      <c r="D242" s="24" t="s">
        <v>297</v>
      </c>
      <c r="E242" s="24" t="s">
        <v>206</v>
      </c>
      <c r="F242" s="24" t="s">
        <v>284</v>
      </c>
      <c r="G242" s="25">
        <v>3000</v>
      </c>
      <c r="H242" s="16" t="str">
        <f>IF(C242="","",IFERROR(INDEX(Settings!$L$4:$L$56,MATCH(C242,Settings!$K$4:$K$56,0)),"Unknown"))</f>
        <v>Lifestyle</v>
      </c>
      <c r="I242" s="8">
        <f t="shared" si="9"/>
        <v>8</v>
      </c>
      <c r="J242" s="8">
        <f t="shared" si="10"/>
        <v>2026</v>
      </c>
      <c r="K242" s="24"/>
      <c r="L242" s="7" t="str">
        <f t="shared" si="11"/>
        <v>OK</v>
      </c>
    </row>
    <row r="243" spans="1:12" x14ac:dyDescent="0.25">
      <c r="A243" s="23">
        <v>46250</v>
      </c>
      <c r="B243" s="24" t="s">
        <v>148</v>
      </c>
      <c r="C243" s="24" t="s">
        <v>241</v>
      </c>
      <c r="D243" s="24" t="s">
        <v>242</v>
      </c>
      <c r="E243" s="24" t="s">
        <v>180</v>
      </c>
      <c r="F243" s="24" t="s">
        <v>243</v>
      </c>
      <c r="G243" s="25">
        <v>12840</v>
      </c>
      <c r="H243" s="16" t="str">
        <f>IF(C243="","",IFERROR(INDEX(Settings!$L$4:$L$56,MATCH(C243,Settings!$K$4:$K$56,0)),"Unknown"))</f>
        <v>Income</v>
      </c>
      <c r="I243" s="8">
        <f t="shared" si="9"/>
        <v>8</v>
      </c>
      <c r="J243" s="8">
        <f t="shared" si="10"/>
        <v>2026</v>
      </c>
      <c r="K243" s="24"/>
      <c r="L243" s="7" t="str">
        <f t="shared" si="11"/>
        <v>OK</v>
      </c>
    </row>
    <row r="244" spans="1:12" x14ac:dyDescent="0.25">
      <c r="A244" s="23">
        <v>46252</v>
      </c>
      <c r="B244" s="24" t="s">
        <v>153</v>
      </c>
      <c r="C244" s="24" t="s">
        <v>218</v>
      </c>
      <c r="D244" s="24" t="s">
        <v>219</v>
      </c>
      <c r="E244" s="24" t="s">
        <v>163</v>
      </c>
      <c r="F244" s="24" t="s">
        <v>220</v>
      </c>
      <c r="G244" s="25">
        <v>1670</v>
      </c>
      <c r="H244" s="16" t="str">
        <f>IF(C244="","",IFERROR(INDEX(Settings!$L$4:$L$56,MATCH(C244,Settings!$K$4:$K$56,0)),"Unknown"))</f>
        <v>Health</v>
      </c>
      <c r="I244" s="8">
        <f t="shared" si="9"/>
        <v>8</v>
      </c>
      <c r="J244" s="8">
        <f t="shared" si="10"/>
        <v>2026</v>
      </c>
      <c r="K244" s="24"/>
      <c r="L244" s="7" t="str">
        <f t="shared" si="11"/>
        <v>OK</v>
      </c>
    </row>
    <row r="245" spans="1:12" x14ac:dyDescent="0.25">
      <c r="A245" s="23">
        <v>46253</v>
      </c>
      <c r="B245" s="24" t="s">
        <v>153</v>
      </c>
      <c r="C245" s="24" t="s">
        <v>244</v>
      </c>
      <c r="D245" s="24" t="s">
        <v>245</v>
      </c>
      <c r="E245" s="24" t="s">
        <v>163</v>
      </c>
      <c r="F245" s="24" t="s">
        <v>246</v>
      </c>
      <c r="G245" s="25">
        <v>1530</v>
      </c>
      <c r="H245" s="16" t="str">
        <f>IF(C245="","",IFERROR(INDEX(Settings!$L$4:$L$56,MATCH(C245,Settings!$K$4:$K$56,0)),"Unknown"))</f>
        <v>Lifestyle</v>
      </c>
      <c r="I245" s="8">
        <f t="shared" si="9"/>
        <v>8</v>
      </c>
      <c r="J245" s="8">
        <f t="shared" si="10"/>
        <v>2026</v>
      </c>
      <c r="K245" s="24"/>
      <c r="L245" s="7" t="str">
        <f t="shared" si="11"/>
        <v>OK</v>
      </c>
    </row>
    <row r="246" spans="1:12" x14ac:dyDescent="0.25">
      <c r="A246" s="23">
        <v>46254</v>
      </c>
      <c r="B246" s="24" t="s">
        <v>153</v>
      </c>
      <c r="C246" s="24" t="s">
        <v>224</v>
      </c>
      <c r="D246" s="24" t="s">
        <v>225</v>
      </c>
      <c r="E246" s="24" t="s">
        <v>163</v>
      </c>
      <c r="F246" s="24" t="s">
        <v>226</v>
      </c>
      <c r="G246" s="25">
        <v>740</v>
      </c>
      <c r="H246" s="16" t="str">
        <f>IF(C246="","",IFERROR(INDEX(Settings!$L$4:$L$56,MATCH(C246,Settings!$K$4:$K$56,0)),"Unknown"))</f>
        <v>Lifestyle</v>
      </c>
      <c r="I246" s="8">
        <f t="shared" si="9"/>
        <v>8</v>
      </c>
      <c r="J246" s="8">
        <f t="shared" si="10"/>
        <v>2026</v>
      </c>
      <c r="K246" s="24"/>
      <c r="L246" s="7" t="str">
        <f t="shared" si="11"/>
        <v>OK</v>
      </c>
    </row>
    <row r="247" spans="1:12" x14ac:dyDescent="0.25">
      <c r="A247" s="23">
        <v>46256</v>
      </c>
      <c r="B247" s="24" t="s">
        <v>153</v>
      </c>
      <c r="C247" s="24" t="s">
        <v>161</v>
      </c>
      <c r="D247" s="24" t="s">
        <v>227</v>
      </c>
      <c r="E247" s="24" t="s">
        <v>163</v>
      </c>
      <c r="F247" s="24" t="s">
        <v>164</v>
      </c>
      <c r="G247" s="25">
        <v>3980</v>
      </c>
      <c r="H247" s="16" t="str">
        <f>IF(C247="","",IFERROR(INDEX(Settings!$L$4:$L$56,MATCH(C247,Settings!$K$4:$K$56,0)),"Unknown"))</f>
        <v>Food</v>
      </c>
      <c r="I247" s="8">
        <f t="shared" si="9"/>
        <v>8</v>
      </c>
      <c r="J247" s="8">
        <f t="shared" si="10"/>
        <v>2026</v>
      </c>
      <c r="K247" s="24"/>
      <c r="L247" s="7" t="str">
        <f t="shared" si="11"/>
        <v>OK</v>
      </c>
    </row>
    <row r="248" spans="1:12" x14ac:dyDescent="0.25">
      <c r="A248" s="23">
        <v>46259</v>
      </c>
      <c r="B248" s="24" t="s">
        <v>153</v>
      </c>
      <c r="C248" s="24" t="s">
        <v>228</v>
      </c>
      <c r="D248" s="24" t="s">
        <v>229</v>
      </c>
      <c r="E248" s="24" t="s">
        <v>151</v>
      </c>
      <c r="F248" s="24" t="s">
        <v>230</v>
      </c>
      <c r="G248" s="25">
        <v>2800</v>
      </c>
      <c r="H248" s="16" t="str">
        <f>IF(C248="","",IFERROR(INDEX(Settings!$L$4:$L$56,MATCH(C248,Settings!$K$4:$K$56,0)),"Unknown"))</f>
        <v>Financial Obligations</v>
      </c>
      <c r="I248" s="8">
        <f t="shared" si="9"/>
        <v>8</v>
      </c>
      <c r="J248" s="8">
        <f t="shared" si="10"/>
        <v>2026</v>
      </c>
      <c r="K248" s="24"/>
      <c r="L248" s="7" t="str">
        <f t="shared" si="11"/>
        <v>OK</v>
      </c>
    </row>
    <row r="249" spans="1:12" x14ac:dyDescent="0.25">
      <c r="A249" s="23">
        <v>46262</v>
      </c>
      <c r="B249" s="24" t="s">
        <v>153</v>
      </c>
      <c r="C249" s="24" t="s">
        <v>231</v>
      </c>
      <c r="D249" s="24" t="s">
        <v>232</v>
      </c>
      <c r="E249" s="24" t="s">
        <v>170</v>
      </c>
      <c r="F249" s="24" t="s">
        <v>171</v>
      </c>
      <c r="G249" s="25">
        <v>250</v>
      </c>
      <c r="H249" s="16" t="str">
        <f>IF(C249="","",IFERROR(INDEX(Settings!$L$4:$L$56,MATCH(C249,Settings!$K$4:$K$56,0)),"Unknown"))</f>
        <v>Financial Obligations</v>
      </c>
      <c r="I249" s="8">
        <f t="shared" si="9"/>
        <v>8</v>
      </c>
      <c r="J249" s="8">
        <f t="shared" si="10"/>
        <v>2026</v>
      </c>
      <c r="K249" s="24"/>
      <c r="L249" s="7" t="str">
        <f t="shared" si="11"/>
        <v>OK</v>
      </c>
    </row>
    <row r="250" spans="1:12" x14ac:dyDescent="0.25">
      <c r="A250" s="23">
        <v>46262</v>
      </c>
      <c r="B250" s="24" t="s">
        <v>153</v>
      </c>
      <c r="C250" s="24" t="s">
        <v>233</v>
      </c>
      <c r="D250" s="24" t="s">
        <v>234</v>
      </c>
      <c r="E250" s="24" t="s">
        <v>151</v>
      </c>
      <c r="F250" s="24" t="s">
        <v>235</v>
      </c>
      <c r="G250" s="25">
        <v>3000</v>
      </c>
      <c r="H250" s="16" t="str">
        <f>IF(C250="","",IFERROR(INDEX(Settings!$L$4:$L$56,MATCH(C250,Settings!$K$4:$K$56,0)),"Unknown"))</f>
        <v>Savings &amp; Investments</v>
      </c>
      <c r="I250" s="8">
        <f t="shared" si="9"/>
        <v>8</v>
      </c>
      <c r="J250" s="8">
        <f t="shared" si="10"/>
        <v>2026</v>
      </c>
      <c r="K250" s="24"/>
      <c r="L250" s="7" t="str">
        <f t="shared" si="11"/>
        <v>OK</v>
      </c>
    </row>
    <row r="251" spans="1:12" x14ac:dyDescent="0.25">
      <c r="A251" s="23">
        <v>46266</v>
      </c>
      <c r="B251" s="24" t="s">
        <v>148</v>
      </c>
      <c r="C251" s="24" t="s">
        <v>149</v>
      </c>
      <c r="D251" s="24" t="s">
        <v>298</v>
      </c>
      <c r="E251" s="24" t="s">
        <v>151</v>
      </c>
      <c r="F251" s="24" t="s">
        <v>152</v>
      </c>
      <c r="G251" s="25">
        <v>115000</v>
      </c>
      <c r="H251" s="16" t="str">
        <f>IF(C251="","",IFERROR(INDEX(Settings!$L$4:$L$56,MATCH(C251,Settings!$K$4:$K$56,0)),"Unknown"))</f>
        <v>Income</v>
      </c>
      <c r="I251" s="8">
        <f t="shared" si="9"/>
        <v>9</v>
      </c>
      <c r="J251" s="8">
        <f t="shared" si="10"/>
        <v>2026</v>
      </c>
      <c r="K251" s="24"/>
      <c r="L251" s="7" t="str">
        <f t="shared" si="11"/>
        <v>OK</v>
      </c>
    </row>
    <row r="252" spans="1:12" x14ac:dyDescent="0.25">
      <c r="A252" s="23">
        <v>46267</v>
      </c>
      <c r="B252" s="24" t="s">
        <v>153</v>
      </c>
      <c r="C252" s="24" t="s">
        <v>154</v>
      </c>
      <c r="D252" s="24" t="s">
        <v>155</v>
      </c>
      <c r="E252" s="24" t="s">
        <v>156</v>
      </c>
      <c r="F252" s="24" t="s">
        <v>157</v>
      </c>
      <c r="G252" s="25">
        <v>1100</v>
      </c>
      <c r="H252" s="16" t="str">
        <f>IF(C252="","",IFERROR(INDEX(Settings!$L$4:$L$56,MATCH(C252,Settings!$K$4:$K$56,0)),"Unknown"))</f>
        <v>Lifestyle</v>
      </c>
      <c r="I252" s="8">
        <f t="shared" si="9"/>
        <v>9</v>
      </c>
      <c r="J252" s="8">
        <f t="shared" si="10"/>
        <v>2026</v>
      </c>
      <c r="K252" s="24"/>
      <c r="L252" s="7" t="str">
        <f t="shared" si="11"/>
        <v>OK</v>
      </c>
    </row>
    <row r="253" spans="1:12" x14ac:dyDescent="0.25">
      <c r="A253" s="23">
        <v>46268</v>
      </c>
      <c r="B253" s="24" t="s">
        <v>153</v>
      </c>
      <c r="C253" s="24" t="s">
        <v>158</v>
      </c>
      <c r="D253" s="24" t="s">
        <v>299</v>
      </c>
      <c r="E253" s="24" t="s">
        <v>151</v>
      </c>
      <c r="F253" s="24" t="s">
        <v>160</v>
      </c>
      <c r="G253" s="25">
        <v>22000</v>
      </c>
      <c r="H253" s="16" t="str">
        <f>IF(C253="","",IFERROR(INDEX(Settings!$L$4:$L$56,MATCH(C253,Settings!$K$4:$K$56,0)),"Unknown"))</f>
        <v>Housing &amp; Utilities</v>
      </c>
      <c r="I253" s="8">
        <f t="shared" si="9"/>
        <v>9</v>
      </c>
      <c r="J253" s="8">
        <f t="shared" si="10"/>
        <v>2026</v>
      </c>
      <c r="K253" s="24"/>
      <c r="L253" s="7" t="str">
        <f t="shared" si="11"/>
        <v>OK</v>
      </c>
    </row>
    <row r="254" spans="1:12" x14ac:dyDescent="0.25">
      <c r="A254" s="23">
        <v>46269</v>
      </c>
      <c r="B254" s="24" t="s">
        <v>153</v>
      </c>
      <c r="C254" s="24" t="s">
        <v>161</v>
      </c>
      <c r="D254" s="24" t="s">
        <v>162</v>
      </c>
      <c r="E254" s="24" t="s">
        <v>163</v>
      </c>
      <c r="F254" s="24" t="s">
        <v>164</v>
      </c>
      <c r="G254" s="25">
        <v>3660</v>
      </c>
      <c r="H254" s="16" t="str">
        <f>IF(C254="","",IFERROR(INDEX(Settings!$L$4:$L$56,MATCH(C254,Settings!$K$4:$K$56,0)),"Unknown"))</f>
        <v>Food</v>
      </c>
      <c r="I254" s="8">
        <f t="shared" si="9"/>
        <v>9</v>
      </c>
      <c r="J254" s="8">
        <f t="shared" si="10"/>
        <v>2026</v>
      </c>
      <c r="K254" s="24"/>
      <c r="L254" s="7" t="str">
        <f t="shared" si="11"/>
        <v>OK</v>
      </c>
    </row>
    <row r="255" spans="1:12" x14ac:dyDescent="0.25">
      <c r="A255" s="23">
        <v>46270</v>
      </c>
      <c r="B255" s="24" t="s">
        <v>153</v>
      </c>
      <c r="C255" s="24" t="s">
        <v>165</v>
      </c>
      <c r="D255" s="24" t="s">
        <v>166</v>
      </c>
      <c r="E255" s="24" t="s">
        <v>163</v>
      </c>
      <c r="F255" s="24" t="s">
        <v>167</v>
      </c>
      <c r="G255" s="25">
        <v>3000</v>
      </c>
      <c r="H255" s="16" t="str">
        <f>IF(C255="","",IFERROR(INDEX(Settings!$L$4:$L$56,MATCH(C255,Settings!$K$4:$K$56,0)),"Unknown"))</f>
        <v>Housing &amp; Utilities</v>
      </c>
      <c r="I255" s="8">
        <f t="shared" si="9"/>
        <v>9</v>
      </c>
      <c r="J255" s="8">
        <f t="shared" si="10"/>
        <v>2026</v>
      </c>
      <c r="K255" s="24"/>
      <c r="L255" s="7" t="str">
        <f t="shared" si="11"/>
        <v>OK</v>
      </c>
    </row>
    <row r="256" spans="1:12" x14ac:dyDescent="0.25">
      <c r="A256" s="23">
        <v>46270</v>
      </c>
      <c r="B256" s="24" t="s">
        <v>153</v>
      </c>
      <c r="C256" s="24" t="s">
        <v>168</v>
      </c>
      <c r="D256" s="24" t="s">
        <v>169</v>
      </c>
      <c r="E256" s="24" t="s">
        <v>170</v>
      </c>
      <c r="F256" s="24" t="s">
        <v>171</v>
      </c>
      <c r="G256" s="25">
        <v>15300</v>
      </c>
      <c r="H256" s="16" t="str">
        <f>IF(C256="","",IFERROR(INDEX(Settings!$L$4:$L$56,MATCH(C256,Settings!$K$4:$K$56,0)),"Unknown"))</f>
        <v>Financial Obligations</v>
      </c>
      <c r="I256" s="8">
        <f t="shared" si="9"/>
        <v>9</v>
      </c>
      <c r="J256" s="8">
        <f t="shared" si="10"/>
        <v>2026</v>
      </c>
      <c r="K256" s="24"/>
      <c r="L256" s="7" t="str">
        <f t="shared" si="11"/>
        <v>OK</v>
      </c>
    </row>
    <row r="257" spans="1:12" x14ac:dyDescent="0.25">
      <c r="A257" s="23">
        <v>46270</v>
      </c>
      <c r="B257" s="24" t="s">
        <v>153</v>
      </c>
      <c r="C257" s="24" t="s">
        <v>172</v>
      </c>
      <c r="D257" s="24" t="s">
        <v>173</v>
      </c>
      <c r="E257" s="24" t="s">
        <v>170</v>
      </c>
      <c r="F257" s="24" t="s">
        <v>174</v>
      </c>
      <c r="G257" s="25">
        <v>5000</v>
      </c>
      <c r="H257" s="16" t="str">
        <f>IF(C257="","",IFERROR(INDEX(Settings!$L$4:$L$56,MATCH(C257,Settings!$K$4:$K$56,0)),"Unknown"))</f>
        <v>Savings &amp; Investments</v>
      </c>
      <c r="I257" s="8">
        <f t="shared" si="9"/>
        <v>9</v>
      </c>
      <c r="J257" s="8">
        <f t="shared" si="10"/>
        <v>2026</v>
      </c>
      <c r="K257" s="24"/>
      <c r="L257" s="7" t="str">
        <f t="shared" si="11"/>
        <v>OK</v>
      </c>
    </row>
    <row r="258" spans="1:12" x14ac:dyDescent="0.25">
      <c r="A258" s="23">
        <v>46270</v>
      </c>
      <c r="B258" s="24" t="s">
        <v>153</v>
      </c>
      <c r="C258" s="24" t="s">
        <v>175</v>
      </c>
      <c r="D258" s="24" t="s">
        <v>176</v>
      </c>
      <c r="E258" s="24" t="s">
        <v>151</v>
      </c>
      <c r="F258" s="24" t="s">
        <v>177</v>
      </c>
      <c r="G258" s="25">
        <v>3500</v>
      </c>
      <c r="H258" s="16" t="str">
        <f>IF(C258="","",IFERROR(INDEX(Settings!$L$4:$L$56,MATCH(C258,Settings!$K$4:$K$56,0)),"Unknown"))</f>
        <v>Family &amp; Education</v>
      </c>
      <c r="I258" s="8">
        <f t="shared" si="9"/>
        <v>9</v>
      </c>
      <c r="J258" s="8">
        <f t="shared" si="10"/>
        <v>2026</v>
      </c>
      <c r="K258" s="24"/>
      <c r="L258" s="7" t="str">
        <f t="shared" si="11"/>
        <v>OK</v>
      </c>
    </row>
    <row r="259" spans="1:12" x14ac:dyDescent="0.25">
      <c r="A259" s="23">
        <v>46271</v>
      </c>
      <c r="B259" s="24" t="s">
        <v>153</v>
      </c>
      <c r="C259" s="24" t="s">
        <v>178</v>
      </c>
      <c r="D259" s="24" t="s">
        <v>179</v>
      </c>
      <c r="E259" s="24" t="s">
        <v>180</v>
      </c>
      <c r="F259" s="24" t="s">
        <v>181</v>
      </c>
      <c r="G259" s="25">
        <v>1000</v>
      </c>
      <c r="H259" s="16" t="str">
        <f>IF(C259="","",IFERROR(INDEX(Settings!$L$4:$L$56,MATCH(C259,Settings!$K$4:$K$56,0)),"Unknown"))</f>
        <v>Housing &amp; Utilities</v>
      </c>
      <c r="I259" s="8">
        <f t="shared" si="9"/>
        <v>9</v>
      </c>
      <c r="J259" s="8">
        <f t="shared" si="10"/>
        <v>2026</v>
      </c>
      <c r="K259" s="24"/>
      <c r="L259" s="7" t="str">
        <f t="shared" si="11"/>
        <v>OK</v>
      </c>
    </row>
    <row r="260" spans="1:12" x14ac:dyDescent="0.25">
      <c r="A260" s="23">
        <v>46272</v>
      </c>
      <c r="B260" s="24" t="s">
        <v>153</v>
      </c>
      <c r="C260" s="24" t="s">
        <v>182</v>
      </c>
      <c r="D260" s="24" t="s">
        <v>183</v>
      </c>
      <c r="E260" s="24" t="s">
        <v>180</v>
      </c>
      <c r="F260" s="24" t="s">
        <v>184</v>
      </c>
      <c r="G260" s="25">
        <v>920</v>
      </c>
      <c r="H260" s="16" t="str">
        <f>IF(C260="","",IFERROR(INDEX(Settings!$L$4:$L$56,MATCH(C260,Settings!$K$4:$K$56,0)),"Unknown"))</f>
        <v>Transport</v>
      </c>
      <c r="I260" s="8">
        <f t="shared" si="9"/>
        <v>9</v>
      </c>
      <c r="J260" s="8">
        <f t="shared" si="10"/>
        <v>2026</v>
      </c>
      <c r="K260" s="24"/>
      <c r="L260" s="7" t="str">
        <f t="shared" si="11"/>
        <v>OK</v>
      </c>
    </row>
    <row r="261" spans="1:12" x14ac:dyDescent="0.25">
      <c r="A261" s="23">
        <v>46273</v>
      </c>
      <c r="B261" s="24" t="s">
        <v>153</v>
      </c>
      <c r="C261" s="24" t="s">
        <v>185</v>
      </c>
      <c r="D261" s="24" t="s">
        <v>186</v>
      </c>
      <c r="E261" s="24" t="s">
        <v>180</v>
      </c>
      <c r="F261" s="24" t="s">
        <v>187</v>
      </c>
      <c r="G261" s="25">
        <v>3230</v>
      </c>
      <c r="H261" s="16" t="str">
        <f>IF(C261="","",IFERROR(INDEX(Settings!$L$4:$L$56,MATCH(C261,Settings!$K$4:$K$56,0)),"Unknown"))</f>
        <v>Housing &amp; Utilities</v>
      </c>
      <c r="I261" s="8">
        <f t="shared" si="9"/>
        <v>9</v>
      </c>
      <c r="J261" s="8">
        <f t="shared" si="10"/>
        <v>2026</v>
      </c>
      <c r="K261" s="24"/>
      <c r="L261" s="7" t="str">
        <f t="shared" si="11"/>
        <v>OK</v>
      </c>
    </row>
    <row r="262" spans="1:12" x14ac:dyDescent="0.25">
      <c r="A262" s="23">
        <v>46274</v>
      </c>
      <c r="B262" s="24" t="s">
        <v>153</v>
      </c>
      <c r="C262" s="24" t="s">
        <v>188</v>
      </c>
      <c r="D262" s="24" t="s">
        <v>189</v>
      </c>
      <c r="E262" s="24" t="s">
        <v>180</v>
      </c>
      <c r="F262" s="24" t="s">
        <v>190</v>
      </c>
      <c r="G262" s="25">
        <v>700</v>
      </c>
      <c r="H262" s="16" t="str">
        <f>IF(C262="","",IFERROR(INDEX(Settings!$L$4:$L$56,MATCH(C262,Settings!$K$4:$K$56,0)),"Unknown"))</f>
        <v>Housing &amp; Utilities</v>
      </c>
      <c r="I262" s="8">
        <f t="shared" ref="I262:I325" si="12">IF(A262="","",MONTH(A262))</f>
        <v>9</v>
      </c>
      <c r="J262" s="8">
        <f t="shared" ref="J262:J325" si="13">IF(A262="","",YEAR(A262))</f>
        <v>2026</v>
      </c>
      <c r="K262" s="24"/>
      <c r="L262" s="7" t="str">
        <f t="shared" ref="L262:L325" si="14">IF(OR(B262="",C262=""),"",IF(AND(B262="Income",H262&lt;&gt;"Income"),"Category is not an Income category",IF(AND(B262="Expense",H262="Income"),"Category is an Income category","OK")))</f>
        <v>OK</v>
      </c>
    </row>
    <row r="263" spans="1:12" x14ac:dyDescent="0.25">
      <c r="A263" s="23">
        <v>46275</v>
      </c>
      <c r="B263" s="24" t="s">
        <v>153</v>
      </c>
      <c r="C263" s="24" t="s">
        <v>193</v>
      </c>
      <c r="D263" s="24" t="s">
        <v>194</v>
      </c>
      <c r="E263" s="24" t="s">
        <v>180</v>
      </c>
      <c r="F263" s="24" t="s">
        <v>195</v>
      </c>
      <c r="G263" s="25">
        <v>1080</v>
      </c>
      <c r="H263" s="16" t="str">
        <f>IF(C263="","",IFERROR(INDEX(Settings!$L$4:$L$56,MATCH(C263,Settings!$K$4:$K$56,0)),"Unknown"))</f>
        <v>Housing &amp; Utilities</v>
      </c>
      <c r="I263" s="8">
        <f t="shared" si="12"/>
        <v>9</v>
      </c>
      <c r="J263" s="8">
        <f t="shared" si="13"/>
        <v>2026</v>
      </c>
      <c r="K263" s="24"/>
      <c r="L263" s="7" t="str">
        <f t="shared" si="14"/>
        <v>OK</v>
      </c>
    </row>
    <row r="264" spans="1:12" x14ac:dyDescent="0.25">
      <c r="A264" s="23">
        <v>46275</v>
      </c>
      <c r="B264" s="24" t="s">
        <v>153</v>
      </c>
      <c r="C264" s="24" t="s">
        <v>196</v>
      </c>
      <c r="D264" s="24" t="s">
        <v>197</v>
      </c>
      <c r="E264" s="24" t="s">
        <v>180</v>
      </c>
      <c r="F264" s="24" t="s">
        <v>198</v>
      </c>
      <c r="G264" s="25">
        <v>5000</v>
      </c>
      <c r="H264" s="16" t="str">
        <f>IF(C264="","",IFERROR(INDEX(Settings!$L$4:$L$56,MATCH(C264,Settings!$K$4:$K$56,0)),"Unknown"))</f>
        <v>Family &amp; Education</v>
      </c>
      <c r="I264" s="8">
        <f t="shared" si="12"/>
        <v>9</v>
      </c>
      <c r="J264" s="8">
        <f t="shared" si="13"/>
        <v>2026</v>
      </c>
      <c r="K264" s="24"/>
      <c r="L264" s="7" t="str">
        <f t="shared" si="14"/>
        <v>OK</v>
      </c>
    </row>
    <row r="265" spans="1:12" x14ac:dyDescent="0.25">
      <c r="A265" s="23">
        <v>46275</v>
      </c>
      <c r="B265" s="24" t="s">
        <v>153</v>
      </c>
      <c r="C265" s="24" t="s">
        <v>238</v>
      </c>
      <c r="D265" s="24" t="s">
        <v>300</v>
      </c>
      <c r="E265" s="24" t="s">
        <v>156</v>
      </c>
      <c r="F265" s="24" t="s">
        <v>240</v>
      </c>
      <c r="G265" s="25">
        <v>9000</v>
      </c>
      <c r="H265" s="16" t="str">
        <f>IF(C265="","",IFERROR(INDEX(Settings!$L$4:$L$56,MATCH(C265,Settings!$K$4:$K$56,0)),"Unknown"))</f>
        <v>Lifestyle</v>
      </c>
      <c r="I265" s="8">
        <f t="shared" si="12"/>
        <v>9</v>
      </c>
      <c r="J265" s="8">
        <f t="shared" si="13"/>
        <v>2026</v>
      </c>
      <c r="K265" s="24"/>
      <c r="L265" s="7" t="str">
        <f t="shared" si="14"/>
        <v>OK</v>
      </c>
    </row>
    <row r="266" spans="1:12" x14ac:dyDescent="0.25">
      <c r="A266" s="23">
        <v>46276</v>
      </c>
      <c r="B266" s="24" t="s">
        <v>153</v>
      </c>
      <c r="C266" s="24" t="s">
        <v>199</v>
      </c>
      <c r="D266" s="24" t="s">
        <v>200</v>
      </c>
      <c r="E266" s="24" t="s">
        <v>163</v>
      </c>
      <c r="F266" s="24" t="s">
        <v>201</v>
      </c>
      <c r="G266" s="25">
        <v>1290</v>
      </c>
      <c r="H266" s="16" t="str">
        <f>IF(C266="","",IFERROR(INDEX(Settings!$L$4:$L$56,MATCH(C266,Settings!$K$4:$K$56,0)),"Unknown"))</f>
        <v>Transport</v>
      </c>
      <c r="I266" s="8">
        <f t="shared" si="12"/>
        <v>9</v>
      </c>
      <c r="J266" s="8">
        <f t="shared" si="13"/>
        <v>2026</v>
      </c>
      <c r="K266" s="24"/>
      <c r="L266" s="7" t="str">
        <f t="shared" si="14"/>
        <v>OK</v>
      </c>
    </row>
    <row r="267" spans="1:12" x14ac:dyDescent="0.25">
      <c r="A267" s="23">
        <v>46277</v>
      </c>
      <c r="B267" s="24" t="s">
        <v>153</v>
      </c>
      <c r="C267" s="24" t="s">
        <v>202</v>
      </c>
      <c r="D267" s="24" t="s">
        <v>203</v>
      </c>
      <c r="E267" s="24" t="s">
        <v>180</v>
      </c>
      <c r="F267" s="24" t="s">
        <v>204</v>
      </c>
      <c r="G267" s="25">
        <v>900</v>
      </c>
      <c r="H267" s="16" t="str">
        <f>IF(C267="","",IFERROR(INDEX(Settings!$L$4:$L$56,MATCH(C267,Settings!$K$4:$K$56,0)),"Unknown"))</f>
        <v>Housing &amp; Utilities</v>
      </c>
      <c r="I267" s="8">
        <f t="shared" si="12"/>
        <v>9</v>
      </c>
      <c r="J267" s="8">
        <f t="shared" si="13"/>
        <v>2026</v>
      </c>
      <c r="K267" s="24"/>
      <c r="L267" s="7" t="str">
        <f t="shared" si="14"/>
        <v>OK</v>
      </c>
    </row>
    <row r="268" spans="1:12" x14ac:dyDescent="0.25">
      <c r="A268" s="23">
        <v>46277</v>
      </c>
      <c r="B268" s="24" t="s">
        <v>153</v>
      </c>
      <c r="C268" s="24" t="s">
        <v>276</v>
      </c>
      <c r="D268" s="24" t="s">
        <v>277</v>
      </c>
      <c r="E268" s="24" t="s">
        <v>206</v>
      </c>
      <c r="F268" s="24" t="s">
        <v>278</v>
      </c>
      <c r="G268" s="25">
        <v>1800</v>
      </c>
      <c r="H268" s="16" t="str">
        <f>IF(C268="","",IFERROR(INDEX(Settings!$L$4:$L$56,MATCH(C268,Settings!$K$4:$K$56,0)),"Unknown"))</f>
        <v>Health</v>
      </c>
      <c r="I268" s="8">
        <f t="shared" si="12"/>
        <v>9</v>
      </c>
      <c r="J268" s="8">
        <f t="shared" si="13"/>
        <v>2026</v>
      </c>
      <c r="K268" s="24"/>
      <c r="L268" s="7" t="str">
        <f t="shared" si="14"/>
        <v>OK</v>
      </c>
    </row>
    <row r="269" spans="1:12" x14ac:dyDescent="0.25">
      <c r="A269" s="23">
        <v>46278</v>
      </c>
      <c r="B269" s="24" t="s">
        <v>153</v>
      </c>
      <c r="C269" s="24" t="s">
        <v>161</v>
      </c>
      <c r="D269" s="24" t="s">
        <v>205</v>
      </c>
      <c r="E269" s="24" t="s">
        <v>206</v>
      </c>
      <c r="F269" s="24" t="s">
        <v>207</v>
      </c>
      <c r="G269" s="25">
        <v>3440</v>
      </c>
      <c r="H269" s="16" t="str">
        <f>IF(C269="","",IFERROR(INDEX(Settings!$L$4:$L$56,MATCH(C269,Settings!$K$4:$K$56,0)),"Unknown"))</f>
        <v>Food</v>
      </c>
      <c r="I269" s="8">
        <f t="shared" si="12"/>
        <v>9</v>
      </c>
      <c r="J269" s="8">
        <f t="shared" si="13"/>
        <v>2026</v>
      </c>
      <c r="K269" s="24"/>
      <c r="L269" s="7" t="str">
        <f t="shared" si="14"/>
        <v>OK</v>
      </c>
    </row>
    <row r="270" spans="1:12" x14ac:dyDescent="0.25">
      <c r="A270" s="23">
        <v>46279</v>
      </c>
      <c r="B270" s="24" t="s">
        <v>153</v>
      </c>
      <c r="C270" s="24" t="s">
        <v>208</v>
      </c>
      <c r="D270" s="24" t="s">
        <v>209</v>
      </c>
      <c r="E270" s="24" t="s">
        <v>156</v>
      </c>
      <c r="F270" s="24" t="s">
        <v>210</v>
      </c>
      <c r="G270" s="25">
        <v>940</v>
      </c>
      <c r="H270" s="16" t="str">
        <f>IF(C270="","",IFERROR(INDEX(Settings!$L$4:$L$56,MATCH(C270,Settings!$K$4:$K$56,0)),"Unknown"))</f>
        <v>Food</v>
      </c>
      <c r="I270" s="8">
        <f t="shared" si="12"/>
        <v>9</v>
      </c>
      <c r="J270" s="8">
        <f t="shared" si="13"/>
        <v>2026</v>
      </c>
      <c r="K270" s="24"/>
      <c r="L270" s="7" t="str">
        <f t="shared" si="14"/>
        <v>OK</v>
      </c>
    </row>
    <row r="271" spans="1:12" x14ac:dyDescent="0.25">
      <c r="A271" s="23">
        <v>46280</v>
      </c>
      <c r="B271" s="24" t="s">
        <v>153</v>
      </c>
      <c r="C271" s="24" t="s">
        <v>182</v>
      </c>
      <c r="D271" s="24" t="s">
        <v>211</v>
      </c>
      <c r="E271" s="24" t="s">
        <v>163</v>
      </c>
      <c r="F271" s="24" t="s">
        <v>192</v>
      </c>
      <c r="G271" s="25">
        <v>740</v>
      </c>
      <c r="H271" s="16" t="str">
        <f>IF(C271="","",IFERROR(INDEX(Settings!$L$4:$L$56,MATCH(C271,Settings!$K$4:$K$56,0)),"Unknown"))</f>
        <v>Transport</v>
      </c>
      <c r="I271" s="8">
        <f t="shared" si="12"/>
        <v>9</v>
      </c>
      <c r="J271" s="8">
        <f t="shared" si="13"/>
        <v>2026</v>
      </c>
      <c r="K271" s="24"/>
      <c r="L271" s="7" t="str">
        <f t="shared" si="14"/>
        <v>OK</v>
      </c>
    </row>
    <row r="272" spans="1:12" x14ac:dyDescent="0.25">
      <c r="A272" s="23">
        <v>46280</v>
      </c>
      <c r="B272" s="24" t="s">
        <v>153</v>
      </c>
      <c r="C272" s="24" t="s">
        <v>212</v>
      </c>
      <c r="D272" s="24" t="s">
        <v>213</v>
      </c>
      <c r="E272" s="24" t="s">
        <v>170</v>
      </c>
      <c r="F272" s="24" t="s">
        <v>214</v>
      </c>
      <c r="G272" s="25">
        <v>2500</v>
      </c>
      <c r="H272" s="16" t="str">
        <f>IF(C272="","",IFERROR(INDEX(Settings!$L$4:$L$56,MATCH(C272,Settings!$K$4:$K$56,0)),"Unknown"))</f>
        <v>Financial Obligations</v>
      </c>
      <c r="I272" s="8">
        <f t="shared" si="12"/>
        <v>9</v>
      </c>
      <c r="J272" s="8">
        <f t="shared" si="13"/>
        <v>2026</v>
      </c>
      <c r="K272" s="24"/>
      <c r="L272" s="7" t="str">
        <f t="shared" si="14"/>
        <v>OK</v>
      </c>
    </row>
    <row r="273" spans="1:12" x14ac:dyDescent="0.25">
      <c r="A273" s="23">
        <v>46283</v>
      </c>
      <c r="B273" s="24" t="s">
        <v>153</v>
      </c>
      <c r="C273" s="24" t="s">
        <v>218</v>
      </c>
      <c r="D273" s="24" t="s">
        <v>219</v>
      </c>
      <c r="E273" s="24" t="s">
        <v>163</v>
      </c>
      <c r="F273" s="24" t="s">
        <v>220</v>
      </c>
      <c r="G273" s="25">
        <v>1550</v>
      </c>
      <c r="H273" s="16" t="str">
        <f>IF(C273="","",IFERROR(INDEX(Settings!$L$4:$L$56,MATCH(C273,Settings!$K$4:$K$56,0)),"Unknown"))</f>
        <v>Health</v>
      </c>
      <c r="I273" s="8">
        <f t="shared" si="12"/>
        <v>9</v>
      </c>
      <c r="J273" s="8">
        <f t="shared" si="13"/>
        <v>2026</v>
      </c>
      <c r="K273" s="24"/>
      <c r="L273" s="7" t="str">
        <f t="shared" si="14"/>
        <v>OK</v>
      </c>
    </row>
    <row r="274" spans="1:12" x14ac:dyDescent="0.25">
      <c r="A274" s="23">
        <v>46285</v>
      </c>
      <c r="B274" s="24" t="s">
        <v>153</v>
      </c>
      <c r="C274" s="24" t="s">
        <v>224</v>
      </c>
      <c r="D274" s="24" t="s">
        <v>225</v>
      </c>
      <c r="E274" s="24" t="s">
        <v>163</v>
      </c>
      <c r="F274" s="24" t="s">
        <v>226</v>
      </c>
      <c r="G274" s="25">
        <v>790</v>
      </c>
      <c r="H274" s="16" t="str">
        <f>IF(C274="","",IFERROR(INDEX(Settings!$L$4:$L$56,MATCH(C274,Settings!$K$4:$K$56,0)),"Unknown"))</f>
        <v>Lifestyle</v>
      </c>
      <c r="I274" s="8">
        <f t="shared" si="12"/>
        <v>9</v>
      </c>
      <c r="J274" s="8">
        <f t="shared" si="13"/>
        <v>2026</v>
      </c>
      <c r="K274" s="24"/>
      <c r="L274" s="7" t="str">
        <f t="shared" si="14"/>
        <v>OK</v>
      </c>
    </row>
    <row r="275" spans="1:12" x14ac:dyDescent="0.25">
      <c r="A275" s="23">
        <v>46287</v>
      </c>
      <c r="B275" s="24" t="s">
        <v>153</v>
      </c>
      <c r="C275" s="24" t="s">
        <v>161</v>
      </c>
      <c r="D275" s="24" t="s">
        <v>227</v>
      </c>
      <c r="E275" s="24" t="s">
        <v>163</v>
      </c>
      <c r="F275" s="24" t="s">
        <v>164</v>
      </c>
      <c r="G275" s="25">
        <v>3500</v>
      </c>
      <c r="H275" s="16" t="str">
        <f>IF(C275="","",IFERROR(INDEX(Settings!$L$4:$L$56,MATCH(C275,Settings!$K$4:$K$56,0)),"Unknown"))</f>
        <v>Food</v>
      </c>
      <c r="I275" s="8">
        <f t="shared" si="12"/>
        <v>9</v>
      </c>
      <c r="J275" s="8">
        <f t="shared" si="13"/>
        <v>2026</v>
      </c>
      <c r="K275" s="24"/>
      <c r="L275" s="7" t="str">
        <f t="shared" si="14"/>
        <v>OK</v>
      </c>
    </row>
    <row r="276" spans="1:12" x14ac:dyDescent="0.25">
      <c r="A276" s="23">
        <v>46287</v>
      </c>
      <c r="B276" s="24" t="s">
        <v>153</v>
      </c>
      <c r="C276" s="24" t="s">
        <v>265</v>
      </c>
      <c r="D276" s="24" t="s">
        <v>266</v>
      </c>
      <c r="E276" s="24" t="s">
        <v>163</v>
      </c>
      <c r="F276" s="24" t="s">
        <v>267</v>
      </c>
      <c r="G276" s="25">
        <v>2030</v>
      </c>
      <c r="H276" s="16" t="str">
        <f>IF(C276="","",IFERROR(INDEX(Settings!$L$4:$L$56,MATCH(C276,Settings!$K$4:$K$56,0)),"Unknown"))</f>
        <v>Transport</v>
      </c>
      <c r="I276" s="8">
        <f t="shared" si="12"/>
        <v>9</v>
      </c>
      <c r="J276" s="8">
        <f t="shared" si="13"/>
        <v>2026</v>
      </c>
      <c r="K276" s="24"/>
      <c r="L276" s="7" t="str">
        <f t="shared" si="14"/>
        <v>OK</v>
      </c>
    </row>
    <row r="277" spans="1:12" x14ac:dyDescent="0.25">
      <c r="A277" s="23">
        <v>46290</v>
      </c>
      <c r="B277" s="24" t="s">
        <v>153</v>
      </c>
      <c r="C277" s="24" t="s">
        <v>228</v>
      </c>
      <c r="D277" s="24" t="s">
        <v>229</v>
      </c>
      <c r="E277" s="24" t="s">
        <v>151</v>
      </c>
      <c r="F277" s="24" t="s">
        <v>230</v>
      </c>
      <c r="G277" s="25">
        <v>2800</v>
      </c>
      <c r="H277" s="16" t="str">
        <f>IF(C277="","",IFERROR(INDEX(Settings!$L$4:$L$56,MATCH(C277,Settings!$K$4:$K$56,0)),"Unknown"))</f>
        <v>Financial Obligations</v>
      </c>
      <c r="I277" s="8">
        <f t="shared" si="12"/>
        <v>9</v>
      </c>
      <c r="J277" s="8">
        <f t="shared" si="13"/>
        <v>2026</v>
      </c>
      <c r="K277" s="24"/>
      <c r="L277" s="7" t="str">
        <f t="shared" si="14"/>
        <v>OK</v>
      </c>
    </row>
    <row r="278" spans="1:12" x14ac:dyDescent="0.25">
      <c r="A278" s="23">
        <v>46293</v>
      </c>
      <c r="B278" s="24" t="s">
        <v>153</v>
      </c>
      <c r="C278" s="24" t="s">
        <v>231</v>
      </c>
      <c r="D278" s="24" t="s">
        <v>232</v>
      </c>
      <c r="E278" s="24" t="s">
        <v>170</v>
      </c>
      <c r="F278" s="24" t="s">
        <v>171</v>
      </c>
      <c r="G278" s="25">
        <v>250</v>
      </c>
      <c r="H278" s="16" t="str">
        <f>IF(C278="","",IFERROR(INDEX(Settings!$L$4:$L$56,MATCH(C278,Settings!$K$4:$K$56,0)),"Unknown"))</f>
        <v>Financial Obligations</v>
      </c>
      <c r="I278" s="8">
        <f t="shared" si="12"/>
        <v>9</v>
      </c>
      <c r="J278" s="8">
        <f t="shared" si="13"/>
        <v>2026</v>
      </c>
      <c r="K278" s="24"/>
      <c r="L278" s="7" t="str">
        <f t="shared" si="14"/>
        <v>OK</v>
      </c>
    </row>
    <row r="279" spans="1:12" x14ac:dyDescent="0.25">
      <c r="A279" s="23">
        <v>46293</v>
      </c>
      <c r="B279" s="24" t="s">
        <v>153</v>
      </c>
      <c r="C279" s="24" t="s">
        <v>233</v>
      </c>
      <c r="D279" s="24" t="s">
        <v>234</v>
      </c>
      <c r="E279" s="24" t="s">
        <v>151</v>
      </c>
      <c r="F279" s="24" t="s">
        <v>235</v>
      </c>
      <c r="G279" s="25">
        <v>3000</v>
      </c>
      <c r="H279" s="16" t="str">
        <f>IF(C279="","",IFERROR(INDEX(Settings!$L$4:$L$56,MATCH(C279,Settings!$K$4:$K$56,0)),"Unknown"))</f>
        <v>Savings &amp; Investments</v>
      </c>
      <c r="I279" s="8">
        <f t="shared" si="12"/>
        <v>9</v>
      </c>
      <c r="J279" s="8">
        <f t="shared" si="13"/>
        <v>2026</v>
      </c>
      <c r="K279" s="24"/>
      <c r="L279" s="7" t="str">
        <f t="shared" si="14"/>
        <v>OK</v>
      </c>
    </row>
    <row r="280" spans="1:12" x14ac:dyDescent="0.25">
      <c r="A280" s="23">
        <v>46293</v>
      </c>
      <c r="B280" s="24" t="s">
        <v>148</v>
      </c>
      <c r="C280" s="24" t="s">
        <v>270</v>
      </c>
      <c r="D280" s="24" t="s">
        <v>271</v>
      </c>
      <c r="E280" s="24" t="s">
        <v>151</v>
      </c>
      <c r="F280" s="24" t="s">
        <v>171</v>
      </c>
      <c r="G280" s="25">
        <v>3200</v>
      </c>
      <c r="H280" s="16" t="str">
        <f>IF(C280="","",IFERROR(INDEX(Settings!$L$4:$L$56,MATCH(C280,Settings!$K$4:$K$56,0)),"Unknown"))</f>
        <v>Income</v>
      </c>
      <c r="I280" s="8">
        <f t="shared" si="12"/>
        <v>9</v>
      </c>
      <c r="J280" s="8">
        <f t="shared" si="13"/>
        <v>2026</v>
      </c>
      <c r="K280" s="24"/>
      <c r="L280" s="7" t="str">
        <f t="shared" si="14"/>
        <v>OK</v>
      </c>
    </row>
    <row r="281" spans="1:12" x14ac:dyDescent="0.25">
      <c r="A281" s="23">
        <v>46296</v>
      </c>
      <c r="B281" s="24" t="s">
        <v>148</v>
      </c>
      <c r="C281" s="24" t="s">
        <v>149</v>
      </c>
      <c r="D281" s="24" t="s">
        <v>301</v>
      </c>
      <c r="E281" s="24" t="s">
        <v>151</v>
      </c>
      <c r="F281" s="24" t="s">
        <v>152</v>
      </c>
      <c r="G281" s="25">
        <v>115000</v>
      </c>
      <c r="H281" s="16" t="str">
        <f>IF(C281="","",IFERROR(INDEX(Settings!$L$4:$L$56,MATCH(C281,Settings!$K$4:$K$56,0)),"Unknown"))</f>
        <v>Income</v>
      </c>
      <c r="I281" s="8">
        <f t="shared" si="12"/>
        <v>10</v>
      </c>
      <c r="J281" s="8">
        <f t="shared" si="13"/>
        <v>2026</v>
      </c>
      <c r="K281" s="24"/>
      <c r="L281" s="7" t="str">
        <f t="shared" si="14"/>
        <v>OK</v>
      </c>
    </row>
    <row r="282" spans="1:12" x14ac:dyDescent="0.25">
      <c r="A282" s="23">
        <v>46297</v>
      </c>
      <c r="B282" s="24" t="s">
        <v>153</v>
      </c>
      <c r="C282" s="24" t="s">
        <v>154</v>
      </c>
      <c r="D282" s="24" t="s">
        <v>155</v>
      </c>
      <c r="E282" s="24" t="s">
        <v>156</v>
      </c>
      <c r="F282" s="24" t="s">
        <v>157</v>
      </c>
      <c r="G282" s="25">
        <v>1100</v>
      </c>
      <c r="H282" s="16" t="str">
        <f>IF(C282="","",IFERROR(INDEX(Settings!$L$4:$L$56,MATCH(C282,Settings!$K$4:$K$56,0)),"Unknown"))</f>
        <v>Lifestyle</v>
      </c>
      <c r="I282" s="8">
        <f t="shared" si="12"/>
        <v>10</v>
      </c>
      <c r="J282" s="8">
        <f t="shared" si="13"/>
        <v>2026</v>
      </c>
      <c r="K282" s="24"/>
      <c r="L282" s="7" t="str">
        <f t="shared" si="14"/>
        <v>OK</v>
      </c>
    </row>
    <row r="283" spans="1:12" x14ac:dyDescent="0.25">
      <c r="A283" s="23">
        <v>46298</v>
      </c>
      <c r="B283" s="24" t="s">
        <v>153</v>
      </c>
      <c r="C283" s="24" t="s">
        <v>158</v>
      </c>
      <c r="D283" s="24" t="s">
        <v>302</v>
      </c>
      <c r="E283" s="24" t="s">
        <v>151</v>
      </c>
      <c r="F283" s="24" t="s">
        <v>160</v>
      </c>
      <c r="G283" s="25">
        <v>22000</v>
      </c>
      <c r="H283" s="16" t="str">
        <f>IF(C283="","",IFERROR(INDEX(Settings!$L$4:$L$56,MATCH(C283,Settings!$K$4:$K$56,0)),"Unknown"))</f>
        <v>Housing &amp; Utilities</v>
      </c>
      <c r="I283" s="8">
        <f t="shared" si="12"/>
        <v>10</v>
      </c>
      <c r="J283" s="8">
        <f t="shared" si="13"/>
        <v>2026</v>
      </c>
      <c r="K283" s="24"/>
      <c r="L283" s="7" t="str">
        <f t="shared" si="14"/>
        <v>OK</v>
      </c>
    </row>
    <row r="284" spans="1:12" x14ac:dyDescent="0.25">
      <c r="A284" s="23">
        <v>46299</v>
      </c>
      <c r="B284" s="24" t="s">
        <v>153</v>
      </c>
      <c r="C284" s="24" t="s">
        <v>161</v>
      </c>
      <c r="D284" s="24" t="s">
        <v>162</v>
      </c>
      <c r="E284" s="24" t="s">
        <v>163</v>
      </c>
      <c r="F284" s="24" t="s">
        <v>164</v>
      </c>
      <c r="G284" s="25">
        <v>3690</v>
      </c>
      <c r="H284" s="16" t="str">
        <f>IF(C284="","",IFERROR(INDEX(Settings!$L$4:$L$56,MATCH(C284,Settings!$K$4:$K$56,0)),"Unknown"))</f>
        <v>Food</v>
      </c>
      <c r="I284" s="8">
        <f t="shared" si="12"/>
        <v>10</v>
      </c>
      <c r="J284" s="8">
        <f t="shared" si="13"/>
        <v>2026</v>
      </c>
      <c r="K284" s="24"/>
      <c r="L284" s="7" t="str">
        <f t="shared" si="14"/>
        <v>OK</v>
      </c>
    </row>
    <row r="285" spans="1:12" x14ac:dyDescent="0.25">
      <c r="A285" s="23">
        <v>46300</v>
      </c>
      <c r="B285" s="24" t="s">
        <v>153</v>
      </c>
      <c r="C285" s="24" t="s">
        <v>165</v>
      </c>
      <c r="D285" s="24" t="s">
        <v>166</v>
      </c>
      <c r="E285" s="24" t="s">
        <v>163</v>
      </c>
      <c r="F285" s="24" t="s">
        <v>167</v>
      </c>
      <c r="G285" s="25">
        <v>3000</v>
      </c>
      <c r="H285" s="16" t="str">
        <f>IF(C285="","",IFERROR(INDEX(Settings!$L$4:$L$56,MATCH(C285,Settings!$K$4:$K$56,0)),"Unknown"))</f>
        <v>Housing &amp; Utilities</v>
      </c>
      <c r="I285" s="8">
        <f t="shared" si="12"/>
        <v>10</v>
      </c>
      <c r="J285" s="8">
        <f t="shared" si="13"/>
        <v>2026</v>
      </c>
      <c r="K285" s="24"/>
      <c r="L285" s="7" t="str">
        <f t="shared" si="14"/>
        <v>OK</v>
      </c>
    </row>
    <row r="286" spans="1:12" x14ac:dyDescent="0.25">
      <c r="A286" s="23">
        <v>46300</v>
      </c>
      <c r="B286" s="24" t="s">
        <v>153</v>
      </c>
      <c r="C286" s="24" t="s">
        <v>168</v>
      </c>
      <c r="D286" s="24" t="s">
        <v>169</v>
      </c>
      <c r="E286" s="24" t="s">
        <v>170</v>
      </c>
      <c r="F286" s="24" t="s">
        <v>171</v>
      </c>
      <c r="G286" s="25">
        <v>15300</v>
      </c>
      <c r="H286" s="16" t="str">
        <f>IF(C286="","",IFERROR(INDEX(Settings!$L$4:$L$56,MATCH(C286,Settings!$K$4:$K$56,0)),"Unknown"))</f>
        <v>Financial Obligations</v>
      </c>
      <c r="I286" s="8">
        <f t="shared" si="12"/>
        <v>10</v>
      </c>
      <c r="J286" s="8">
        <f t="shared" si="13"/>
        <v>2026</v>
      </c>
      <c r="K286" s="24"/>
      <c r="L286" s="7" t="str">
        <f t="shared" si="14"/>
        <v>OK</v>
      </c>
    </row>
    <row r="287" spans="1:12" x14ac:dyDescent="0.25">
      <c r="A287" s="23">
        <v>46300</v>
      </c>
      <c r="B287" s="24" t="s">
        <v>153</v>
      </c>
      <c r="C287" s="24" t="s">
        <v>172</v>
      </c>
      <c r="D287" s="24" t="s">
        <v>173</v>
      </c>
      <c r="E287" s="24" t="s">
        <v>170</v>
      </c>
      <c r="F287" s="24" t="s">
        <v>174</v>
      </c>
      <c r="G287" s="25">
        <v>5000</v>
      </c>
      <c r="H287" s="16" t="str">
        <f>IF(C287="","",IFERROR(INDEX(Settings!$L$4:$L$56,MATCH(C287,Settings!$K$4:$K$56,0)),"Unknown"))</f>
        <v>Savings &amp; Investments</v>
      </c>
      <c r="I287" s="8">
        <f t="shared" si="12"/>
        <v>10</v>
      </c>
      <c r="J287" s="8">
        <f t="shared" si="13"/>
        <v>2026</v>
      </c>
      <c r="K287" s="24"/>
      <c r="L287" s="7" t="str">
        <f t="shared" si="14"/>
        <v>OK</v>
      </c>
    </row>
    <row r="288" spans="1:12" x14ac:dyDescent="0.25">
      <c r="A288" s="23">
        <v>46300</v>
      </c>
      <c r="B288" s="24" t="s">
        <v>153</v>
      </c>
      <c r="C288" s="24" t="s">
        <v>175</v>
      </c>
      <c r="D288" s="24" t="s">
        <v>176</v>
      </c>
      <c r="E288" s="24" t="s">
        <v>151</v>
      </c>
      <c r="F288" s="24" t="s">
        <v>177</v>
      </c>
      <c r="G288" s="25">
        <v>3500</v>
      </c>
      <c r="H288" s="16" t="str">
        <f>IF(C288="","",IFERROR(INDEX(Settings!$L$4:$L$56,MATCH(C288,Settings!$K$4:$K$56,0)),"Unknown"))</f>
        <v>Family &amp; Education</v>
      </c>
      <c r="I288" s="8">
        <f t="shared" si="12"/>
        <v>10</v>
      </c>
      <c r="J288" s="8">
        <f t="shared" si="13"/>
        <v>2026</v>
      </c>
      <c r="K288" s="24"/>
      <c r="L288" s="7" t="str">
        <f t="shared" si="14"/>
        <v>OK</v>
      </c>
    </row>
    <row r="289" spans="1:12" x14ac:dyDescent="0.25">
      <c r="A289" s="23">
        <v>46301</v>
      </c>
      <c r="B289" s="24" t="s">
        <v>153</v>
      </c>
      <c r="C289" s="24" t="s">
        <v>178</v>
      </c>
      <c r="D289" s="24" t="s">
        <v>179</v>
      </c>
      <c r="E289" s="24" t="s">
        <v>180</v>
      </c>
      <c r="F289" s="24" t="s">
        <v>181</v>
      </c>
      <c r="G289" s="25">
        <v>1000</v>
      </c>
      <c r="H289" s="16" t="str">
        <f>IF(C289="","",IFERROR(INDEX(Settings!$L$4:$L$56,MATCH(C289,Settings!$K$4:$K$56,0)),"Unknown"))</f>
        <v>Housing &amp; Utilities</v>
      </c>
      <c r="I289" s="8">
        <f t="shared" si="12"/>
        <v>10</v>
      </c>
      <c r="J289" s="8">
        <f t="shared" si="13"/>
        <v>2026</v>
      </c>
      <c r="K289" s="24"/>
      <c r="L289" s="7" t="str">
        <f t="shared" si="14"/>
        <v>OK</v>
      </c>
    </row>
    <row r="290" spans="1:12" x14ac:dyDescent="0.25">
      <c r="A290" s="23">
        <v>46302</v>
      </c>
      <c r="B290" s="24" t="s">
        <v>153</v>
      </c>
      <c r="C290" s="24" t="s">
        <v>182</v>
      </c>
      <c r="D290" s="24" t="s">
        <v>183</v>
      </c>
      <c r="E290" s="24" t="s">
        <v>180</v>
      </c>
      <c r="F290" s="24" t="s">
        <v>184</v>
      </c>
      <c r="G290" s="25">
        <v>880</v>
      </c>
      <c r="H290" s="16" t="str">
        <f>IF(C290="","",IFERROR(INDEX(Settings!$L$4:$L$56,MATCH(C290,Settings!$K$4:$K$56,0)),"Unknown"))</f>
        <v>Transport</v>
      </c>
      <c r="I290" s="8">
        <f t="shared" si="12"/>
        <v>10</v>
      </c>
      <c r="J290" s="8">
        <f t="shared" si="13"/>
        <v>2026</v>
      </c>
      <c r="K290" s="24"/>
      <c r="L290" s="7" t="str">
        <f t="shared" si="14"/>
        <v>OK</v>
      </c>
    </row>
    <row r="291" spans="1:12" x14ac:dyDescent="0.25">
      <c r="A291" s="23">
        <v>46303</v>
      </c>
      <c r="B291" s="24" t="s">
        <v>153</v>
      </c>
      <c r="C291" s="24" t="s">
        <v>185</v>
      </c>
      <c r="D291" s="24" t="s">
        <v>186</v>
      </c>
      <c r="E291" s="24" t="s">
        <v>180</v>
      </c>
      <c r="F291" s="24" t="s">
        <v>187</v>
      </c>
      <c r="G291" s="25">
        <v>2710</v>
      </c>
      <c r="H291" s="16" t="str">
        <f>IF(C291="","",IFERROR(INDEX(Settings!$L$4:$L$56,MATCH(C291,Settings!$K$4:$K$56,0)),"Unknown"))</f>
        <v>Housing &amp; Utilities</v>
      </c>
      <c r="I291" s="8">
        <f t="shared" si="12"/>
        <v>10</v>
      </c>
      <c r="J291" s="8">
        <f t="shared" si="13"/>
        <v>2026</v>
      </c>
      <c r="K291" s="24"/>
      <c r="L291" s="7" t="str">
        <f t="shared" si="14"/>
        <v>OK</v>
      </c>
    </row>
    <row r="292" spans="1:12" x14ac:dyDescent="0.25">
      <c r="A292" s="23">
        <v>46304</v>
      </c>
      <c r="B292" s="24" t="s">
        <v>153</v>
      </c>
      <c r="C292" s="24" t="s">
        <v>188</v>
      </c>
      <c r="D292" s="24" t="s">
        <v>189</v>
      </c>
      <c r="E292" s="24" t="s">
        <v>180</v>
      </c>
      <c r="F292" s="24" t="s">
        <v>190</v>
      </c>
      <c r="G292" s="25">
        <v>700</v>
      </c>
      <c r="H292" s="16" t="str">
        <f>IF(C292="","",IFERROR(INDEX(Settings!$L$4:$L$56,MATCH(C292,Settings!$K$4:$K$56,0)),"Unknown"))</f>
        <v>Housing &amp; Utilities</v>
      </c>
      <c r="I292" s="8">
        <f t="shared" si="12"/>
        <v>10</v>
      </c>
      <c r="J292" s="8">
        <f t="shared" si="13"/>
        <v>2026</v>
      </c>
      <c r="K292" s="24"/>
      <c r="L292" s="7" t="str">
        <f t="shared" si="14"/>
        <v>OK</v>
      </c>
    </row>
    <row r="293" spans="1:12" x14ac:dyDescent="0.25">
      <c r="A293" s="23">
        <v>46305</v>
      </c>
      <c r="B293" s="24" t="s">
        <v>153</v>
      </c>
      <c r="C293" s="24" t="s">
        <v>193</v>
      </c>
      <c r="D293" s="24" t="s">
        <v>194</v>
      </c>
      <c r="E293" s="24" t="s">
        <v>180</v>
      </c>
      <c r="F293" s="24" t="s">
        <v>195</v>
      </c>
      <c r="G293" s="25">
        <v>1080</v>
      </c>
      <c r="H293" s="16" t="str">
        <f>IF(C293="","",IFERROR(INDEX(Settings!$L$4:$L$56,MATCH(C293,Settings!$K$4:$K$56,0)),"Unknown"))</f>
        <v>Housing &amp; Utilities</v>
      </c>
      <c r="I293" s="8">
        <f t="shared" si="12"/>
        <v>10</v>
      </c>
      <c r="J293" s="8">
        <f t="shared" si="13"/>
        <v>2026</v>
      </c>
      <c r="K293" s="24"/>
      <c r="L293" s="7" t="str">
        <f t="shared" si="14"/>
        <v>OK</v>
      </c>
    </row>
    <row r="294" spans="1:12" x14ac:dyDescent="0.25">
      <c r="A294" s="23">
        <v>46305</v>
      </c>
      <c r="B294" s="24" t="s">
        <v>153</v>
      </c>
      <c r="C294" s="24" t="s">
        <v>196</v>
      </c>
      <c r="D294" s="24" t="s">
        <v>197</v>
      </c>
      <c r="E294" s="24" t="s">
        <v>180</v>
      </c>
      <c r="F294" s="24" t="s">
        <v>198</v>
      </c>
      <c r="G294" s="25">
        <v>5000</v>
      </c>
      <c r="H294" s="16" t="str">
        <f>IF(C294="","",IFERROR(INDEX(Settings!$L$4:$L$56,MATCH(C294,Settings!$K$4:$K$56,0)),"Unknown"))</f>
        <v>Family &amp; Education</v>
      </c>
      <c r="I294" s="8">
        <f t="shared" si="12"/>
        <v>10</v>
      </c>
      <c r="J294" s="8">
        <f t="shared" si="13"/>
        <v>2026</v>
      </c>
      <c r="K294" s="24"/>
      <c r="L294" s="7" t="str">
        <f t="shared" si="14"/>
        <v>OK</v>
      </c>
    </row>
    <row r="295" spans="1:12" x14ac:dyDescent="0.25">
      <c r="A295" s="23">
        <v>46306</v>
      </c>
      <c r="B295" s="24" t="s">
        <v>153</v>
      </c>
      <c r="C295" s="24" t="s">
        <v>199</v>
      </c>
      <c r="D295" s="24" t="s">
        <v>200</v>
      </c>
      <c r="E295" s="24" t="s">
        <v>163</v>
      </c>
      <c r="F295" s="24" t="s">
        <v>201</v>
      </c>
      <c r="G295" s="25">
        <v>1500</v>
      </c>
      <c r="H295" s="16" t="str">
        <f>IF(C295="","",IFERROR(INDEX(Settings!$L$4:$L$56,MATCH(C295,Settings!$K$4:$K$56,0)),"Unknown"))</f>
        <v>Transport</v>
      </c>
      <c r="I295" s="8">
        <f t="shared" si="12"/>
        <v>10</v>
      </c>
      <c r="J295" s="8">
        <f t="shared" si="13"/>
        <v>2026</v>
      </c>
      <c r="K295" s="24"/>
      <c r="L295" s="7" t="str">
        <f t="shared" si="14"/>
        <v>OK</v>
      </c>
    </row>
    <row r="296" spans="1:12" x14ac:dyDescent="0.25">
      <c r="A296" s="23">
        <v>46307</v>
      </c>
      <c r="B296" s="24" t="s">
        <v>153</v>
      </c>
      <c r="C296" s="24" t="s">
        <v>202</v>
      </c>
      <c r="D296" s="24" t="s">
        <v>203</v>
      </c>
      <c r="E296" s="24" t="s">
        <v>180</v>
      </c>
      <c r="F296" s="24" t="s">
        <v>204</v>
      </c>
      <c r="G296" s="25">
        <v>900</v>
      </c>
      <c r="H296" s="16" t="str">
        <f>IF(C296="","",IFERROR(INDEX(Settings!$L$4:$L$56,MATCH(C296,Settings!$K$4:$K$56,0)),"Unknown"))</f>
        <v>Housing &amp; Utilities</v>
      </c>
      <c r="I296" s="8">
        <f t="shared" si="12"/>
        <v>10</v>
      </c>
      <c r="J296" s="8">
        <f t="shared" si="13"/>
        <v>2026</v>
      </c>
      <c r="K296" s="24"/>
      <c r="L296" s="7" t="str">
        <f t="shared" si="14"/>
        <v>OK</v>
      </c>
    </row>
    <row r="297" spans="1:12" x14ac:dyDescent="0.25">
      <c r="A297" s="23">
        <v>46308</v>
      </c>
      <c r="B297" s="24" t="s">
        <v>153</v>
      </c>
      <c r="C297" s="24" t="s">
        <v>161</v>
      </c>
      <c r="D297" s="24" t="s">
        <v>205</v>
      </c>
      <c r="E297" s="24" t="s">
        <v>206</v>
      </c>
      <c r="F297" s="24" t="s">
        <v>207</v>
      </c>
      <c r="G297" s="25">
        <v>3960</v>
      </c>
      <c r="H297" s="16" t="str">
        <f>IF(C297="","",IFERROR(INDEX(Settings!$L$4:$L$56,MATCH(C297,Settings!$K$4:$K$56,0)),"Unknown"))</f>
        <v>Food</v>
      </c>
      <c r="I297" s="8">
        <f t="shared" si="12"/>
        <v>10</v>
      </c>
      <c r="J297" s="8">
        <f t="shared" si="13"/>
        <v>2026</v>
      </c>
      <c r="K297" s="24"/>
      <c r="L297" s="7" t="str">
        <f t="shared" si="14"/>
        <v>OK</v>
      </c>
    </row>
    <row r="298" spans="1:12" x14ac:dyDescent="0.25">
      <c r="A298" s="23">
        <v>46309</v>
      </c>
      <c r="B298" s="24" t="s">
        <v>153</v>
      </c>
      <c r="C298" s="24" t="s">
        <v>208</v>
      </c>
      <c r="D298" s="24" t="s">
        <v>209</v>
      </c>
      <c r="E298" s="24" t="s">
        <v>156</v>
      </c>
      <c r="F298" s="24" t="s">
        <v>210</v>
      </c>
      <c r="G298" s="25">
        <v>1010</v>
      </c>
      <c r="H298" s="16" t="str">
        <f>IF(C298="","",IFERROR(INDEX(Settings!$L$4:$L$56,MATCH(C298,Settings!$K$4:$K$56,0)),"Unknown"))</f>
        <v>Food</v>
      </c>
      <c r="I298" s="8">
        <f t="shared" si="12"/>
        <v>10</v>
      </c>
      <c r="J298" s="8">
        <f t="shared" si="13"/>
        <v>2026</v>
      </c>
      <c r="K298" s="24"/>
      <c r="L298" s="7" t="str">
        <f t="shared" si="14"/>
        <v>OK</v>
      </c>
    </row>
    <row r="299" spans="1:12" x14ac:dyDescent="0.25">
      <c r="A299" s="23">
        <v>46310</v>
      </c>
      <c r="B299" s="24" t="s">
        <v>153</v>
      </c>
      <c r="C299" s="24" t="s">
        <v>182</v>
      </c>
      <c r="D299" s="24" t="s">
        <v>211</v>
      </c>
      <c r="E299" s="24" t="s">
        <v>163</v>
      </c>
      <c r="F299" s="24" t="s">
        <v>192</v>
      </c>
      <c r="G299" s="25">
        <v>750</v>
      </c>
      <c r="H299" s="16" t="str">
        <f>IF(C299="","",IFERROR(INDEX(Settings!$L$4:$L$56,MATCH(C299,Settings!$K$4:$K$56,0)),"Unknown"))</f>
        <v>Transport</v>
      </c>
      <c r="I299" s="8">
        <f t="shared" si="12"/>
        <v>10</v>
      </c>
      <c r="J299" s="8">
        <f t="shared" si="13"/>
        <v>2026</v>
      </c>
      <c r="K299" s="24"/>
      <c r="L299" s="7" t="str">
        <f t="shared" si="14"/>
        <v>OK</v>
      </c>
    </row>
    <row r="300" spans="1:12" x14ac:dyDescent="0.25">
      <c r="A300" s="23">
        <v>46310</v>
      </c>
      <c r="B300" s="24" t="s">
        <v>153</v>
      </c>
      <c r="C300" s="24" t="s">
        <v>212</v>
      </c>
      <c r="D300" s="24" t="s">
        <v>213</v>
      </c>
      <c r="E300" s="24" t="s">
        <v>170</v>
      </c>
      <c r="F300" s="24" t="s">
        <v>214</v>
      </c>
      <c r="G300" s="25">
        <v>2500</v>
      </c>
      <c r="H300" s="16" t="str">
        <f>IF(C300="","",IFERROR(INDEX(Settings!$L$4:$L$56,MATCH(C300,Settings!$K$4:$K$56,0)),"Unknown"))</f>
        <v>Financial Obligations</v>
      </c>
      <c r="I300" s="8">
        <f t="shared" si="12"/>
        <v>10</v>
      </c>
      <c r="J300" s="8">
        <f t="shared" si="13"/>
        <v>2026</v>
      </c>
      <c r="K300" s="24"/>
      <c r="L300" s="7" t="str">
        <f t="shared" si="14"/>
        <v>OK</v>
      </c>
    </row>
    <row r="301" spans="1:12" x14ac:dyDescent="0.25">
      <c r="A301" s="23">
        <v>46310</v>
      </c>
      <c r="B301" s="24" t="s">
        <v>148</v>
      </c>
      <c r="C301" s="24" t="s">
        <v>215</v>
      </c>
      <c r="D301" s="24" t="s">
        <v>216</v>
      </c>
      <c r="E301" s="24" t="s">
        <v>151</v>
      </c>
      <c r="F301" s="24" t="s">
        <v>217</v>
      </c>
      <c r="G301" s="25">
        <v>7776</v>
      </c>
      <c r="H301" s="16" t="str">
        <f>IF(C301="","",IFERROR(INDEX(Settings!$L$4:$L$56,MATCH(C301,Settings!$K$4:$K$56,0)),"Unknown"))</f>
        <v>Income</v>
      </c>
      <c r="I301" s="8">
        <f t="shared" si="12"/>
        <v>10</v>
      </c>
      <c r="J301" s="8">
        <f t="shared" si="13"/>
        <v>2026</v>
      </c>
      <c r="K301" s="24"/>
      <c r="L301" s="7" t="str">
        <f t="shared" si="14"/>
        <v>OK</v>
      </c>
    </row>
    <row r="302" spans="1:12" x14ac:dyDescent="0.25">
      <c r="A302" s="23">
        <v>46311</v>
      </c>
      <c r="B302" s="24" t="s">
        <v>148</v>
      </c>
      <c r="C302" s="24" t="s">
        <v>241</v>
      </c>
      <c r="D302" s="24" t="s">
        <v>242</v>
      </c>
      <c r="E302" s="24" t="s">
        <v>180</v>
      </c>
      <c r="F302" s="24" t="s">
        <v>243</v>
      </c>
      <c r="G302" s="25">
        <v>13400</v>
      </c>
      <c r="H302" s="16" t="str">
        <f>IF(C302="","",IFERROR(INDEX(Settings!$L$4:$L$56,MATCH(C302,Settings!$K$4:$K$56,0)),"Unknown"))</f>
        <v>Income</v>
      </c>
      <c r="I302" s="8">
        <f t="shared" si="12"/>
        <v>10</v>
      </c>
      <c r="J302" s="8">
        <f t="shared" si="13"/>
        <v>2026</v>
      </c>
      <c r="K302" s="24"/>
      <c r="L302" s="7" t="str">
        <f t="shared" si="14"/>
        <v>OK</v>
      </c>
    </row>
    <row r="303" spans="1:12" x14ac:dyDescent="0.25">
      <c r="A303" s="23">
        <v>46313</v>
      </c>
      <c r="B303" s="24" t="s">
        <v>153</v>
      </c>
      <c r="C303" s="24" t="s">
        <v>218</v>
      </c>
      <c r="D303" s="24" t="s">
        <v>219</v>
      </c>
      <c r="E303" s="24" t="s">
        <v>163</v>
      </c>
      <c r="F303" s="24" t="s">
        <v>220</v>
      </c>
      <c r="G303" s="25">
        <v>1350</v>
      </c>
      <c r="H303" s="16" t="str">
        <f>IF(C303="","",IFERROR(INDEX(Settings!$L$4:$L$56,MATCH(C303,Settings!$K$4:$K$56,0)),"Unknown"))</f>
        <v>Health</v>
      </c>
      <c r="I303" s="8">
        <f t="shared" si="12"/>
        <v>10</v>
      </c>
      <c r="J303" s="8">
        <f t="shared" si="13"/>
        <v>2026</v>
      </c>
      <c r="K303" s="24"/>
      <c r="L303" s="7" t="str">
        <f t="shared" si="14"/>
        <v>OK</v>
      </c>
    </row>
    <row r="304" spans="1:12" x14ac:dyDescent="0.25">
      <c r="A304" s="23">
        <v>46314</v>
      </c>
      <c r="B304" s="24" t="s">
        <v>153</v>
      </c>
      <c r="C304" s="24" t="s">
        <v>244</v>
      </c>
      <c r="D304" s="24" t="s">
        <v>245</v>
      </c>
      <c r="E304" s="24" t="s">
        <v>163</v>
      </c>
      <c r="F304" s="24" t="s">
        <v>246</v>
      </c>
      <c r="G304" s="25">
        <v>1690</v>
      </c>
      <c r="H304" s="16" t="str">
        <f>IF(C304="","",IFERROR(INDEX(Settings!$L$4:$L$56,MATCH(C304,Settings!$K$4:$K$56,0)),"Unknown"))</f>
        <v>Lifestyle</v>
      </c>
      <c r="I304" s="8">
        <f t="shared" si="12"/>
        <v>10</v>
      </c>
      <c r="J304" s="8">
        <f t="shared" si="13"/>
        <v>2026</v>
      </c>
      <c r="K304" s="24"/>
      <c r="L304" s="7" t="str">
        <f t="shared" si="14"/>
        <v>OK</v>
      </c>
    </row>
    <row r="305" spans="1:12" x14ac:dyDescent="0.25">
      <c r="A305" s="23">
        <v>46315</v>
      </c>
      <c r="B305" s="24" t="s">
        <v>153</v>
      </c>
      <c r="C305" s="24" t="s">
        <v>224</v>
      </c>
      <c r="D305" s="24" t="s">
        <v>225</v>
      </c>
      <c r="E305" s="24" t="s">
        <v>163</v>
      </c>
      <c r="F305" s="24" t="s">
        <v>226</v>
      </c>
      <c r="G305" s="25">
        <v>780</v>
      </c>
      <c r="H305" s="16" t="str">
        <f>IF(C305="","",IFERROR(INDEX(Settings!$L$4:$L$56,MATCH(C305,Settings!$K$4:$K$56,0)),"Unknown"))</f>
        <v>Lifestyle</v>
      </c>
      <c r="I305" s="8">
        <f t="shared" si="12"/>
        <v>10</v>
      </c>
      <c r="J305" s="8">
        <f t="shared" si="13"/>
        <v>2026</v>
      </c>
      <c r="K305" s="24"/>
      <c r="L305" s="7" t="str">
        <f t="shared" si="14"/>
        <v>OK</v>
      </c>
    </row>
    <row r="306" spans="1:12" x14ac:dyDescent="0.25">
      <c r="A306" s="23"/>
      <c r="B306" s="24"/>
      <c r="C306" s="24"/>
      <c r="D306" s="24"/>
      <c r="E306" s="24"/>
      <c r="F306" s="24"/>
      <c r="G306" s="25"/>
      <c r="H306" s="16" t="str">
        <f>IF(C306="","",IFERROR(INDEX(Settings!$L$4:$L$56,MATCH(C306,Settings!$K$4:$K$56,0)),"Unknown"))</f>
        <v/>
      </c>
      <c r="I306" s="8" t="str">
        <f t="shared" si="12"/>
        <v/>
      </c>
      <c r="J306" s="8" t="str">
        <f t="shared" si="13"/>
        <v/>
      </c>
      <c r="K306" s="24"/>
      <c r="L306" s="7" t="str">
        <f t="shared" si="14"/>
        <v/>
      </c>
    </row>
    <row r="307" spans="1:12" x14ac:dyDescent="0.25">
      <c r="A307" s="23"/>
      <c r="B307" s="24"/>
      <c r="C307" s="24"/>
      <c r="D307" s="24"/>
      <c r="E307" s="24"/>
      <c r="F307" s="24"/>
      <c r="G307" s="25"/>
      <c r="H307" s="16" t="str">
        <f>IF(C307="","",IFERROR(INDEX(Settings!$L$4:$L$56,MATCH(C307,Settings!$K$4:$K$56,0)),"Unknown"))</f>
        <v/>
      </c>
      <c r="I307" s="8" t="str">
        <f t="shared" si="12"/>
        <v/>
      </c>
      <c r="J307" s="8" t="str">
        <f t="shared" si="13"/>
        <v/>
      </c>
      <c r="K307" s="24"/>
      <c r="L307" s="7" t="str">
        <f t="shared" si="14"/>
        <v/>
      </c>
    </row>
    <row r="308" spans="1:12" x14ac:dyDescent="0.25">
      <c r="A308" s="23"/>
      <c r="B308" s="24"/>
      <c r="C308" s="24"/>
      <c r="D308" s="24"/>
      <c r="E308" s="24"/>
      <c r="F308" s="24"/>
      <c r="G308" s="25"/>
      <c r="H308" s="16" t="str">
        <f>IF(C308="","",IFERROR(INDEX(Settings!$L$4:$L$56,MATCH(C308,Settings!$K$4:$K$56,0)),"Unknown"))</f>
        <v/>
      </c>
      <c r="I308" s="8" t="str">
        <f t="shared" si="12"/>
        <v/>
      </c>
      <c r="J308" s="8" t="str">
        <f t="shared" si="13"/>
        <v/>
      </c>
      <c r="K308" s="24"/>
      <c r="L308" s="7" t="str">
        <f t="shared" si="14"/>
        <v/>
      </c>
    </row>
    <row r="309" spans="1:12" x14ac:dyDescent="0.25">
      <c r="A309" s="23"/>
      <c r="B309" s="24"/>
      <c r="C309" s="24"/>
      <c r="D309" s="24"/>
      <c r="E309" s="24"/>
      <c r="F309" s="24"/>
      <c r="G309" s="25"/>
      <c r="H309" s="16" t="str">
        <f>IF(C309="","",IFERROR(INDEX(Settings!$L$4:$L$56,MATCH(C309,Settings!$K$4:$K$56,0)),"Unknown"))</f>
        <v/>
      </c>
      <c r="I309" s="8" t="str">
        <f t="shared" si="12"/>
        <v/>
      </c>
      <c r="J309" s="8" t="str">
        <f t="shared" si="13"/>
        <v/>
      </c>
      <c r="K309" s="24"/>
      <c r="L309" s="7" t="str">
        <f t="shared" si="14"/>
        <v/>
      </c>
    </row>
    <row r="310" spans="1:12" x14ac:dyDescent="0.25">
      <c r="A310" s="23"/>
      <c r="B310" s="24"/>
      <c r="C310" s="24"/>
      <c r="D310" s="24"/>
      <c r="E310" s="24"/>
      <c r="F310" s="24"/>
      <c r="G310" s="25"/>
      <c r="H310" s="16" t="str">
        <f>IF(C310="","",IFERROR(INDEX(Settings!$L$4:$L$56,MATCH(C310,Settings!$K$4:$K$56,0)),"Unknown"))</f>
        <v/>
      </c>
      <c r="I310" s="8" t="str">
        <f t="shared" si="12"/>
        <v/>
      </c>
      <c r="J310" s="8" t="str">
        <f t="shared" si="13"/>
        <v/>
      </c>
      <c r="K310" s="24"/>
      <c r="L310" s="7" t="str">
        <f t="shared" si="14"/>
        <v/>
      </c>
    </row>
    <row r="311" spans="1:12" x14ac:dyDescent="0.25">
      <c r="A311" s="23"/>
      <c r="B311" s="24"/>
      <c r="C311" s="24"/>
      <c r="D311" s="24"/>
      <c r="E311" s="24"/>
      <c r="F311" s="24"/>
      <c r="G311" s="25"/>
      <c r="H311" s="16" t="str">
        <f>IF(C311="","",IFERROR(INDEX(Settings!$L$4:$L$56,MATCH(C311,Settings!$K$4:$K$56,0)),"Unknown"))</f>
        <v/>
      </c>
      <c r="I311" s="8" t="str">
        <f t="shared" si="12"/>
        <v/>
      </c>
      <c r="J311" s="8" t="str">
        <f t="shared" si="13"/>
        <v/>
      </c>
      <c r="K311" s="24"/>
      <c r="L311" s="7" t="str">
        <f t="shared" si="14"/>
        <v/>
      </c>
    </row>
    <row r="312" spans="1:12" x14ac:dyDescent="0.25">
      <c r="A312" s="23"/>
      <c r="B312" s="24"/>
      <c r="C312" s="24"/>
      <c r="D312" s="24"/>
      <c r="E312" s="24"/>
      <c r="F312" s="24"/>
      <c r="G312" s="25"/>
      <c r="H312" s="16" t="str">
        <f>IF(C312="","",IFERROR(INDEX(Settings!$L$4:$L$56,MATCH(C312,Settings!$K$4:$K$56,0)),"Unknown"))</f>
        <v/>
      </c>
      <c r="I312" s="8" t="str">
        <f t="shared" si="12"/>
        <v/>
      </c>
      <c r="J312" s="8" t="str">
        <f t="shared" si="13"/>
        <v/>
      </c>
      <c r="K312" s="24"/>
      <c r="L312" s="7" t="str">
        <f t="shared" si="14"/>
        <v/>
      </c>
    </row>
    <row r="313" spans="1:12" x14ac:dyDescent="0.25">
      <c r="A313" s="23"/>
      <c r="B313" s="24"/>
      <c r="C313" s="24"/>
      <c r="D313" s="24"/>
      <c r="E313" s="24"/>
      <c r="F313" s="24"/>
      <c r="G313" s="25"/>
      <c r="H313" s="16" t="str">
        <f>IF(C313="","",IFERROR(INDEX(Settings!$L$4:$L$56,MATCH(C313,Settings!$K$4:$K$56,0)),"Unknown"))</f>
        <v/>
      </c>
      <c r="I313" s="8" t="str">
        <f t="shared" si="12"/>
        <v/>
      </c>
      <c r="J313" s="8" t="str">
        <f t="shared" si="13"/>
        <v/>
      </c>
      <c r="K313" s="24"/>
      <c r="L313" s="7" t="str">
        <f t="shared" si="14"/>
        <v/>
      </c>
    </row>
    <row r="314" spans="1:12" x14ac:dyDescent="0.25">
      <c r="A314" s="23"/>
      <c r="B314" s="24"/>
      <c r="C314" s="24"/>
      <c r="D314" s="24"/>
      <c r="E314" s="24"/>
      <c r="F314" s="24"/>
      <c r="G314" s="25"/>
      <c r="H314" s="16" t="str">
        <f>IF(C314="","",IFERROR(INDEX(Settings!$L$4:$L$56,MATCH(C314,Settings!$K$4:$K$56,0)),"Unknown"))</f>
        <v/>
      </c>
      <c r="I314" s="8" t="str">
        <f t="shared" si="12"/>
        <v/>
      </c>
      <c r="J314" s="8" t="str">
        <f t="shared" si="13"/>
        <v/>
      </c>
      <c r="K314" s="24"/>
      <c r="L314" s="7" t="str">
        <f t="shared" si="14"/>
        <v/>
      </c>
    </row>
    <row r="315" spans="1:12" x14ac:dyDescent="0.25">
      <c r="A315" s="23"/>
      <c r="B315" s="24"/>
      <c r="C315" s="24"/>
      <c r="D315" s="24"/>
      <c r="E315" s="24"/>
      <c r="F315" s="24"/>
      <c r="G315" s="25"/>
      <c r="H315" s="16" t="str">
        <f>IF(C315="","",IFERROR(INDEX(Settings!$L$4:$L$56,MATCH(C315,Settings!$K$4:$K$56,0)),"Unknown"))</f>
        <v/>
      </c>
      <c r="I315" s="8" t="str">
        <f t="shared" si="12"/>
        <v/>
      </c>
      <c r="J315" s="8" t="str">
        <f t="shared" si="13"/>
        <v/>
      </c>
      <c r="K315" s="24"/>
      <c r="L315" s="7" t="str">
        <f t="shared" si="14"/>
        <v/>
      </c>
    </row>
    <row r="316" spans="1:12" x14ac:dyDescent="0.25">
      <c r="A316" s="23"/>
      <c r="B316" s="24"/>
      <c r="C316" s="24"/>
      <c r="D316" s="24"/>
      <c r="E316" s="24"/>
      <c r="F316" s="24"/>
      <c r="G316" s="25"/>
      <c r="H316" s="16" t="str">
        <f>IF(C316="","",IFERROR(INDEX(Settings!$L$4:$L$56,MATCH(C316,Settings!$K$4:$K$56,0)),"Unknown"))</f>
        <v/>
      </c>
      <c r="I316" s="8" t="str">
        <f t="shared" si="12"/>
        <v/>
      </c>
      <c r="J316" s="8" t="str">
        <f t="shared" si="13"/>
        <v/>
      </c>
      <c r="K316" s="24"/>
      <c r="L316" s="7" t="str">
        <f t="shared" si="14"/>
        <v/>
      </c>
    </row>
    <row r="317" spans="1:12" x14ac:dyDescent="0.25">
      <c r="A317" s="23"/>
      <c r="B317" s="24"/>
      <c r="C317" s="24"/>
      <c r="D317" s="24"/>
      <c r="E317" s="24"/>
      <c r="F317" s="24"/>
      <c r="G317" s="25"/>
      <c r="H317" s="16" t="str">
        <f>IF(C317="","",IFERROR(INDEX(Settings!$L$4:$L$56,MATCH(C317,Settings!$K$4:$K$56,0)),"Unknown"))</f>
        <v/>
      </c>
      <c r="I317" s="8" t="str">
        <f t="shared" si="12"/>
        <v/>
      </c>
      <c r="J317" s="8" t="str">
        <f t="shared" si="13"/>
        <v/>
      </c>
      <c r="K317" s="24"/>
      <c r="L317" s="7" t="str">
        <f t="shared" si="14"/>
        <v/>
      </c>
    </row>
    <row r="318" spans="1:12" x14ac:dyDescent="0.25">
      <c r="A318" s="23"/>
      <c r="B318" s="24"/>
      <c r="C318" s="24"/>
      <c r="D318" s="24"/>
      <c r="E318" s="24"/>
      <c r="F318" s="24"/>
      <c r="G318" s="25"/>
      <c r="H318" s="16" t="str">
        <f>IF(C318="","",IFERROR(INDEX(Settings!$L$4:$L$56,MATCH(C318,Settings!$K$4:$K$56,0)),"Unknown"))</f>
        <v/>
      </c>
      <c r="I318" s="8" t="str">
        <f t="shared" si="12"/>
        <v/>
      </c>
      <c r="J318" s="8" t="str">
        <f t="shared" si="13"/>
        <v/>
      </c>
      <c r="K318" s="24"/>
      <c r="L318" s="7" t="str">
        <f t="shared" si="14"/>
        <v/>
      </c>
    </row>
    <row r="319" spans="1:12" x14ac:dyDescent="0.25">
      <c r="A319" s="23"/>
      <c r="B319" s="24"/>
      <c r="C319" s="24"/>
      <c r="D319" s="24"/>
      <c r="E319" s="24"/>
      <c r="F319" s="24"/>
      <c r="G319" s="25"/>
      <c r="H319" s="16" t="str">
        <f>IF(C319="","",IFERROR(INDEX(Settings!$L$4:$L$56,MATCH(C319,Settings!$K$4:$K$56,0)),"Unknown"))</f>
        <v/>
      </c>
      <c r="I319" s="8" t="str">
        <f t="shared" si="12"/>
        <v/>
      </c>
      <c r="J319" s="8" t="str">
        <f t="shared" si="13"/>
        <v/>
      </c>
      <c r="K319" s="24"/>
      <c r="L319" s="7" t="str">
        <f t="shared" si="14"/>
        <v/>
      </c>
    </row>
    <row r="320" spans="1:12" x14ac:dyDescent="0.25">
      <c r="A320" s="23"/>
      <c r="B320" s="24"/>
      <c r="C320" s="24"/>
      <c r="D320" s="24"/>
      <c r="E320" s="24"/>
      <c r="F320" s="24"/>
      <c r="G320" s="25"/>
      <c r="H320" s="16" t="str">
        <f>IF(C320="","",IFERROR(INDEX(Settings!$L$4:$L$56,MATCH(C320,Settings!$K$4:$K$56,0)),"Unknown"))</f>
        <v/>
      </c>
      <c r="I320" s="8" t="str">
        <f t="shared" si="12"/>
        <v/>
      </c>
      <c r="J320" s="8" t="str">
        <f t="shared" si="13"/>
        <v/>
      </c>
      <c r="K320" s="24"/>
      <c r="L320" s="7" t="str">
        <f t="shared" si="14"/>
        <v/>
      </c>
    </row>
    <row r="321" spans="1:12" x14ac:dyDescent="0.25">
      <c r="A321" s="23"/>
      <c r="B321" s="24"/>
      <c r="C321" s="24"/>
      <c r="D321" s="24"/>
      <c r="E321" s="24"/>
      <c r="F321" s="24"/>
      <c r="G321" s="25"/>
      <c r="H321" s="16" t="str">
        <f>IF(C321="","",IFERROR(INDEX(Settings!$L$4:$L$56,MATCH(C321,Settings!$K$4:$K$56,0)),"Unknown"))</f>
        <v/>
      </c>
      <c r="I321" s="8" t="str">
        <f t="shared" si="12"/>
        <v/>
      </c>
      <c r="J321" s="8" t="str">
        <f t="shared" si="13"/>
        <v/>
      </c>
      <c r="K321" s="24"/>
      <c r="L321" s="7" t="str">
        <f t="shared" si="14"/>
        <v/>
      </c>
    </row>
    <row r="322" spans="1:12" x14ac:dyDescent="0.25">
      <c r="A322" s="23"/>
      <c r="B322" s="24"/>
      <c r="C322" s="24"/>
      <c r="D322" s="24"/>
      <c r="E322" s="24"/>
      <c r="F322" s="24"/>
      <c r="G322" s="25"/>
      <c r="H322" s="16" t="str">
        <f>IF(C322="","",IFERROR(INDEX(Settings!$L$4:$L$56,MATCH(C322,Settings!$K$4:$K$56,0)),"Unknown"))</f>
        <v/>
      </c>
      <c r="I322" s="8" t="str">
        <f t="shared" si="12"/>
        <v/>
      </c>
      <c r="J322" s="8" t="str">
        <f t="shared" si="13"/>
        <v/>
      </c>
      <c r="K322" s="24"/>
      <c r="L322" s="7" t="str">
        <f t="shared" si="14"/>
        <v/>
      </c>
    </row>
    <row r="323" spans="1:12" x14ac:dyDescent="0.25">
      <c r="A323" s="23"/>
      <c r="B323" s="24"/>
      <c r="C323" s="24"/>
      <c r="D323" s="24"/>
      <c r="E323" s="24"/>
      <c r="F323" s="24"/>
      <c r="G323" s="25"/>
      <c r="H323" s="16" t="str">
        <f>IF(C323="","",IFERROR(INDEX(Settings!$L$4:$L$56,MATCH(C323,Settings!$K$4:$K$56,0)),"Unknown"))</f>
        <v/>
      </c>
      <c r="I323" s="8" t="str">
        <f t="shared" si="12"/>
        <v/>
      </c>
      <c r="J323" s="8" t="str">
        <f t="shared" si="13"/>
        <v/>
      </c>
      <c r="K323" s="24"/>
      <c r="L323" s="7" t="str">
        <f t="shared" si="14"/>
        <v/>
      </c>
    </row>
    <row r="324" spans="1:12" x14ac:dyDescent="0.25">
      <c r="A324" s="23"/>
      <c r="B324" s="24"/>
      <c r="C324" s="24"/>
      <c r="D324" s="24"/>
      <c r="E324" s="24"/>
      <c r="F324" s="24"/>
      <c r="G324" s="25"/>
      <c r="H324" s="16" t="str">
        <f>IF(C324="","",IFERROR(INDEX(Settings!$L$4:$L$56,MATCH(C324,Settings!$K$4:$K$56,0)),"Unknown"))</f>
        <v/>
      </c>
      <c r="I324" s="8" t="str">
        <f t="shared" si="12"/>
        <v/>
      </c>
      <c r="J324" s="8" t="str">
        <f t="shared" si="13"/>
        <v/>
      </c>
      <c r="K324" s="24"/>
      <c r="L324" s="7" t="str">
        <f t="shared" si="14"/>
        <v/>
      </c>
    </row>
    <row r="325" spans="1:12" x14ac:dyDescent="0.25">
      <c r="A325" s="23"/>
      <c r="B325" s="24"/>
      <c r="C325" s="24"/>
      <c r="D325" s="24"/>
      <c r="E325" s="24"/>
      <c r="F325" s="24"/>
      <c r="G325" s="25"/>
      <c r="H325" s="16" t="str">
        <f>IF(C325="","",IFERROR(INDEX(Settings!$L$4:$L$56,MATCH(C325,Settings!$K$4:$K$56,0)),"Unknown"))</f>
        <v/>
      </c>
      <c r="I325" s="8" t="str">
        <f t="shared" si="12"/>
        <v/>
      </c>
      <c r="J325" s="8" t="str">
        <f t="shared" si="13"/>
        <v/>
      </c>
      <c r="K325" s="24"/>
      <c r="L325" s="7" t="str">
        <f t="shared" si="14"/>
        <v/>
      </c>
    </row>
    <row r="326" spans="1:12" x14ac:dyDescent="0.25">
      <c r="A326" s="23"/>
      <c r="B326" s="24"/>
      <c r="C326" s="24"/>
      <c r="D326" s="24"/>
      <c r="E326" s="24"/>
      <c r="F326" s="24"/>
      <c r="G326" s="25"/>
      <c r="H326" s="16" t="str">
        <f>IF(C326="","",IFERROR(INDEX(Settings!$L$4:$L$56,MATCH(C326,Settings!$K$4:$K$56,0)),"Unknown"))</f>
        <v/>
      </c>
      <c r="I326" s="8" t="str">
        <f t="shared" ref="I326:I389" si="15">IF(A326="","",MONTH(A326))</f>
        <v/>
      </c>
      <c r="J326" s="8" t="str">
        <f t="shared" ref="J326:J389" si="16">IF(A326="","",YEAR(A326))</f>
        <v/>
      </c>
      <c r="K326" s="24"/>
      <c r="L326" s="7" t="str">
        <f t="shared" ref="L326:L389" si="17">IF(OR(B326="",C326=""),"",IF(AND(B326="Income",H326&lt;&gt;"Income"),"Category is not an Income category",IF(AND(B326="Expense",H326="Income"),"Category is an Income category","OK")))</f>
        <v/>
      </c>
    </row>
    <row r="327" spans="1:12" x14ac:dyDescent="0.25">
      <c r="A327" s="23"/>
      <c r="B327" s="24"/>
      <c r="C327" s="24"/>
      <c r="D327" s="24"/>
      <c r="E327" s="24"/>
      <c r="F327" s="24"/>
      <c r="G327" s="25"/>
      <c r="H327" s="16" t="str">
        <f>IF(C327="","",IFERROR(INDEX(Settings!$L$4:$L$56,MATCH(C327,Settings!$K$4:$K$56,0)),"Unknown"))</f>
        <v/>
      </c>
      <c r="I327" s="8" t="str">
        <f t="shared" si="15"/>
        <v/>
      </c>
      <c r="J327" s="8" t="str">
        <f t="shared" si="16"/>
        <v/>
      </c>
      <c r="K327" s="24"/>
      <c r="L327" s="7" t="str">
        <f t="shared" si="17"/>
        <v/>
      </c>
    </row>
    <row r="328" spans="1:12" x14ac:dyDescent="0.25">
      <c r="A328" s="23"/>
      <c r="B328" s="24"/>
      <c r="C328" s="24"/>
      <c r="D328" s="24"/>
      <c r="E328" s="24"/>
      <c r="F328" s="24"/>
      <c r="G328" s="25"/>
      <c r="H328" s="16" t="str">
        <f>IF(C328="","",IFERROR(INDEX(Settings!$L$4:$L$56,MATCH(C328,Settings!$K$4:$K$56,0)),"Unknown"))</f>
        <v/>
      </c>
      <c r="I328" s="8" t="str">
        <f t="shared" si="15"/>
        <v/>
      </c>
      <c r="J328" s="8" t="str">
        <f t="shared" si="16"/>
        <v/>
      </c>
      <c r="K328" s="24"/>
      <c r="L328" s="7" t="str">
        <f t="shared" si="17"/>
        <v/>
      </c>
    </row>
    <row r="329" spans="1:12" x14ac:dyDescent="0.25">
      <c r="A329" s="23"/>
      <c r="B329" s="24"/>
      <c r="C329" s="24"/>
      <c r="D329" s="24"/>
      <c r="E329" s="24"/>
      <c r="F329" s="24"/>
      <c r="G329" s="25"/>
      <c r="H329" s="16" t="str">
        <f>IF(C329="","",IFERROR(INDEX(Settings!$L$4:$L$56,MATCH(C329,Settings!$K$4:$K$56,0)),"Unknown"))</f>
        <v/>
      </c>
      <c r="I329" s="8" t="str">
        <f t="shared" si="15"/>
        <v/>
      </c>
      <c r="J329" s="8" t="str">
        <f t="shared" si="16"/>
        <v/>
      </c>
      <c r="K329" s="24"/>
      <c r="L329" s="7" t="str">
        <f t="shared" si="17"/>
        <v/>
      </c>
    </row>
    <row r="330" spans="1:12" x14ac:dyDescent="0.25">
      <c r="A330" s="23"/>
      <c r="B330" s="24"/>
      <c r="C330" s="24"/>
      <c r="D330" s="24"/>
      <c r="E330" s="24"/>
      <c r="F330" s="24"/>
      <c r="G330" s="25"/>
      <c r="H330" s="16" t="str">
        <f>IF(C330="","",IFERROR(INDEX(Settings!$L$4:$L$56,MATCH(C330,Settings!$K$4:$K$56,0)),"Unknown"))</f>
        <v/>
      </c>
      <c r="I330" s="8" t="str">
        <f t="shared" si="15"/>
        <v/>
      </c>
      <c r="J330" s="8" t="str">
        <f t="shared" si="16"/>
        <v/>
      </c>
      <c r="K330" s="24"/>
      <c r="L330" s="7" t="str">
        <f t="shared" si="17"/>
        <v/>
      </c>
    </row>
    <row r="331" spans="1:12" x14ac:dyDescent="0.25">
      <c r="A331" s="23"/>
      <c r="B331" s="24"/>
      <c r="C331" s="24"/>
      <c r="D331" s="24"/>
      <c r="E331" s="24"/>
      <c r="F331" s="24"/>
      <c r="G331" s="25"/>
      <c r="H331" s="16" t="str">
        <f>IF(C331="","",IFERROR(INDEX(Settings!$L$4:$L$56,MATCH(C331,Settings!$K$4:$K$56,0)),"Unknown"))</f>
        <v/>
      </c>
      <c r="I331" s="8" t="str">
        <f t="shared" si="15"/>
        <v/>
      </c>
      <c r="J331" s="8" t="str">
        <f t="shared" si="16"/>
        <v/>
      </c>
      <c r="K331" s="24"/>
      <c r="L331" s="7" t="str">
        <f t="shared" si="17"/>
        <v/>
      </c>
    </row>
    <row r="332" spans="1:12" x14ac:dyDescent="0.25">
      <c r="A332" s="23"/>
      <c r="B332" s="24"/>
      <c r="C332" s="24"/>
      <c r="D332" s="24"/>
      <c r="E332" s="24"/>
      <c r="F332" s="24"/>
      <c r="G332" s="25"/>
      <c r="H332" s="16" t="str">
        <f>IF(C332="","",IFERROR(INDEX(Settings!$L$4:$L$56,MATCH(C332,Settings!$K$4:$K$56,0)),"Unknown"))</f>
        <v/>
      </c>
      <c r="I332" s="8" t="str">
        <f t="shared" si="15"/>
        <v/>
      </c>
      <c r="J332" s="8" t="str">
        <f t="shared" si="16"/>
        <v/>
      </c>
      <c r="K332" s="24"/>
      <c r="L332" s="7" t="str">
        <f t="shared" si="17"/>
        <v/>
      </c>
    </row>
    <row r="333" spans="1:12" x14ac:dyDescent="0.25">
      <c r="A333" s="23"/>
      <c r="B333" s="24"/>
      <c r="C333" s="24"/>
      <c r="D333" s="24"/>
      <c r="E333" s="24"/>
      <c r="F333" s="24"/>
      <c r="G333" s="25"/>
      <c r="H333" s="16" t="str">
        <f>IF(C333="","",IFERROR(INDEX(Settings!$L$4:$L$56,MATCH(C333,Settings!$K$4:$K$56,0)),"Unknown"))</f>
        <v/>
      </c>
      <c r="I333" s="8" t="str">
        <f t="shared" si="15"/>
        <v/>
      </c>
      <c r="J333" s="8" t="str">
        <f t="shared" si="16"/>
        <v/>
      </c>
      <c r="K333" s="24"/>
      <c r="L333" s="7" t="str">
        <f t="shared" si="17"/>
        <v/>
      </c>
    </row>
    <row r="334" spans="1:12" x14ac:dyDescent="0.25">
      <c r="A334" s="23"/>
      <c r="B334" s="24"/>
      <c r="C334" s="24"/>
      <c r="D334" s="24"/>
      <c r="E334" s="24"/>
      <c r="F334" s="24"/>
      <c r="G334" s="25"/>
      <c r="H334" s="16" t="str">
        <f>IF(C334="","",IFERROR(INDEX(Settings!$L$4:$L$56,MATCH(C334,Settings!$K$4:$K$56,0)),"Unknown"))</f>
        <v/>
      </c>
      <c r="I334" s="8" t="str">
        <f t="shared" si="15"/>
        <v/>
      </c>
      <c r="J334" s="8" t="str">
        <f t="shared" si="16"/>
        <v/>
      </c>
      <c r="K334" s="24"/>
      <c r="L334" s="7" t="str">
        <f t="shared" si="17"/>
        <v/>
      </c>
    </row>
    <row r="335" spans="1:12" x14ac:dyDescent="0.25">
      <c r="A335" s="23"/>
      <c r="B335" s="24"/>
      <c r="C335" s="24"/>
      <c r="D335" s="24"/>
      <c r="E335" s="24"/>
      <c r="F335" s="24"/>
      <c r="G335" s="25"/>
      <c r="H335" s="16" t="str">
        <f>IF(C335="","",IFERROR(INDEX(Settings!$L$4:$L$56,MATCH(C335,Settings!$K$4:$K$56,0)),"Unknown"))</f>
        <v/>
      </c>
      <c r="I335" s="8" t="str">
        <f t="shared" si="15"/>
        <v/>
      </c>
      <c r="J335" s="8" t="str">
        <f t="shared" si="16"/>
        <v/>
      </c>
      <c r="K335" s="24"/>
      <c r="L335" s="7" t="str">
        <f t="shared" si="17"/>
        <v/>
      </c>
    </row>
    <row r="336" spans="1:12" x14ac:dyDescent="0.25">
      <c r="A336" s="23"/>
      <c r="B336" s="24"/>
      <c r="C336" s="24"/>
      <c r="D336" s="24"/>
      <c r="E336" s="24"/>
      <c r="F336" s="24"/>
      <c r="G336" s="25"/>
      <c r="H336" s="16" t="str">
        <f>IF(C336="","",IFERROR(INDEX(Settings!$L$4:$L$56,MATCH(C336,Settings!$K$4:$K$56,0)),"Unknown"))</f>
        <v/>
      </c>
      <c r="I336" s="8" t="str">
        <f t="shared" si="15"/>
        <v/>
      </c>
      <c r="J336" s="8" t="str">
        <f t="shared" si="16"/>
        <v/>
      </c>
      <c r="K336" s="24"/>
      <c r="L336" s="7" t="str">
        <f t="shared" si="17"/>
        <v/>
      </c>
    </row>
    <row r="337" spans="1:12" x14ac:dyDescent="0.25">
      <c r="A337" s="23"/>
      <c r="B337" s="24"/>
      <c r="C337" s="24"/>
      <c r="D337" s="24"/>
      <c r="E337" s="24"/>
      <c r="F337" s="24"/>
      <c r="G337" s="25"/>
      <c r="H337" s="16" t="str">
        <f>IF(C337="","",IFERROR(INDEX(Settings!$L$4:$L$56,MATCH(C337,Settings!$K$4:$K$56,0)),"Unknown"))</f>
        <v/>
      </c>
      <c r="I337" s="8" t="str">
        <f t="shared" si="15"/>
        <v/>
      </c>
      <c r="J337" s="8" t="str">
        <f t="shared" si="16"/>
        <v/>
      </c>
      <c r="K337" s="24"/>
      <c r="L337" s="7" t="str">
        <f t="shared" si="17"/>
        <v/>
      </c>
    </row>
    <row r="338" spans="1:12" x14ac:dyDescent="0.25">
      <c r="A338" s="23"/>
      <c r="B338" s="24"/>
      <c r="C338" s="24"/>
      <c r="D338" s="24"/>
      <c r="E338" s="24"/>
      <c r="F338" s="24"/>
      <c r="G338" s="25"/>
      <c r="H338" s="16" t="str">
        <f>IF(C338="","",IFERROR(INDEX(Settings!$L$4:$L$56,MATCH(C338,Settings!$K$4:$K$56,0)),"Unknown"))</f>
        <v/>
      </c>
      <c r="I338" s="8" t="str">
        <f t="shared" si="15"/>
        <v/>
      </c>
      <c r="J338" s="8" t="str">
        <f t="shared" si="16"/>
        <v/>
      </c>
      <c r="K338" s="24"/>
      <c r="L338" s="7" t="str">
        <f t="shared" si="17"/>
        <v/>
      </c>
    </row>
    <row r="339" spans="1:12" x14ac:dyDescent="0.25">
      <c r="A339" s="23"/>
      <c r="B339" s="24"/>
      <c r="C339" s="24"/>
      <c r="D339" s="24"/>
      <c r="E339" s="24"/>
      <c r="F339" s="24"/>
      <c r="G339" s="25"/>
      <c r="H339" s="16" t="str">
        <f>IF(C339="","",IFERROR(INDEX(Settings!$L$4:$L$56,MATCH(C339,Settings!$K$4:$K$56,0)),"Unknown"))</f>
        <v/>
      </c>
      <c r="I339" s="8" t="str">
        <f t="shared" si="15"/>
        <v/>
      </c>
      <c r="J339" s="8" t="str">
        <f t="shared" si="16"/>
        <v/>
      </c>
      <c r="K339" s="24"/>
      <c r="L339" s="7" t="str">
        <f t="shared" si="17"/>
        <v/>
      </c>
    </row>
    <row r="340" spans="1:12" x14ac:dyDescent="0.25">
      <c r="A340" s="23"/>
      <c r="B340" s="24"/>
      <c r="C340" s="24"/>
      <c r="D340" s="24"/>
      <c r="E340" s="24"/>
      <c r="F340" s="24"/>
      <c r="G340" s="25"/>
      <c r="H340" s="16" t="str">
        <f>IF(C340="","",IFERROR(INDEX(Settings!$L$4:$L$56,MATCH(C340,Settings!$K$4:$K$56,0)),"Unknown"))</f>
        <v/>
      </c>
      <c r="I340" s="8" t="str">
        <f t="shared" si="15"/>
        <v/>
      </c>
      <c r="J340" s="8" t="str">
        <f t="shared" si="16"/>
        <v/>
      </c>
      <c r="K340" s="24"/>
      <c r="L340" s="7" t="str">
        <f t="shared" si="17"/>
        <v/>
      </c>
    </row>
    <row r="341" spans="1:12" x14ac:dyDescent="0.25">
      <c r="A341" s="23"/>
      <c r="B341" s="24"/>
      <c r="C341" s="24"/>
      <c r="D341" s="24"/>
      <c r="E341" s="24"/>
      <c r="F341" s="24"/>
      <c r="G341" s="25"/>
      <c r="H341" s="16" t="str">
        <f>IF(C341="","",IFERROR(INDEX(Settings!$L$4:$L$56,MATCH(C341,Settings!$K$4:$K$56,0)),"Unknown"))</f>
        <v/>
      </c>
      <c r="I341" s="8" t="str">
        <f t="shared" si="15"/>
        <v/>
      </c>
      <c r="J341" s="8" t="str">
        <f t="shared" si="16"/>
        <v/>
      </c>
      <c r="K341" s="24"/>
      <c r="L341" s="7" t="str">
        <f t="shared" si="17"/>
        <v/>
      </c>
    </row>
    <row r="342" spans="1:12" x14ac:dyDescent="0.25">
      <c r="A342" s="23"/>
      <c r="B342" s="24"/>
      <c r="C342" s="24"/>
      <c r="D342" s="24"/>
      <c r="E342" s="24"/>
      <c r="F342" s="24"/>
      <c r="G342" s="25"/>
      <c r="H342" s="16" t="str">
        <f>IF(C342="","",IFERROR(INDEX(Settings!$L$4:$L$56,MATCH(C342,Settings!$K$4:$K$56,0)),"Unknown"))</f>
        <v/>
      </c>
      <c r="I342" s="8" t="str">
        <f t="shared" si="15"/>
        <v/>
      </c>
      <c r="J342" s="8" t="str">
        <f t="shared" si="16"/>
        <v/>
      </c>
      <c r="K342" s="24"/>
      <c r="L342" s="7" t="str">
        <f t="shared" si="17"/>
        <v/>
      </c>
    </row>
    <row r="343" spans="1:12" x14ac:dyDescent="0.25">
      <c r="A343" s="23"/>
      <c r="B343" s="24"/>
      <c r="C343" s="24"/>
      <c r="D343" s="24"/>
      <c r="E343" s="24"/>
      <c r="F343" s="24"/>
      <c r="G343" s="25"/>
      <c r="H343" s="16" t="str">
        <f>IF(C343="","",IFERROR(INDEX(Settings!$L$4:$L$56,MATCH(C343,Settings!$K$4:$K$56,0)),"Unknown"))</f>
        <v/>
      </c>
      <c r="I343" s="8" t="str">
        <f t="shared" si="15"/>
        <v/>
      </c>
      <c r="J343" s="8" t="str">
        <f t="shared" si="16"/>
        <v/>
      </c>
      <c r="K343" s="24"/>
      <c r="L343" s="7" t="str">
        <f t="shared" si="17"/>
        <v/>
      </c>
    </row>
    <row r="344" spans="1:12" x14ac:dyDescent="0.25">
      <c r="A344" s="23"/>
      <c r="B344" s="24"/>
      <c r="C344" s="24"/>
      <c r="D344" s="24"/>
      <c r="E344" s="24"/>
      <c r="F344" s="24"/>
      <c r="G344" s="25"/>
      <c r="H344" s="16" t="str">
        <f>IF(C344="","",IFERROR(INDEX(Settings!$L$4:$L$56,MATCH(C344,Settings!$K$4:$K$56,0)),"Unknown"))</f>
        <v/>
      </c>
      <c r="I344" s="8" t="str">
        <f t="shared" si="15"/>
        <v/>
      </c>
      <c r="J344" s="8" t="str">
        <f t="shared" si="16"/>
        <v/>
      </c>
      <c r="K344" s="24"/>
      <c r="L344" s="7" t="str">
        <f t="shared" si="17"/>
        <v/>
      </c>
    </row>
    <row r="345" spans="1:12" x14ac:dyDescent="0.25">
      <c r="A345" s="23"/>
      <c r="B345" s="24"/>
      <c r="C345" s="24"/>
      <c r="D345" s="24"/>
      <c r="E345" s="24"/>
      <c r="F345" s="24"/>
      <c r="G345" s="25"/>
      <c r="H345" s="16" t="str">
        <f>IF(C345="","",IFERROR(INDEX(Settings!$L$4:$L$56,MATCH(C345,Settings!$K$4:$K$56,0)),"Unknown"))</f>
        <v/>
      </c>
      <c r="I345" s="8" t="str">
        <f t="shared" si="15"/>
        <v/>
      </c>
      <c r="J345" s="8" t="str">
        <f t="shared" si="16"/>
        <v/>
      </c>
      <c r="K345" s="24"/>
      <c r="L345" s="7" t="str">
        <f t="shared" si="17"/>
        <v/>
      </c>
    </row>
    <row r="346" spans="1:12" x14ac:dyDescent="0.25">
      <c r="A346" s="23"/>
      <c r="B346" s="24"/>
      <c r="C346" s="24"/>
      <c r="D346" s="24"/>
      <c r="E346" s="24"/>
      <c r="F346" s="24"/>
      <c r="G346" s="25"/>
      <c r="H346" s="16" t="str">
        <f>IF(C346="","",IFERROR(INDEX(Settings!$L$4:$L$56,MATCH(C346,Settings!$K$4:$K$56,0)),"Unknown"))</f>
        <v/>
      </c>
      <c r="I346" s="8" t="str">
        <f t="shared" si="15"/>
        <v/>
      </c>
      <c r="J346" s="8" t="str">
        <f t="shared" si="16"/>
        <v/>
      </c>
      <c r="K346" s="24"/>
      <c r="L346" s="7" t="str">
        <f t="shared" si="17"/>
        <v/>
      </c>
    </row>
    <row r="347" spans="1:12" x14ac:dyDescent="0.25">
      <c r="A347" s="23"/>
      <c r="B347" s="24"/>
      <c r="C347" s="24"/>
      <c r="D347" s="24"/>
      <c r="E347" s="24"/>
      <c r="F347" s="24"/>
      <c r="G347" s="25"/>
      <c r="H347" s="16" t="str">
        <f>IF(C347="","",IFERROR(INDEX(Settings!$L$4:$L$56,MATCH(C347,Settings!$K$4:$K$56,0)),"Unknown"))</f>
        <v/>
      </c>
      <c r="I347" s="8" t="str">
        <f t="shared" si="15"/>
        <v/>
      </c>
      <c r="J347" s="8" t="str">
        <f t="shared" si="16"/>
        <v/>
      </c>
      <c r="K347" s="24"/>
      <c r="L347" s="7" t="str">
        <f t="shared" si="17"/>
        <v/>
      </c>
    </row>
    <row r="348" spans="1:12" x14ac:dyDescent="0.25">
      <c r="A348" s="23"/>
      <c r="B348" s="24"/>
      <c r="C348" s="24"/>
      <c r="D348" s="24"/>
      <c r="E348" s="24"/>
      <c r="F348" s="24"/>
      <c r="G348" s="25"/>
      <c r="H348" s="16" t="str">
        <f>IF(C348="","",IFERROR(INDEX(Settings!$L$4:$L$56,MATCH(C348,Settings!$K$4:$K$56,0)),"Unknown"))</f>
        <v/>
      </c>
      <c r="I348" s="8" t="str">
        <f t="shared" si="15"/>
        <v/>
      </c>
      <c r="J348" s="8" t="str">
        <f t="shared" si="16"/>
        <v/>
      </c>
      <c r="K348" s="24"/>
      <c r="L348" s="7" t="str">
        <f t="shared" si="17"/>
        <v/>
      </c>
    </row>
    <row r="349" spans="1:12" x14ac:dyDescent="0.25">
      <c r="A349" s="23"/>
      <c r="B349" s="24"/>
      <c r="C349" s="24"/>
      <c r="D349" s="24"/>
      <c r="E349" s="24"/>
      <c r="F349" s="24"/>
      <c r="G349" s="25"/>
      <c r="H349" s="16" t="str">
        <f>IF(C349="","",IFERROR(INDEX(Settings!$L$4:$L$56,MATCH(C349,Settings!$K$4:$K$56,0)),"Unknown"))</f>
        <v/>
      </c>
      <c r="I349" s="8" t="str">
        <f t="shared" si="15"/>
        <v/>
      </c>
      <c r="J349" s="8" t="str">
        <f t="shared" si="16"/>
        <v/>
      </c>
      <c r="K349" s="24"/>
      <c r="L349" s="7" t="str">
        <f t="shared" si="17"/>
        <v/>
      </c>
    </row>
    <row r="350" spans="1:12" x14ac:dyDescent="0.25">
      <c r="A350" s="23"/>
      <c r="B350" s="24"/>
      <c r="C350" s="24"/>
      <c r="D350" s="24"/>
      <c r="E350" s="24"/>
      <c r="F350" s="24"/>
      <c r="G350" s="25"/>
      <c r="H350" s="16" t="str">
        <f>IF(C350="","",IFERROR(INDEX(Settings!$L$4:$L$56,MATCH(C350,Settings!$K$4:$K$56,0)),"Unknown"))</f>
        <v/>
      </c>
      <c r="I350" s="8" t="str">
        <f t="shared" si="15"/>
        <v/>
      </c>
      <c r="J350" s="8" t="str">
        <f t="shared" si="16"/>
        <v/>
      </c>
      <c r="K350" s="24"/>
      <c r="L350" s="7" t="str">
        <f t="shared" si="17"/>
        <v/>
      </c>
    </row>
    <row r="351" spans="1:12" x14ac:dyDescent="0.25">
      <c r="A351" s="23"/>
      <c r="B351" s="24"/>
      <c r="C351" s="24"/>
      <c r="D351" s="24"/>
      <c r="E351" s="24"/>
      <c r="F351" s="24"/>
      <c r="G351" s="25"/>
      <c r="H351" s="16" t="str">
        <f>IF(C351="","",IFERROR(INDEX(Settings!$L$4:$L$56,MATCH(C351,Settings!$K$4:$K$56,0)),"Unknown"))</f>
        <v/>
      </c>
      <c r="I351" s="8" t="str">
        <f t="shared" si="15"/>
        <v/>
      </c>
      <c r="J351" s="8" t="str">
        <f t="shared" si="16"/>
        <v/>
      </c>
      <c r="K351" s="24"/>
      <c r="L351" s="7" t="str">
        <f t="shared" si="17"/>
        <v/>
      </c>
    </row>
    <row r="352" spans="1:12" x14ac:dyDescent="0.25">
      <c r="A352" s="23"/>
      <c r="B352" s="24"/>
      <c r="C352" s="24"/>
      <c r="D352" s="24"/>
      <c r="E352" s="24"/>
      <c r="F352" s="24"/>
      <c r="G352" s="25"/>
      <c r="H352" s="16" t="str">
        <f>IF(C352="","",IFERROR(INDEX(Settings!$L$4:$L$56,MATCH(C352,Settings!$K$4:$K$56,0)),"Unknown"))</f>
        <v/>
      </c>
      <c r="I352" s="8" t="str">
        <f t="shared" si="15"/>
        <v/>
      </c>
      <c r="J352" s="8" t="str">
        <f t="shared" si="16"/>
        <v/>
      </c>
      <c r="K352" s="24"/>
      <c r="L352" s="7" t="str">
        <f t="shared" si="17"/>
        <v/>
      </c>
    </row>
    <row r="353" spans="1:12" x14ac:dyDescent="0.25">
      <c r="A353" s="23"/>
      <c r="B353" s="24"/>
      <c r="C353" s="24"/>
      <c r="D353" s="24"/>
      <c r="E353" s="24"/>
      <c r="F353" s="24"/>
      <c r="G353" s="25"/>
      <c r="H353" s="16" t="str">
        <f>IF(C353="","",IFERROR(INDEX(Settings!$L$4:$L$56,MATCH(C353,Settings!$K$4:$K$56,0)),"Unknown"))</f>
        <v/>
      </c>
      <c r="I353" s="8" t="str">
        <f t="shared" si="15"/>
        <v/>
      </c>
      <c r="J353" s="8" t="str">
        <f t="shared" si="16"/>
        <v/>
      </c>
      <c r="K353" s="24"/>
      <c r="L353" s="7" t="str">
        <f t="shared" si="17"/>
        <v/>
      </c>
    </row>
    <row r="354" spans="1:12" x14ac:dyDescent="0.25">
      <c r="A354" s="23"/>
      <c r="B354" s="24"/>
      <c r="C354" s="24"/>
      <c r="D354" s="24"/>
      <c r="E354" s="24"/>
      <c r="F354" s="24"/>
      <c r="G354" s="25"/>
      <c r="H354" s="16" t="str">
        <f>IF(C354="","",IFERROR(INDEX(Settings!$L$4:$L$56,MATCH(C354,Settings!$K$4:$K$56,0)),"Unknown"))</f>
        <v/>
      </c>
      <c r="I354" s="8" t="str">
        <f t="shared" si="15"/>
        <v/>
      </c>
      <c r="J354" s="8" t="str">
        <f t="shared" si="16"/>
        <v/>
      </c>
      <c r="K354" s="24"/>
      <c r="L354" s="7" t="str">
        <f t="shared" si="17"/>
        <v/>
      </c>
    </row>
    <row r="355" spans="1:12" x14ac:dyDescent="0.25">
      <c r="A355" s="23"/>
      <c r="B355" s="24"/>
      <c r="C355" s="24"/>
      <c r="D355" s="24"/>
      <c r="E355" s="24"/>
      <c r="F355" s="24"/>
      <c r="G355" s="25"/>
      <c r="H355" s="16" t="str">
        <f>IF(C355="","",IFERROR(INDEX(Settings!$L$4:$L$56,MATCH(C355,Settings!$K$4:$K$56,0)),"Unknown"))</f>
        <v/>
      </c>
      <c r="I355" s="8" t="str">
        <f t="shared" si="15"/>
        <v/>
      </c>
      <c r="J355" s="8" t="str">
        <f t="shared" si="16"/>
        <v/>
      </c>
      <c r="K355" s="24"/>
      <c r="L355" s="7" t="str">
        <f t="shared" si="17"/>
        <v/>
      </c>
    </row>
    <row r="356" spans="1:12" x14ac:dyDescent="0.25">
      <c r="A356" s="23"/>
      <c r="B356" s="24"/>
      <c r="C356" s="24"/>
      <c r="D356" s="24"/>
      <c r="E356" s="24"/>
      <c r="F356" s="24"/>
      <c r="G356" s="25"/>
      <c r="H356" s="16" t="str">
        <f>IF(C356="","",IFERROR(INDEX(Settings!$L$4:$L$56,MATCH(C356,Settings!$K$4:$K$56,0)),"Unknown"))</f>
        <v/>
      </c>
      <c r="I356" s="8" t="str">
        <f t="shared" si="15"/>
        <v/>
      </c>
      <c r="J356" s="8" t="str">
        <f t="shared" si="16"/>
        <v/>
      </c>
      <c r="K356" s="24"/>
      <c r="L356" s="7" t="str">
        <f t="shared" si="17"/>
        <v/>
      </c>
    </row>
    <row r="357" spans="1:12" x14ac:dyDescent="0.25">
      <c r="A357" s="23"/>
      <c r="B357" s="24"/>
      <c r="C357" s="24"/>
      <c r="D357" s="24"/>
      <c r="E357" s="24"/>
      <c r="F357" s="24"/>
      <c r="G357" s="25"/>
      <c r="H357" s="16" t="str">
        <f>IF(C357="","",IFERROR(INDEX(Settings!$L$4:$L$56,MATCH(C357,Settings!$K$4:$K$56,0)),"Unknown"))</f>
        <v/>
      </c>
      <c r="I357" s="8" t="str">
        <f t="shared" si="15"/>
        <v/>
      </c>
      <c r="J357" s="8" t="str">
        <f t="shared" si="16"/>
        <v/>
      </c>
      <c r="K357" s="24"/>
      <c r="L357" s="7" t="str">
        <f t="shared" si="17"/>
        <v/>
      </c>
    </row>
    <row r="358" spans="1:12" x14ac:dyDescent="0.25">
      <c r="A358" s="23"/>
      <c r="B358" s="24"/>
      <c r="C358" s="24"/>
      <c r="D358" s="24"/>
      <c r="E358" s="24"/>
      <c r="F358" s="24"/>
      <c r="G358" s="25"/>
      <c r="H358" s="16" t="str">
        <f>IF(C358="","",IFERROR(INDEX(Settings!$L$4:$L$56,MATCH(C358,Settings!$K$4:$K$56,0)),"Unknown"))</f>
        <v/>
      </c>
      <c r="I358" s="8" t="str">
        <f t="shared" si="15"/>
        <v/>
      </c>
      <c r="J358" s="8" t="str">
        <f t="shared" si="16"/>
        <v/>
      </c>
      <c r="K358" s="24"/>
      <c r="L358" s="7" t="str">
        <f t="shared" si="17"/>
        <v/>
      </c>
    </row>
    <row r="359" spans="1:12" x14ac:dyDescent="0.25">
      <c r="A359" s="23"/>
      <c r="B359" s="24"/>
      <c r="C359" s="24"/>
      <c r="D359" s="24"/>
      <c r="E359" s="24"/>
      <c r="F359" s="24"/>
      <c r="G359" s="25"/>
      <c r="H359" s="16" t="str">
        <f>IF(C359="","",IFERROR(INDEX(Settings!$L$4:$L$56,MATCH(C359,Settings!$K$4:$K$56,0)),"Unknown"))</f>
        <v/>
      </c>
      <c r="I359" s="8" t="str">
        <f t="shared" si="15"/>
        <v/>
      </c>
      <c r="J359" s="8" t="str">
        <f t="shared" si="16"/>
        <v/>
      </c>
      <c r="K359" s="24"/>
      <c r="L359" s="7" t="str">
        <f t="shared" si="17"/>
        <v/>
      </c>
    </row>
    <row r="360" spans="1:12" x14ac:dyDescent="0.25">
      <c r="A360" s="23"/>
      <c r="B360" s="24"/>
      <c r="C360" s="24"/>
      <c r="D360" s="24"/>
      <c r="E360" s="24"/>
      <c r="F360" s="24"/>
      <c r="G360" s="25"/>
      <c r="H360" s="16" t="str">
        <f>IF(C360="","",IFERROR(INDEX(Settings!$L$4:$L$56,MATCH(C360,Settings!$K$4:$K$56,0)),"Unknown"))</f>
        <v/>
      </c>
      <c r="I360" s="8" t="str">
        <f t="shared" si="15"/>
        <v/>
      </c>
      <c r="J360" s="8" t="str">
        <f t="shared" si="16"/>
        <v/>
      </c>
      <c r="K360" s="24"/>
      <c r="L360" s="7" t="str">
        <f t="shared" si="17"/>
        <v/>
      </c>
    </row>
    <row r="361" spans="1:12" x14ac:dyDescent="0.25">
      <c r="A361" s="23"/>
      <c r="B361" s="24"/>
      <c r="C361" s="24"/>
      <c r="D361" s="24"/>
      <c r="E361" s="24"/>
      <c r="F361" s="24"/>
      <c r="G361" s="25"/>
      <c r="H361" s="16" t="str">
        <f>IF(C361="","",IFERROR(INDEX(Settings!$L$4:$L$56,MATCH(C361,Settings!$K$4:$K$56,0)),"Unknown"))</f>
        <v/>
      </c>
      <c r="I361" s="8" t="str">
        <f t="shared" si="15"/>
        <v/>
      </c>
      <c r="J361" s="8" t="str">
        <f t="shared" si="16"/>
        <v/>
      </c>
      <c r="K361" s="24"/>
      <c r="L361" s="7" t="str">
        <f t="shared" si="17"/>
        <v/>
      </c>
    </row>
    <row r="362" spans="1:12" x14ac:dyDescent="0.25">
      <c r="A362" s="23"/>
      <c r="B362" s="24"/>
      <c r="C362" s="24"/>
      <c r="D362" s="24"/>
      <c r="E362" s="24"/>
      <c r="F362" s="24"/>
      <c r="G362" s="25"/>
      <c r="H362" s="16" t="str">
        <f>IF(C362="","",IFERROR(INDEX(Settings!$L$4:$L$56,MATCH(C362,Settings!$K$4:$K$56,0)),"Unknown"))</f>
        <v/>
      </c>
      <c r="I362" s="8" t="str">
        <f t="shared" si="15"/>
        <v/>
      </c>
      <c r="J362" s="8" t="str">
        <f t="shared" si="16"/>
        <v/>
      </c>
      <c r="K362" s="24"/>
      <c r="L362" s="7" t="str">
        <f t="shared" si="17"/>
        <v/>
      </c>
    </row>
    <row r="363" spans="1:12" x14ac:dyDescent="0.25">
      <c r="A363" s="23"/>
      <c r="B363" s="24"/>
      <c r="C363" s="24"/>
      <c r="D363" s="24"/>
      <c r="E363" s="24"/>
      <c r="F363" s="24"/>
      <c r="G363" s="25"/>
      <c r="H363" s="16" t="str">
        <f>IF(C363="","",IFERROR(INDEX(Settings!$L$4:$L$56,MATCH(C363,Settings!$K$4:$K$56,0)),"Unknown"))</f>
        <v/>
      </c>
      <c r="I363" s="8" t="str">
        <f t="shared" si="15"/>
        <v/>
      </c>
      <c r="J363" s="8" t="str">
        <f t="shared" si="16"/>
        <v/>
      </c>
      <c r="K363" s="24"/>
      <c r="L363" s="7" t="str">
        <f t="shared" si="17"/>
        <v/>
      </c>
    </row>
    <row r="364" spans="1:12" x14ac:dyDescent="0.25">
      <c r="A364" s="23"/>
      <c r="B364" s="24"/>
      <c r="C364" s="24"/>
      <c r="D364" s="24"/>
      <c r="E364" s="24"/>
      <c r="F364" s="24"/>
      <c r="G364" s="25"/>
      <c r="H364" s="16" t="str">
        <f>IF(C364="","",IFERROR(INDEX(Settings!$L$4:$L$56,MATCH(C364,Settings!$K$4:$K$56,0)),"Unknown"))</f>
        <v/>
      </c>
      <c r="I364" s="8" t="str">
        <f t="shared" si="15"/>
        <v/>
      </c>
      <c r="J364" s="8" t="str">
        <f t="shared" si="16"/>
        <v/>
      </c>
      <c r="K364" s="24"/>
      <c r="L364" s="7" t="str">
        <f t="shared" si="17"/>
        <v/>
      </c>
    </row>
    <row r="365" spans="1:12" x14ac:dyDescent="0.25">
      <c r="A365" s="23"/>
      <c r="B365" s="24"/>
      <c r="C365" s="24"/>
      <c r="D365" s="24"/>
      <c r="E365" s="24"/>
      <c r="F365" s="24"/>
      <c r="G365" s="25"/>
      <c r="H365" s="16" t="str">
        <f>IF(C365="","",IFERROR(INDEX(Settings!$L$4:$L$56,MATCH(C365,Settings!$K$4:$K$56,0)),"Unknown"))</f>
        <v/>
      </c>
      <c r="I365" s="8" t="str">
        <f t="shared" si="15"/>
        <v/>
      </c>
      <c r="J365" s="8" t="str">
        <f t="shared" si="16"/>
        <v/>
      </c>
      <c r="K365" s="24"/>
      <c r="L365" s="7" t="str">
        <f t="shared" si="17"/>
        <v/>
      </c>
    </row>
    <row r="366" spans="1:12" x14ac:dyDescent="0.25">
      <c r="A366" s="23"/>
      <c r="B366" s="24"/>
      <c r="C366" s="24"/>
      <c r="D366" s="24"/>
      <c r="E366" s="24"/>
      <c r="F366" s="24"/>
      <c r="G366" s="25"/>
      <c r="H366" s="16" t="str">
        <f>IF(C366="","",IFERROR(INDEX(Settings!$L$4:$L$56,MATCH(C366,Settings!$K$4:$K$56,0)),"Unknown"))</f>
        <v/>
      </c>
      <c r="I366" s="8" t="str">
        <f t="shared" si="15"/>
        <v/>
      </c>
      <c r="J366" s="8" t="str">
        <f t="shared" si="16"/>
        <v/>
      </c>
      <c r="K366" s="24"/>
      <c r="L366" s="7" t="str">
        <f t="shared" si="17"/>
        <v/>
      </c>
    </row>
    <row r="367" spans="1:12" x14ac:dyDescent="0.25">
      <c r="A367" s="23"/>
      <c r="B367" s="24"/>
      <c r="C367" s="24"/>
      <c r="D367" s="24"/>
      <c r="E367" s="24"/>
      <c r="F367" s="24"/>
      <c r="G367" s="25"/>
      <c r="H367" s="16" t="str">
        <f>IF(C367="","",IFERROR(INDEX(Settings!$L$4:$L$56,MATCH(C367,Settings!$K$4:$K$56,0)),"Unknown"))</f>
        <v/>
      </c>
      <c r="I367" s="8" t="str">
        <f t="shared" si="15"/>
        <v/>
      </c>
      <c r="J367" s="8" t="str">
        <f t="shared" si="16"/>
        <v/>
      </c>
      <c r="K367" s="24"/>
      <c r="L367" s="7" t="str">
        <f t="shared" si="17"/>
        <v/>
      </c>
    </row>
    <row r="368" spans="1:12" x14ac:dyDescent="0.25">
      <c r="A368" s="23"/>
      <c r="B368" s="24"/>
      <c r="C368" s="24"/>
      <c r="D368" s="24"/>
      <c r="E368" s="24"/>
      <c r="F368" s="24"/>
      <c r="G368" s="25"/>
      <c r="H368" s="16" t="str">
        <f>IF(C368="","",IFERROR(INDEX(Settings!$L$4:$L$56,MATCH(C368,Settings!$K$4:$K$56,0)),"Unknown"))</f>
        <v/>
      </c>
      <c r="I368" s="8" t="str">
        <f t="shared" si="15"/>
        <v/>
      </c>
      <c r="J368" s="8" t="str">
        <f t="shared" si="16"/>
        <v/>
      </c>
      <c r="K368" s="24"/>
      <c r="L368" s="7" t="str">
        <f t="shared" si="17"/>
        <v/>
      </c>
    </row>
    <row r="369" spans="1:12" x14ac:dyDescent="0.25">
      <c r="A369" s="23"/>
      <c r="B369" s="24"/>
      <c r="C369" s="24"/>
      <c r="D369" s="24"/>
      <c r="E369" s="24"/>
      <c r="F369" s="24"/>
      <c r="G369" s="25"/>
      <c r="H369" s="16" t="str">
        <f>IF(C369="","",IFERROR(INDEX(Settings!$L$4:$L$56,MATCH(C369,Settings!$K$4:$K$56,0)),"Unknown"))</f>
        <v/>
      </c>
      <c r="I369" s="8" t="str">
        <f t="shared" si="15"/>
        <v/>
      </c>
      <c r="J369" s="8" t="str">
        <f t="shared" si="16"/>
        <v/>
      </c>
      <c r="K369" s="24"/>
      <c r="L369" s="7" t="str">
        <f t="shared" si="17"/>
        <v/>
      </c>
    </row>
    <row r="370" spans="1:12" x14ac:dyDescent="0.25">
      <c r="A370" s="23"/>
      <c r="B370" s="24"/>
      <c r="C370" s="24"/>
      <c r="D370" s="24"/>
      <c r="E370" s="24"/>
      <c r="F370" s="24"/>
      <c r="G370" s="25"/>
      <c r="H370" s="16" t="str">
        <f>IF(C370="","",IFERROR(INDEX(Settings!$L$4:$L$56,MATCH(C370,Settings!$K$4:$K$56,0)),"Unknown"))</f>
        <v/>
      </c>
      <c r="I370" s="8" t="str">
        <f t="shared" si="15"/>
        <v/>
      </c>
      <c r="J370" s="8" t="str">
        <f t="shared" si="16"/>
        <v/>
      </c>
      <c r="K370" s="24"/>
      <c r="L370" s="7" t="str">
        <f t="shared" si="17"/>
        <v/>
      </c>
    </row>
    <row r="371" spans="1:12" x14ac:dyDescent="0.25">
      <c r="A371" s="23"/>
      <c r="B371" s="24"/>
      <c r="C371" s="24"/>
      <c r="D371" s="24"/>
      <c r="E371" s="24"/>
      <c r="F371" s="24"/>
      <c r="G371" s="25"/>
      <c r="H371" s="16" t="str">
        <f>IF(C371="","",IFERROR(INDEX(Settings!$L$4:$L$56,MATCH(C371,Settings!$K$4:$K$56,0)),"Unknown"))</f>
        <v/>
      </c>
      <c r="I371" s="8" t="str">
        <f t="shared" si="15"/>
        <v/>
      </c>
      <c r="J371" s="8" t="str">
        <f t="shared" si="16"/>
        <v/>
      </c>
      <c r="K371" s="24"/>
      <c r="L371" s="7" t="str">
        <f t="shared" si="17"/>
        <v/>
      </c>
    </row>
    <row r="372" spans="1:12" x14ac:dyDescent="0.25">
      <c r="A372" s="23"/>
      <c r="B372" s="24"/>
      <c r="C372" s="24"/>
      <c r="D372" s="24"/>
      <c r="E372" s="24"/>
      <c r="F372" s="24"/>
      <c r="G372" s="25"/>
      <c r="H372" s="16" t="str">
        <f>IF(C372="","",IFERROR(INDEX(Settings!$L$4:$L$56,MATCH(C372,Settings!$K$4:$K$56,0)),"Unknown"))</f>
        <v/>
      </c>
      <c r="I372" s="8" t="str">
        <f t="shared" si="15"/>
        <v/>
      </c>
      <c r="J372" s="8" t="str">
        <f t="shared" si="16"/>
        <v/>
      </c>
      <c r="K372" s="24"/>
      <c r="L372" s="7" t="str">
        <f t="shared" si="17"/>
        <v/>
      </c>
    </row>
    <row r="373" spans="1:12" x14ac:dyDescent="0.25">
      <c r="A373" s="23"/>
      <c r="B373" s="24"/>
      <c r="C373" s="24"/>
      <c r="D373" s="24"/>
      <c r="E373" s="24"/>
      <c r="F373" s="24"/>
      <c r="G373" s="25"/>
      <c r="H373" s="16" t="str">
        <f>IF(C373="","",IFERROR(INDEX(Settings!$L$4:$L$56,MATCH(C373,Settings!$K$4:$K$56,0)),"Unknown"))</f>
        <v/>
      </c>
      <c r="I373" s="8" t="str">
        <f t="shared" si="15"/>
        <v/>
      </c>
      <c r="J373" s="8" t="str">
        <f t="shared" si="16"/>
        <v/>
      </c>
      <c r="K373" s="24"/>
      <c r="L373" s="7" t="str">
        <f t="shared" si="17"/>
        <v/>
      </c>
    </row>
    <row r="374" spans="1:12" x14ac:dyDescent="0.25">
      <c r="A374" s="23"/>
      <c r="B374" s="24"/>
      <c r="C374" s="24"/>
      <c r="D374" s="24"/>
      <c r="E374" s="24"/>
      <c r="F374" s="24"/>
      <c r="G374" s="25"/>
      <c r="H374" s="16" t="str">
        <f>IF(C374="","",IFERROR(INDEX(Settings!$L$4:$L$56,MATCH(C374,Settings!$K$4:$K$56,0)),"Unknown"))</f>
        <v/>
      </c>
      <c r="I374" s="8" t="str">
        <f t="shared" si="15"/>
        <v/>
      </c>
      <c r="J374" s="8" t="str">
        <f t="shared" si="16"/>
        <v/>
      </c>
      <c r="K374" s="24"/>
      <c r="L374" s="7" t="str">
        <f t="shared" si="17"/>
        <v/>
      </c>
    </row>
    <row r="375" spans="1:12" x14ac:dyDescent="0.25">
      <c r="A375" s="23"/>
      <c r="B375" s="24"/>
      <c r="C375" s="24"/>
      <c r="D375" s="24"/>
      <c r="E375" s="24"/>
      <c r="F375" s="24"/>
      <c r="G375" s="25"/>
      <c r="H375" s="16" t="str">
        <f>IF(C375="","",IFERROR(INDEX(Settings!$L$4:$L$56,MATCH(C375,Settings!$K$4:$K$56,0)),"Unknown"))</f>
        <v/>
      </c>
      <c r="I375" s="8" t="str">
        <f t="shared" si="15"/>
        <v/>
      </c>
      <c r="J375" s="8" t="str">
        <f t="shared" si="16"/>
        <v/>
      </c>
      <c r="K375" s="24"/>
      <c r="L375" s="7" t="str">
        <f t="shared" si="17"/>
        <v/>
      </c>
    </row>
    <row r="376" spans="1:12" x14ac:dyDescent="0.25">
      <c r="A376" s="23"/>
      <c r="B376" s="24"/>
      <c r="C376" s="24"/>
      <c r="D376" s="24"/>
      <c r="E376" s="24"/>
      <c r="F376" s="24"/>
      <c r="G376" s="25"/>
      <c r="H376" s="16" t="str">
        <f>IF(C376="","",IFERROR(INDEX(Settings!$L$4:$L$56,MATCH(C376,Settings!$K$4:$K$56,0)),"Unknown"))</f>
        <v/>
      </c>
      <c r="I376" s="8" t="str">
        <f t="shared" si="15"/>
        <v/>
      </c>
      <c r="J376" s="8" t="str">
        <f t="shared" si="16"/>
        <v/>
      </c>
      <c r="K376" s="24"/>
      <c r="L376" s="7" t="str">
        <f t="shared" si="17"/>
        <v/>
      </c>
    </row>
    <row r="377" spans="1:12" x14ac:dyDescent="0.25">
      <c r="A377" s="23"/>
      <c r="B377" s="24"/>
      <c r="C377" s="24"/>
      <c r="D377" s="24"/>
      <c r="E377" s="24"/>
      <c r="F377" s="24"/>
      <c r="G377" s="25"/>
      <c r="H377" s="16" t="str">
        <f>IF(C377="","",IFERROR(INDEX(Settings!$L$4:$L$56,MATCH(C377,Settings!$K$4:$K$56,0)),"Unknown"))</f>
        <v/>
      </c>
      <c r="I377" s="8" t="str">
        <f t="shared" si="15"/>
        <v/>
      </c>
      <c r="J377" s="8" t="str">
        <f t="shared" si="16"/>
        <v/>
      </c>
      <c r="K377" s="24"/>
      <c r="L377" s="7" t="str">
        <f t="shared" si="17"/>
        <v/>
      </c>
    </row>
    <row r="378" spans="1:12" x14ac:dyDescent="0.25">
      <c r="A378" s="23"/>
      <c r="B378" s="24"/>
      <c r="C378" s="24"/>
      <c r="D378" s="24"/>
      <c r="E378" s="24"/>
      <c r="F378" s="24"/>
      <c r="G378" s="25"/>
      <c r="H378" s="16" t="str">
        <f>IF(C378="","",IFERROR(INDEX(Settings!$L$4:$L$56,MATCH(C378,Settings!$K$4:$K$56,0)),"Unknown"))</f>
        <v/>
      </c>
      <c r="I378" s="8" t="str">
        <f t="shared" si="15"/>
        <v/>
      </c>
      <c r="J378" s="8" t="str">
        <f t="shared" si="16"/>
        <v/>
      </c>
      <c r="K378" s="24"/>
      <c r="L378" s="7" t="str">
        <f t="shared" si="17"/>
        <v/>
      </c>
    </row>
    <row r="379" spans="1:12" x14ac:dyDescent="0.25">
      <c r="A379" s="23"/>
      <c r="B379" s="24"/>
      <c r="C379" s="24"/>
      <c r="D379" s="24"/>
      <c r="E379" s="24"/>
      <c r="F379" s="24"/>
      <c r="G379" s="25"/>
      <c r="H379" s="16" t="str">
        <f>IF(C379="","",IFERROR(INDEX(Settings!$L$4:$L$56,MATCH(C379,Settings!$K$4:$K$56,0)),"Unknown"))</f>
        <v/>
      </c>
      <c r="I379" s="8" t="str">
        <f t="shared" si="15"/>
        <v/>
      </c>
      <c r="J379" s="8" t="str">
        <f t="shared" si="16"/>
        <v/>
      </c>
      <c r="K379" s="24"/>
      <c r="L379" s="7" t="str">
        <f t="shared" si="17"/>
        <v/>
      </c>
    </row>
    <row r="380" spans="1:12" x14ac:dyDescent="0.25">
      <c r="A380" s="23"/>
      <c r="B380" s="24"/>
      <c r="C380" s="24"/>
      <c r="D380" s="24"/>
      <c r="E380" s="24"/>
      <c r="F380" s="24"/>
      <c r="G380" s="25"/>
      <c r="H380" s="16" t="str">
        <f>IF(C380="","",IFERROR(INDEX(Settings!$L$4:$L$56,MATCH(C380,Settings!$K$4:$K$56,0)),"Unknown"))</f>
        <v/>
      </c>
      <c r="I380" s="8" t="str">
        <f t="shared" si="15"/>
        <v/>
      </c>
      <c r="J380" s="8" t="str">
        <f t="shared" si="16"/>
        <v/>
      </c>
      <c r="K380" s="24"/>
      <c r="L380" s="7" t="str">
        <f t="shared" si="17"/>
        <v/>
      </c>
    </row>
    <row r="381" spans="1:12" x14ac:dyDescent="0.25">
      <c r="A381" s="23"/>
      <c r="B381" s="24"/>
      <c r="C381" s="24"/>
      <c r="D381" s="24"/>
      <c r="E381" s="24"/>
      <c r="F381" s="24"/>
      <c r="G381" s="25"/>
      <c r="H381" s="16" t="str">
        <f>IF(C381="","",IFERROR(INDEX(Settings!$L$4:$L$56,MATCH(C381,Settings!$K$4:$K$56,0)),"Unknown"))</f>
        <v/>
      </c>
      <c r="I381" s="8" t="str">
        <f t="shared" si="15"/>
        <v/>
      </c>
      <c r="J381" s="8" t="str">
        <f t="shared" si="16"/>
        <v/>
      </c>
      <c r="K381" s="24"/>
      <c r="L381" s="7" t="str">
        <f t="shared" si="17"/>
        <v/>
      </c>
    </row>
    <row r="382" spans="1:12" x14ac:dyDescent="0.25">
      <c r="A382" s="23"/>
      <c r="B382" s="24"/>
      <c r="C382" s="24"/>
      <c r="D382" s="24"/>
      <c r="E382" s="24"/>
      <c r="F382" s="24"/>
      <c r="G382" s="25"/>
      <c r="H382" s="16" t="str">
        <f>IF(C382="","",IFERROR(INDEX(Settings!$L$4:$L$56,MATCH(C382,Settings!$K$4:$K$56,0)),"Unknown"))</f>
        <v/>
      </c>
      <c r="I382" s="8" t="str">
        <f t="shared" si="15"/>
        <v/>
      </c>
      <c r="J382" s="8" t="str">
        <f t="shared" si="16"/>
        <v/>
      </c>
      <c r="K382" s="24"/>
      <c r="L382" s="7" t="str">
        <f t="shared" si="17"/>
        <v/>
      </c>
    </row>
    <row r="383" spans="1:12" x14ac:dyDescent="0.25">
      <c r="A383" s="23"/>
      <c r="B383" s="24"/>
      <c r="C383" s="24"/>
      <c r="D383" s="24"/>
      <c r="E383" s="24"/>
      <c r="F383" s="24"/>
      <c r="G383" s="25"/>
      <c r="H383" s="16" t="str">
        <f>IF(C383="","",IFERROR(INDEX(Settings!$L$4:$L$56,MATCH(C383,Settings!$K$4:$K$56,0)),"Unknown"))</f>
        <v/>
      </c>
      <c r="I383" s="8" t="str">
        <f t="shared" si="15"/>
        <v/>
      </c>
      <c r="J383" s="8" t="str">
        <f t="shared" si="16"/>
        <v/>
      </c>
      <c r="K383" s="24"/>
      <c r="L383" s="7" t="str">
        <f t="shared" si="17"/>
        <v/>
      </c>
    </row>
    <row r="384" spans="1:12" x14ac:dyDescent="0.25">
      <c r="A384" s="23"/>
      <c r="B384" s="24"/>
      <c r="C384" s="24"/>
      <c r="D384" s="24"/>
      <c r="E384" s="24"/>
      <c r="F384" s="24"/>
      <c r="G384" s="25"/>
      <c r="H384" s="16" t="str">
        <f>IF(C384="","",IFERROR(INDEX(Settings!$L$4:$L$56,MATCH(C384,Settings!$K$4:$K$56,0)),"Unknown"))</f>
        <v/>
      </c>
      <c r="I384" s="8" t="str">
        <f t="shared" si="15"/>
        <v/>
      </c>
      <c r="J384" s="8" t="str">
        <f t="shared" si="16"/>
        <v/>
      </c>
      <c r="K384" s="24"/>
      <c r="L384" s="7" t="str">
        <f t="shared" si="17"/>
        <v/>
      </c>
    </row>
    <row r="385" spans="1:12" x14ac:dyDescent="0.25">
      <c r="A385" s="23"/>
      <c r="B385" s="24"/>
      <c r="C385" s="24"/>
      <c r="D385" s="24"/>
      <c r="E385" s="24"/>
      <c r="F385" s="24"/>
      <c r="G385" s="25"/>
      <c r="H385" s="16" t="str">
        <f>IF(C385="","",IFERROR(INDEX(Settings!$L$4:$L$56,MATCH(C385,Settings!$K$4:$K$56,0)),"Unknown"))</f>
        <v/>
      </c>
      <c r="I385" s="8" t="str">
        <f t="shared" si="15"/>
        <v/>
      </c>
      <c r="J385" s="8" t="str">
        <f t="shared" si="16"/>
        <v/>
      </c>
      <c r="K385" s="24"/>
      <c r="L385" s="7" t="str">
        <f t="shared" si="17"/>
        <v/>
      </c>
    </row>
    <row r="386" spans="1:12" x14ac:dyDescent="0.25">
      <c r="A386" s="23"/>
      <c r="B386" s="24"/>
      <c r="C386" s="24"/>
      <c r="D386" s="24"/>
      <c r="E386" s="24"/>
      <c r="F386" s="24"/>
      <c r="G386" s="25"/>
      <c r="H386" s="16" t="str">
        <f>IF(C386="","",IFERROR(INDEX(Settings!$L$4:$L$56,MATCH(C386,Settings!$K$4:$K$56,0)),"Unknown"))</f>
        <v/>
      </c>
      <c r="I386" s="8" t="str">
        <f t="shared" si="15"/>
        <v/>
      </c>
      <c r="J386" s="8" t="str">
        <f t="shared" si="16"/>
        <v/>
      </c>
      <c r="K386" s="24"/>
      <c r="L386" s="7" t="str">
        <f t="shared" si="17"/>
        <v/>
      </c>
    </row>
    <row r="387" spans="1:12" x14ac:dyDescent="0.25">
      <c r="A387" s="23"/>
      <c r="B387" s="24"/>
      <c r="C387" s="24"/>
      <c r="D387" s="24"/>
      <c r="E387" s="24"/>
      <c r="F387" s="24"/>
      <c r="G387" s="25"/>
      <c r="H387" s="16" t="str">
        <f>IF(C387="","",IFERROR(INDEX(Settings!$L$4:$L$56,MATCH(C387,Settings!$K$4:$K$56,0)),"Unknown"))</f>
        <v/>
      </c>
      <c r="I387" s="8" t="str">
        <f t="shared" si="15"/>
        <v/>
      </c>
      <c r="J387" s="8" t="str">
        <f t="shared" si="16"/>
        <v/>
      </c>
      <c r="K387" s="24"/>
      <c r="L387" s="7" t="str">
        <f t="shared" si="17"/>
        <v/>
      </c>
    </row>
    <row r="388" spans="1:12" x14ac:dyDescent="0.25">
      <c r="A388" s="23"/>
      <c r="B388" s="24"/>
      <c r="C388" s="24"/>
      <c r="D388" s="24"/>
      <c r="E388" s="24"/>
      <c r="F388" s="24"/>
      <c r="G388" s="25"/>
      <c r="H388" s="16" t="str">
        <f>IF(C388="","",IFERROR(INDEX(Settings!$L$4:$L$56,MATCH(C388,Settings!$K$4:$K$56,0)),"Unknown"))</f>
        <v/>
      </c>
      <c r="I388" s="8" t="str">
        <f t="shared" si="15"/>
        <v/>
      </c>
      <c r="J388" s="8" t="str">
        <f t="shared" si="16"/>
        <v/>
      </c>
      <c r="K388" s="24"/>
      <c r="L388" s="7" t="str">
        <f t="shared" si="17"/>
        <v/>
      </c>
    </row>
    <row r="389" spans="1:12" x14ac:dyDescent="0.25">
      <c r="A389" s="23"/>
      <c r="B389" s="24"/>
      <c r="C389" s="24"/>
      <c r="D389" s="24"/>
      <c r="E389" s="24"/>
      <c r="F389" s="24"/>
      <c r="G389" s="25"/>
      <c r="H389" s="16" t="str">
        <f>IF(C389="","",IFERROR(INDEX(Settings!$L$4:$L$56,MATCH(C389,Settings!$K$4:$K$56,0)),"Unknown"))</f>
        <v/>
      </c>
      <c r="I389" s="8" t="str">
        <f t="shared" si="15"/>
        <v/>
      </c>
      <c r="J389" s="8" t="str">
        <f t="shared" si="16"/>
        <v/>
      </c>
      <c r="K389" s="24"/>
      <c r="L389" s="7" t="str">
        <f t="shared" si="17"/>
        <v/>
      </c>
    </row>
    <row r="390" spans="1:12" x14ac:dyDescent="0.25">
      <c r="A390" s="23"/>
      <c r="B390" s="24"/>
      <c r="C390" s="24"/>
      <c r="D390" s="24"/>
      <c r="E390" s="24"/>
      <c r="F390" s="24"/>
      <c r="G390" s="25"/>
      <c r="H390" s="16" t="str">
        <f>IF(C390="","",IFERROR(INDEX(Settings!$L$4:$L$56,MATCH(C390,Settings!$K$4:$K$56,0)),"Unknown"))</f>
        <v/>
      </c>
      <c r="I390" s="8" t="str">
        <f t="shared" ref="I390:I453" si="18">IF(A390="","",MONTH(A390))</f>
        <v/>
      </c>
      <c r="J390" s="8" t="str">
        <f t="shared" ref="J390:J453" si="19">IF(A390="","",YEAR(A390))</f>
        <v/>
      </c>
      <c r="K390" s="24"/>
      <c r="L390" s="7" t="str">
        <f t="shared" ref="L390:L453" si="20">IF(OR(B390="",C390=""),"",IF(AND(B390="Income",H390&lt;&gt;"Income"),"Category is not an Income category",IF(AND(B390="Expense",H390="Income"),"Category is an Income category","OK")))</f>
        <v/>
      </c>
    </row>
    <row r="391" spans="1:12" x14ac:dyDescent="0.25">
      <c r="A391" s="23"/>
      <c r="B391" s="24"/>
      <c r="C391" s="24"/>
      <c r="D391" s="24"/>
      <c r="E391" s="24"/>
      <c r="F391" s="24"/>
      <c r="G391" s="25"/>
      <c r="H391" s="16" t="str">
        <f>IF(C391="","",IFERROR(INDEX(Settings!$L$4:$L$56,MATCH(C391,Settings!$K$4:$K$56,0)),"Unknown"))</f>
        <v/>
      </c>
      <c r="I391" s="8" t="str">
        <f t="shared" si="18"/>
        <v/>
      </c>
      <c r="J391" s="8" t="str">
        <f t="shared" si="19"/>
        <v/>
      </c>
      <c r="K391" s="24"/>
      <c r="L391" s="7" t="str">
        <f t="shared" si="20"/>
        <v/>
      </c>
    </row>
    <row r="392" spans="1:12" x14ac:dyDescent="0.25">
      <c r="A392" s="23"/>
      <c r="B392" s="24"/>
      <c r="C392" s="24"/>
      <c r="D392" s="24"/>
      <c r="E392" s="24"/>
      <c r="F392" s="24"/>
      <c r="G392" s="25"/>
      <c r="H392" s="16" t="str">
        <f>IF(C392="","",IFERROR(INDEX(Settings!$L$4:$L$56,MATCH(C392,Settings!$K$4:$K$56,0)),"Unknown"))</f>
        <v/>
      </c>
      <c r="I392" s="8" t="str">
        <f t="shared" si="18"/>
        <v/>
      </c>
      <c r="J392" s="8" t="str">
        <f t="shared" si="19"/>
        <v/>
      </c>
      <c r="K392" s="24"/>
      <c r="L392" s="7" t="str">
        <f t="shared" si="20"/>
        <v/>
      </c>
    </row>
    <row r="393" spans="1:12" x14ac:dyDescent="0.25">
      <c r="A393" s="23"/>
      <c r="B393" s="24"/>
      <c r="C393" s="24"/>
      <c r="D393" s="24"/>
      <c r="E393" s="24"/>
      <c r="F393" s="24"/>
      <c r="G393" s="25"/>
      <c r="H393" s="16" t="str">
        <f>IF(C393="","",IFERROR(INDEX(Settings!$L$4:$L$56,MATCH(C393,Settings!$K$4:$K$56,0)),"Unknown"))</f>
        <v/>
      </c>
      <c r="I393" s="8" t="str">
        <f t="shared" si="18"/>
        <v/>
      </c>
      <c r="J393" s="8" t="str">
        <f t="shared" si="19"/>
        <v/>
      </c>
      <c r="K393" s="24"/>
      <c r="L393" s="7" t="str">
        <f t="shared" si="20"/>
        <v/>
      </c>
    </row>
    <row r="394" spans="1:12" x14ac:dyDescent="0.25">
      <c r="A394" s="23"/>
      <c r="B394" s="24"/>
      <c r="C394" s="24"/>
      <c r="D394" s="24"/>
      <c r="E394" s="24"/>
      <c r="F394" s="24"/>
      <c r="G394" s="25"/>
      <c r="H394" s="16" t="str">
        <f>IF(C394="","",IFERROR(INDEX(Settings!$L$4:$L$56,MATCH(C394,Settings!$K$4:$K$56,0)),"Unknown"))</f>
        <v/>
      </c>
      <c r="I394" s="8" t="str">
        <f t="shared" si="18"/>
        <v/>
      </c>
      <c r="J394" s="8" t="str">
        <f t="shared" si="19"/>
        <v/>
      </c>
      <c r="K394" s="24"/>
      <c r="L394" s="7" t="str">
        <f t="shared" si="20"/>
        <v/>
      </c>
    </row>
    <row r="395" spans="1:12" x14ac:dyDescent="0.25">
      <c r="A395" s="23"/>
      <c r="B395" s="24"/>
      <c r="C395" s="24"/>
      <c r="D395" s="24"/>
      <c r="E395" s="24"/>
      <c r="F395" s="24"/>
      <c r="G395" s="25"/>
      <c r="H395" s="16" t="str">
        <f>IF(C395="","",IFERROR(INDEX(Settings!$L$4:$L$56,MATCH(C395,Settings!$K$4:$K$56,0)),"Unknown"))</f>
        <v/>
      </c>
      <c r="I395" s="8" t="str">
        <f t="shared" si="18"/>
        <v/>
      </c>
      <c r="J395" s="8" t="str">
        <f t="shared" si="19"/>
        <v/>
      </c>
      <c r="K395" s="24"/>
      <c r="L395" s="7" t="str">
        <f t="shared" si="20"/>
        <v/>
      </c>
    </row>
    <row r="396" spans="1:12" x14ac:dyDescent="0.25">
      <c r="A396" s="23"/>
      <c r="B396" s="24"/>
      <c r="C396" s="24"/>
      <c r="D396" s="24"/>
      <c r="E396" s="24"/>
      <c r="F396" s="24"/>
      <c r="G396" s="25"/>
      <c r="H396" s="16" t="str">
        <f>IF(C396="","",IFERROR(INDEX(Settings!$L$4:$L$56,MATCH(C396,Settings!$K$4:$K$56,0)),"Unknown"))</f>
        <v/>
      </c>
      <c r="I396" s="8" t="str">
        <f t="shared" si="18"/>
        <v/>
      </c>
      <c r="J396" s="8" t="str">
        <f t="shared" si="19"/>
        <v/>
      </c>
      <c r="K396" s="24"/>
      <c r="L396" s="7" t="str">
        <f t="shared" si="20"/>
        <v/>
      </c>
    </row>
    <row r="397" spans="1:12" x14ac:dyDescent="0.25">
      <c r="A397" s="23"/>
      <c r="B397" s="24"/>
      <c r="C397" s="24"/>
      <c r="D397" s="24"/>
      <c r="E397" s="24"/>
      <c r="F397" s="24"/>
      <c r="G397" s="25"/>
      <c r="H397" s="16" t="str">
        <f>IF(C397="","",IFERROR(INDEX(Settings!$L$4:$L$56,MATCH(C397,Settings!$K$4:$K$56,0)),"Unknown"))</f>
        <v/>
      </c>
      <c r="I397" s="8" t="str">
        <f t="shared" si="18"/>
        <v/>
      </c>
      <c r="J397" s="8" t="str">
        <f t="shared" si="19"/>
        <v/>
      </c>
      <c r="K397" s="24"/>
      <c r="L397" s="7" t="str">
        <f t="shared" si="20"/>
        <v/>
      </c>
    </row>
    <row r="398" spans="1:12" x14ac:dyDescent="0.25">
      <c r="A398" s="23"/>
      <c r="B398" s="24"/>
      <c r="C398" s="24"/>
      <c r="D398" s="24"/>
      <c r="E398" s="24"/>
      <c r="F398" s="24"/>
      <c r="G398" s="25"/>
      <c r="H398" s="16" t="str">
        <f>IF(C398="","",IFERROR(INDEX(Settings!$L$4:$L$56,MATCH(C398,Settings!$K$4:$K$56,0)),"Unknown"))</f>
        <v/>
      </c>
      <c r="I398" s="8" t="str">
        <f t="shared" si="18"/>
        <v/>
      </c>
      <c r="J398" s="8" t="str">
        <f t="shared" si="19"/>
        <v/>
      </c>
      <c r="K398" s="24"/>
      <c r="L398" s="7" t="str">
        <f t="shared" si="20"/>
        <v/>
      </c>
    </row>
    <row r="399" spans="1:12" x14ac:dyDescent="0.25">
      <c r="A399" s="23"/>
      <c r="B399" s="24"/>
      <c r="C399" s="24"/>
      <c r="D399" s="24"/>
      <c r="E399" s="24"/>
      <c r="F399" s="24"/>
      <c r="G399" s="25"/>
      <c r="H399" s="16" t="str">
        <f>IF(C399="","",IFERROR(INDEX(Settings!$L$4:$L$56,MATCH(C399,Settings!$K$4:$K$56,0)),"Unknown"))</f>
        <v/>
      </c>
      <c r="I399" s="8" t="str">
        <f t="shared" si="18"/>
        <v/>
      </c>
      <c r="J399" s="8" t="str">
        <f t="shared" si="19"/>
        <v/>
      </c>
      <c r="K399" s="24"/>
      <c r="L399" s="7" t="str">
        <f t="shared" si="20"/>
        <v/>
      </c>
    </row>
    <row r="400" spans="1:12" x14ac:dyDescent="0.25">
      <c r="A400" s="23"/>
      <c r="B400" s="24"/>
      <c r="C400" s="24"/>
      <c r="D400" s="24"/>
      <c r="E400" s="24"/>
      <c r="F400" s="24"/>
      <c r="G400" s="25"/>
      <c r="H400" s="16" t="str">
        <f>IF(C400="","",IFERROR(INDEX(Settings!$L$4:$L$56,MATCH(C400,Settings!$K$4:$K$56,0)),"Unknown"))</f>
        <v/>
      </c>
      <c r="I400" s="8" t="str">
        <f t="shared" si="18"/>
        <v/>
      </c>
      <c r="J400" s="8" t="str">
        <f t="shared" si="19"/>
        <v/>
      </c>
      <c r="K400" s="24"/>
      <c r="L400" s="7" t="str">
        <f t="shared" si="20"/>
        <v/>
      </c>
    </row>
    <row r="401" spans="1:12" x14ac:dyDescent="0.25">
      <c r="A401" s="23"/>
      <c r="B401" s="24"/>
      <c r="C401" s="24"/>
      <c r="D401" s="24"/>
      <c r="E401" s="24"/>
      <c r="F401" s="24"/>
      <c r="G401" s="25"/>
      <c r="H401" s="16" t="str">
        <f>IF(C401="","",IFERROR(INDEX(Settings!$L$4:$L$56,MATCH(C401,Settings!$K$4:$K$56,0)),"Unknown"))</f>
        <v/>
      </c>
      <c r="I401" s="8" t="str">
        <f t="shared" si="18"/>
        <v/>
      </c>
      <c r="J401" s="8" t="str">
        <f t="shared" si="19"/>
        <v/>
      </c>
      <c r="K401" s="24"/>
      <c r="L401" s="7" t="str">
        <f t="shared" si="20"/>
        <v/>
      </c>
    </row>
    <row r="402" spans="1:12" x14ac:dyDescent="0.25">
      <c r="A402" s="23"/>
      <c r="B402" s="24"/>
      <c r="C402" s="24"/>
      <c r="D402" s="24"/>
      <c r="E402" s="24"/>
      <c r="F402" s="24"/>
      <c r="G402" s="25"/>
      <c r="H402" s="16" t="str">
        <f>IF(C402="","",IFERROR(INDEX(Settings!$L$4:$L$56,MATCH(C402,Settings!$K$4:$K$56,0)),"Unknown"))</f>
        <v/>
      </c>
      <c r="I402" s="8" t="str">
        <f t="shared" si="18"/>
        <v/>
      </c>
      <c r="J402" s="8" t="str">
        <f t="shared" si="19"/>
        <v/>
      </c>
      <c r="K402" s="24"/>
      <c r="L402" s="7" t="str">
        <f t="shared" si="20"/>
        <v/>
      </c>
    </row>
    <row r="403" spans="1:12" x14ac:dyDescent="0.25">
      <c r="A403" s="23"/>
      <c r="B403" s="24"/>
      <c r="C403" s="24"/>
      <c r="D403" s="24"/>
      <c r="E403" s="24"/>
      <c r="F403" s="24"/>
      <c r="G403" s="25"/>
      <c r="H403" s="16" t="str">
        <f>IF(C403="","",IFERROR(INDEX(Settings!$L$4:$L$56,MATCH(C403,Settings!$K$4:$K$56,0)),"Unknown"))</f>
        <v/>
      </c>
      <c r="I403" s="8" t="str">
        <f t="shared" si="18"/>
        <v/>
      </c>
      <c r="J403" s="8" t="str">
        <f t="shared" si="19"/>
        <v/>
      </c>
      <c r="K403" s="24"/>
      <c r="L403" s="7" t="str">
        <f t="shared" si="20"/>
        <v/>
      </c>
    </row>
    <row r="404" spans="1:12" x14ac:dyDescent="0.25">
      <c r="A404" s="23"/>
      <c r="B404" s="24"/>
      <c r="C404" s="24"/>
      <c r="D404" s="24"/>
      <c r="E404" s="24"/>
      <c r="F404" s="24"/>
      <c r="G404" s="25"/>
      <c r="H404" s="16" t="str">
        <f>IF(C404="","",IFERROR(INDEX(Settings!$L$4:$L$56,MATCH(C404,Settings!$K$4:$K$56,0)),"Unknown"))</f>
        <v/>
      </c>
      <c r="I404" s="8" t="str">
        <f t="shared" si="18"/>
        <v/>
      </c>
      <c r="J404" s="8" t="str">
        <f t="shared" si="19"/>
        <v/>
      </c>
      <c r="K404" s="24"/>
      <c r="L404" s="7" t="str">
        <f t="shared" si="20"/>
        <v/>
      </c>
    </row>
    <row r="405" spans="1:12" x14ac:dyDescent="0.25">
      <c r="A405" s="23"/>
      <c r="B405" s="24"/>
      <c r="C405" s="24"/>
      <c r="D405" s="24"/>
      <c r="E405" s="24"/>
      <c r="F405" s="24"/>
      <c r="G405" s="25"/>
      <c r="H405" s="16" t="str">
        <f>IF(C405="","",IFERROR(INDEX(Settings!$L$4:$L$56,MATCH(C405,Settings!$K$4:$K$56,0)),"Unknown"))</f>
        <v/>
      </c>
      <c r="I405" s="8" t="str">
        <f t="shared" si="18"/>
        <v/>
      </c>
      <c r="J405" s="8" t="str">
        <f t="shared" si="19"/>
        <v/>
      </c>
      <c r="K405" s="24"/>
      <c r="L405" s="7" t="str">
        <f t="shared" si="20"/>
        <v/>
      </c>
    </row>
    <row r="406" spans="1:12" x14ac:dyDescent="0.25">
      <c r="A406" s="23"/>
      <c r="B406" s="24"/>
      <c r="C406" s="24"/>
      <c r="D406" s="24"/>
      <c r="E406" s="24"/>
      <c r="F406" s="24"/>
      <c r="G406" s="25"/>
      <c r="H406" s="16" t="str">
        <f>IF(C406="","",IFERROR(INDEX(Settings!$L$4:$L$56,MATCH(C406,Settings!$K$4:$K$56,0)),"Unknown"))</f>
        <v/>
      </c>
      <c r="I406" s="8" t="str">
        <f t="shared" si="18"/>
        <v/>
      </c>
      <c r="J406" s="8" t="str">
        <f t="shared" si="19"/>
        <v/>
      </c>
      <c r="K406" s="24"/>
      <c r="L406" s="7" t="str">
        <f t="shared" si="20"/>
        <v/>
      </c>
    </row>
    <row r="407" spans="1:12" x14ac:dyDescent="0.25">
      <c r="A407" s="23"/>
      <c r="B407" s="24"/>
      <c r="C407" s="24"/>
      <c r="D407" s="24"/>
      <c r="E407" s="24"/>
      <c r="F407" s="24"/>
      <c r="G407" s="25"/>
      <c r="H407" s="16" t="str">
        <f>IF(C407="","",IFERROR(INDEX(Settings!$L$4:$L$56,MATCH(C407,Settings!$K$4:$K$56,0)),"Unknown"))</f>
        <v/>
      </c>
      <c r="I407" s="8" t="str">
        <f t="shared" si="18"/>
        <v/>
      </c>
      <c r="J407" s="8" t="str">
        <f t="shared" si="19"/>
        <v/>
      </c>
      <c r="K407" s="24"/>
      <c r="L407" s="7" t="str">
        <f t="shared" si="20"/>
        <v/>
      </c>
    </row>
    <row r="408" spans="1:12" x14ac:dyDescent="0.25">
      <c r="A408" s="23"/>
      <c r="B408" s="24"/>
      <c r="C408" s="24"/>
      <c r="D408" s="24"/>
      <c r="E408" s="24"/>
      <c r="F408" s="24"/>
      <c r="G408" s="25"/>
      <c r="H408" s="16" t="str">
        <f>IF(C408="","",IFERROR(INDEX(Settings!$L$4:$L$56,MATCH(C408,Settings!$K$4:$K$56,0)),"Unknown"))</f>
        <v/>
      </c>
      <c r="I408" s="8" t="str">
        <f t="shared" si="18"/>
        <v/>
      </c>
      <c r="J408" s="8" t="str">
        <f t="shared" si="19"/>
        <v/>
      </c>
      <c r="K408" s="24"/>
      <c r="L408" s="7" t="str">
        <f t="shared" si="20"/>
        <v/>
      </c>
    </row>
    <row r="409" spans="1:12" x14ac:dyDescent="0.25">
      <c r="A409" s="23"/>
      <c r="B409" s="24"/>
      <c r="C409" s="24"/>
      <c r="D409" s="24"/>
      <c r="E409" s="24"/>
      <c r="F409" s="24"/>
      <c r="G409" s="25"/>
      <c r="H409" s="16" t="str">
        <f>IF(C409="","",IFERROR(INDEX(Settings!$L$4:$L$56,MATCH(C409,Settings!$K$4:$K$56,0)),"Unknown"))</f>
        <v/>
      </c>
      <c r="I409" s="8" t="str">
        <f t="shared" si="18"/>
        <v/>
      </c>
      <c r="J409" s="8" t="str">
        <f t="shared" si="19"/>
        <v/>
      </c>
      <c r="K409" s="24"/>
      <c r="L409" s="7" t="str">
        <f t="shared" si="20"/>
        <v/>
      </c>
    </row>
    <row r="410" spans="1:12" x14ac:dyDescent="0.25">
      <c r="A410" s="23"/>
      <c r="B410" s="24"/>
      <c r="C410" s="24"/>
      <c r="D410" s="24"/>
      <c r="E410" s="24"/>
      <c r="F410" s="24"/>
      <c r="G410" s="25"/>
      <c r="H410" s="16" t="str">
        <f>IF(C410="","",IFERROR(INDEX(Settings!$L$4:$L$56,MATCH(C410,Settings!$K$4:$K$56,0)),"Unknown"))</f>
        <v/>
      </c>
      <c r="I410" s="8" t="str">
        <f t="shared" si="18"/>
        <v/>
      </c>
      <c r="J410" s="8" t="str">
        <f t="shared" si="19"/>
        <v/>
      </c>
      <c r="K410" s="24"/>
      <c r="L410" s="7" t="str">
        <f t="shared" si="20"/>
        <v/>
      </c>
    </row>
    <row r="411" spans="1:12" x14ac:dyDescent="0.25">
      <c r="A411" s="23"/>
      <c r="B411" s="24"/>
      <c r="C411" s="24"/>
      <c r="D411" s="24"/>
      <c r="E411" s="24"/>
      <c r="F411" s="24"/>
      <c r="G411" s="25"/>
      <c r="H411" s="16" t="str">
        <f>IF(C411="","",IFERROR(INDEX(Settings!$L$4:$L$56,MATCH(C411,Settings!$K$4:$K$56,0)),"Unknown"))</f>
        <v/>
      </c>
      <c r="I411" s="8" t="str">
        <f t="shared" si="18"/>
        <v/>
      </c>
      <c r="J411" s="8" t="str">
        <f t="shared" si="19"/>
        <v/>
      </c>
      <c r="K411" s="24"/>
      <c r="L411" s="7" t="str">
        <f t="shared" si="20"/>
        <v/>
      </c>
    </row>
    <row r="412" spans="1:12" x14ac:dyDescent="0.25">
      <c r="A412" s="23"/>
      <c r="B412" s="24"/>
      <c r="C412" s="24"/>
      <c r="D412" s="24"/>
      <c r="E412" s="24"/>
      <c r="F412" s="24"/>
      <c r="G412" s="25"/>
      <c r="H412" s="16" t="str">
        <f>IF(C412="","",IFERROR(INDEX(Settings!$L$4:$L$56,MATCH(C412,Settings!$K$4:$K$56,0)),"Unknown"))</f>
        <v/>
      </c>
      <c r="I412" s="8" t="str">
        <f t="shared" si="18"/>
        <v/>
      </c>
      <c r="J412" s="8" t="str">
        <f t="shared" si="19"/>
        <v/>
      </c>
      <c r="K412" s="24"/>
      <c r="L412" s="7" t="str">
        <f t="shared" si="20"/>
        <v/>
      </c>
    </row>
    <row r="413" spans="1:12" x14ac:dyDescent="0.25">
      <c r="A413" s="23"/>
      <c r="B413" s="24"/>
      <c r="C413" s="24"/>
      <c r="D413" s="24"/>
      <c r="E413" s="24"/>
      <c r="F413" s="24"/>
      <c r="G413" s="25"/>
      <c r="H413" s="16" t="str">
        <f>IF(C413="","",IFERROR(INDEX(Settings!$L$4:$L$56,MATCH(C413,Settings!$K$4:$K$56,0)),"Unknown"))</f>
        <v/>
      </c>
      <c r="I413" s="8" t="str">
        <f t="shared" si="18"/>
        <v/>
      </c>
      <c r="J413" s="8" t="str">
        <f t="shared" si="19"/>
        <v/>
      </c>
      <c r="K413" s="24"/>
      <c r="L413" s="7" t="str">
        <f t="shared" si="20"/>
        <v/>
      </c>
    </row>
    <row r="414" spans="1:12" x14ac:dyDescent="0.25">
      <c r="A414" s="23"/>
      <c r="B414" s="24"/>
      <c r="C414" s="24"/>
      <c r="D414" s="24"/>
      <c r="E414" s="24"/>
      <c r="F414" s="24"/>
      <c r="G414" s="25"/>
      <c r="H414" s="16" t="str">
        <f>IF(C414="","",IFERROR(INDEX(Settings!$L$4:$L$56,MATCH(C414,Settings!$K$4:$K$56,0)),"Unknown"))</f>
        <v/>
      </c>
      <c r="I414" s="8" t="str">
        <f t="shared" si="18"/>
        <v/>
      </c>
      <c r="J414" s="8" t="str">
        <f t="shared" si="19"/>
        <v/>
      </c>
      <c r="K414" s="24"/>
      <c r="L414" s="7" t="str">
        <f t="shared" si="20"/>
        <v/>
      </c>
    </row>
    <row r="415" spans="1:12" x14ac:dyDescent="0.25">
      <c r="A415" s="23"/>
      <c r="B415" s="24"/>
      <c r="C415" s="24"/>
      <c r="D415" s="24"/>
      <c r="E415" s="24"/>
      <c r="F415" s="24"/>
      <c r="G415" s="25"/>
      <c r="H415" s="16" t="str">
        <f>IF(C415="","",IFERROR(INDEX(Settings!$L$4:$L$56,MATCH(C415,Settings!$K$4:$K$56,0)),"Unknown"))</f>
        <v/>
      </c>
      <c r="I415" s="8" t="str">
        <f t="shared" si="18"/>
        <v/>
      </c>
      <c r="J415" s="8" t="str">
        <f t="shared" si="19"/>
        <v/>
      </c>
      <c r="K415" s="24"/>
      <c r="L415" s="7" t="str">
        <f t="shared" si="20"/>
        <v/>
      </c>
    </row>
    <row r="416" spans="1:12" x14ac:dyDescent="0.25">
      <c r="A416" s="23"/>
      <c r="B416" s="24"/>
      <c r="C416" s="24"/>
      <c r="D416" s="24"/>
      <c r="E416" s="24"/>
      <c r="F416" s="24"/>
      <c r="G416" s="25"/>
      <c r="H416" s="16" t="str">
        <f>IF(C416="","",IFERROR(INDEX(Settings!$L$4:$L$56,MATCH(C416,Settings!$K$4:$K$56,0)),"Unknown"))</f>
        <v/>
      </c>
      <c r="I416" s="8" t="str">
        <f t="shared" si="18"/>
        <v/>
      </c>
      <c r="J416" s="8" t="str">
        <f t="shared" si="19"/>
        <v/>
      </c>
      <c r="K416" s="24"/>
      <c r="L416" s="7" t="str">
        <f t="shared" si="20"/>
        <v/>
      </c>
    </row>
    <row r="417" spans="1:12" x14ac:dyDescent="0.25">
      <c r="A417" s="23"/>
      <c r="B417" s="24"/>
      <c r="C417" s="24"/>
      <c r="D417" s="24"/>
      <c r="E417" s="24"/>
      <c r="F417" s="24"/>
      <c r="G417" s="25"/>
      <c r="H417" s="16" t="str">
        <f>IF(C417="","",IFERROR(INDEX(Settings!$L$4:$L$56,MATCH(C417,Settings!$K$4:$K$56,0)),"Unknown"))</f>
        <v/>
      </c>
      <c r="I417" s="8" t="str">
        <f t="shared" si="18"/>
        <v/>
      </c>
      <c r="J417" s="8" t="str">
        <f t="shared" si="19"/>
        <v/>
      </c>
      <c r="K417" s="24"/>
      <c r="L417" s="7" t="str">
        <f t="shared" si="20"/>
        <v/>
      </c>
    </row>
    <row r="418" spans="1:12" x14ac:dyDescent="0.25">
      <c r="A418" s="23"/>
      <c r="B418" s="24"/>
      <c r="C418" s="24"/>
      <c r="D418" s="24"/>
      <c r="E418" s="24"/>
      <c r="F418" s="24"/>
      <c r="G418" s="25"/>
      <c r="H418" s="16" t="str">
        <f>IF(C418="","",IFERROR(INDEX(Settings!$L$4:$L$56,MATCH(C418,Settings!$K$4:$K$56,0)),"Unknown"))</f>
        <v/>
      </c>
      <c r="I418" s="8" t="str">
        <f t="shared" si="18"/>
        <v/>
      </c>
      <c r="J418" s="8" t="str">
        <f t="shared" si="19"/>
        <v/>
      </c>
      <c r="K418" s="24"/>
      <c r="L418" s="7" t="str">
        <f t="shared" si="20"/>
        <v/>
      </c>
    </row>
    <row r="419" spans="1:12" x14ac:dyDescent="0.25">
      <c r="A419" s="23"/>
      <c r="B419" s="24"/>
      <c r="C419" s="24"/>
      <c r="D419" s="24"/>
      <c r="E419" s="24"/>
      <c r="F419" s="24"/>
      <c r="G419" s="25"/>
      <c r="H419" s="16" t="str">
        <f>IF(C419="","",IFERROR(INDEX(Settings!$L$4:$L$56,MATCH(C419,Settings!$K$4:$K$56,0)),"Unknown"))</f>
        <v/>
      </c>
      <c r="I419" s="8" t="str">
        <f t="shared" si="18"/>
        <v/>
      </c>
      <c r="J419" s="8" t="str">
        <f t="shared" si="19"/>
        <v/>
      </c>
      <c r="K419" s="24"/>
      <c r="L419" s="7" t="str">
        <f t="shared" si="20"/>
        <v/>
      </c>
    </row>
    <row r="420" spans="1:12" x14ac:dyDescent="0.25">
      <c r="A420" s="23"/>
      <c r="B420" s="24"/>
      <c r="C420" s="24"/>
      <c r="D420" s="24"/>
      <c r="E420" s="24"/>
      <c r="F420" s="24"/>
      <c r="G420" s="25"/>
      <c r="H420" s="16" t="str">
        <f>IF(C420="","",IFERROR(INDEX(Settings!$L$4:$L$56,MATCH(C420,Settings!$K$4:$K$56,0)),"Unknown"))</f>
        <v/>
      </c>
      <c r="I420" s="8" t="str">
        <f t="shared" si="18"/>
        <v/>
      </c>
      <c r="J420" s="8" t="str">
        <f t="shared" si="19"/>
        <v/>
      </c>
      <c r="K420" s="24"/>
      <c r="L420" s="7" t="str">
        <f t="shared" si="20"/>
        <v/>
      </c>
    </row>
    <row r="421" spans="1:12" x14ac:dyDescent="0.25">
      <c r="A421" s="23"/>
      <c r="B421" s="24"/>
      <c r="C421" s="24"/>
      <c r="D421" s="24"/>
      <c r="E421" s="24"/>
      <c r="F421" s="24"/>
      <c r="G421" s="25"/>
      <c r="H421" s="16" t="str">
        <f>IF(C421="","",IFERROR(INDEX(Settings!$L$4:$L$56,MATCH(C421,Settings!$K$4:$K$56,0)),"Unknown"))</f>
        <v/>
      </c>
      <c r="I421" s="8" t="str">
        <f t="shared" si="18"/>
        <v/>
      </c>
      <c r="J421" s="8" t="str">
        <f t="shared" si="19"/>
        <v/>
      </c>
      <c r="K421" s="24"/>
      <c r="L421" s="7" t="str">
        <f t="shared" si="20"/>
        <v/>
      </c>
    </row>
    <row r="422" spans="1:12" x14ac:dyDescent="0.25">
      <c r="A422" s="23"/>
      <c r="B422" s="24"/>
      <c r="C422" s="24"/>
      <c r="D422" s="24"/>
      <c r="E422" s="24"/>
      <c r="F422" s="24"/>
      <c r="G422" s="25"/>
      <c r="H422" s="16" t="str">
        <f>IF(C422="","",IFERROR(INDEX(Settings!$L$4:$L$56,MATCH(C422,Settings!$K$4:$K$56,0)),"Unknown"))</f>
        <v/>
      </c>
      <c r="I422" s="8" t="str">
        <f t="shared" si="18"/>
        <v/>
      </c>
      <c r="J422" s="8" t="str">
        <f t="shared" si="19"/>
        <v/>
      </c>
      <c r="K422" s="24"/>
      <c r="L422" s="7" t="str">
        <f t="shared" si="20"/>
        <v/>
      </c>
    </row>
    <row r="423" spans="1:12" x14ac:dyDescent="0.25">
      <c r="A423" s="23"/>
      <c r="B423" s="24"/>
      <c r="C423" s="24"/>
      <c r="D423" s="24"/>
      <c r="E423" s="24"/>
      <c r="F423" s="24"/>
      <c r="G423" s="25"/>
      <c r="H423" s="16" t="str">
        <f>IF(C423="","",IFERROR(INDEX(Settings!$L$4:$L$56,MATCH(C423,Settings!$K$4:$K$56,0)),"Unknown"))</f>
        <v/>
      </c>
      <c r="I423" s="8" t="str">
        <f t="shared" si="18"/>
        <v/>
      </c>
      <c r="J423" s="8" t="str">
        <f t="shared" si="19"/>
        <v/>
      </c>
      <c r="K423" s="24"/>
      <c r="L423" s="7" t="str">
        <f t="shared" si="20"/>
        <v/>
      </c>
    </row>
    <row r="424" spans="1:12" x14ac:dyDescent="0.25">
      <c r="A424" s="23"/>
      <c r="B424" s="24"/>
      <c r="C424" s="24"/>
      <c r="D424" s="24"/>
      <c r="E424" s="24"/>
      <c r="F424" s="24"/>
      <c r="G424" s="25"/>
      <c r="H424" s="16" t="str">
        <f>IF(C424="","",IFERROR(INDEX(Settings!$L$4:$L$56,MATCH(C424,Settings!$K$4:$K$56,0)),"Unknown"))</f>
        <v/>
      </c>
      <c r="I424" s="8" t="str">
        <f t="shared" si="18"/>
        <v/>
      </c>
      <c r="J424" s="8" t="str">
        <f t="shared" si="19"/>
        <v/>
      </c>
      <c r="K424" s="24"/>
      <c r="L424" s="7" t="str">
        <f t="shared" si="20"/>
        <v/>
      </c>
    </row>
    <row r="425" spans="1:12" x14ac:dyDescent="0.25">
      <c r="A425" s="23"/>
      <c r="B425" s="24"/>
      <c r="C425" s="24"/>
      <c r="D425" s="24"/>
      <c r="E425" s="24"/>
      <c r="F425" s="24"/>
      <c r="G425" s="25"/>
      <c r="H425" s="16" t="str">
        <f>IF(C425="","",IFERROR(INDEX(Settings!$L$4:$L$56,MATCH(C425,Settings!$K$4:$K$56,0)),"Unknown"))</f>
        <v/>
      </c>
      <c r="I425" s="8" t="str">
        <f t="shared" si="18"/>
        <v/>
      </c>
      <c r="J425" s="8" t="str">
        <f t="shared" si="19"/>
        <v/>
      </c>
      <c r="K425" s="24"/>
      <c r="L425" s="7" t="str">
        <f t="shared" si="20"/>
        <v/>
      </c>
    </row>
    <row r="426" spans="1:12" x14ac:dyDescent="0.25">
      <c r="A426" s="23"/>
      <c r="B426" s="24"/>
      <c r="C426" s="24"/>
      <c r="D426" s="24"/>
      <c r="E426" s="24"/>
      <c r="F426" s="24"/>
      <c r="G426" s="25"/>
      <c r="H426" s="16" t="str">
        <f>IF(C426="","",IFERROR(INDEX(Settings!$L$4:$L$56,MATCH(C426,Settings!$K$4:$K$56,0)),"Unknown"))</f>
        <v/>
      </c>
      <c r="I426" s="8" t="str">
        <f t="shared" si="18"/>
        <v/>
      </c>
      <c r="J426" s="8" t="str">
        <f t="shared" si="19"/>
        <v/>
      </c>
      <c r="K426" s="24"/>
      <c r="L426" s="7" t="str">
        <f t="shared" si="20"/>
        <v/>
      </c>
    </row>
    <row r="427" spans="1:12" x14ac:dyDescent="0.25">
      <c r="A427" s="23"/>
      <c r="B427" s="24"/>
      <c r="C427" s="24"/>
      <c r="D427" s="24"/>
      <c r="E427" s="24"/>
      <c r="F427" s="24"/>
      <c r="G427" s="25"/>
      <c r="H427" s="16" t="str">
        <f>IF(C427="","",IFERROR(INDEX(Settings!$L$4:$L$56,MATCH(C427,Settings!$K$4:$K$56,0)),"Unknown"))</f>
        <v/>
      </c>
      <c r="I427" s="8" t="str">
        <f t="shared" si="18"/>
        <v/>
      </c>
      <c r="J427" s="8" t="str">
        <f t="shared" si="19"/>
        <v/>
      </c>
      <c r="K427" s="24"/>
      <c r="L427" s="7" t="str">
        <f t="shared" si="20"/>
        <v/>
      </c>
    </row>
    <row r="428" spans="1:12" x14ac:dyDescent="0.25">
      <c r="A428" s="23"/>
      <c r="B428" s="24"/>
      <c r="C428" s="24"/>
      <c r="D428" s="24"/>
      <c r="E428" s="24"/>
      <c r="F428" s="24"/>
      <c r="G428" s="25"/>
      <c r="H428" s="16" t="str">
        <f>IF(C428="","",IFERROR(INDEX(Settings!$L$4:$L$56,MATCH(C428,Settings!$K$4:$K$56,0)),"Unknown"))</f>
        <v/>
      </c>
      <c r="I428" s="8" t="str">
        <f t="shared" si="18"/>
        <v/>
      </c>
      <c r="J428" s="8" t="str">
        <f t="shared" si="19"/>
        <v/>
      </c>
      <c r="K428" s="24"/>
      <c r="L428" s="7" t="str">
        <f t="shared" si="20"/>
        <v/>
      </c>
    </row>
    <row r="429" spans="1:12" x14ac:dyDescent="0.25">
      <c r="A429" s="23"/>
      <c r="B429" s="24"/>
      <c r="C429" s="24"/>
      <c r="D429" s="24"/>
      <c r="E429" s="24"/>
      <c r="F429" s="24"/>
      <c r="G429" s="25"/>
      <c r="H429" s="16" t="str">
        <f>IF(C429="","",IFERROR(INDEX(Settings!$L$4:$L$56,MATCH(C429,Settings!$K$4:$K$56,0)),"Unknown"))</f>
        <v/>
      </c>
      <c r="I429" s="8" t="str">
        <f t="shared" si="18"/>
        <v/>
      </c>
      <c r="J429" s="8" t="str">
        <f t="shared" si="19"/>
        <v/>
      </c>
      <c r="K429" s="24"/>
      <c r="L429" s="7" t="str">
        <f t="shared" si="20"/>
        <v/>
      </c>
    </row>
    <row r="430" spans="1:12" x14ac:dyDescent="0.25">
      <c r="A430" s="23"/>
      <c r="B430" s="24"/>
      <c r="C430" s="24"/>
      <c r="D430" s="24"/>
      <c r="E430" s="24"/>
      <c r="F430" s="24"/>
      <c r="G430" s="25"/>
      <c r="H430" s="16" t="str">
        <f>IF(C430="","",IFERROR(INDEX(Settings!$L$4:$L$56,MATCH(C430,Settings!$K$4:$K$56,0)),"Unknown"))</f>
        <v/>
      </c>
      <c r="I430" s="8" t="str">
        <f t="shared" si="18"/>
        <v/>
      </c>
      <c r="J430" s="8" t="str">
        <f t="shared" si="19"/>
        <v/>
      </c>
      <c r="K430" s="24"/>
      <c r="L430" s="7" t="str">
        <f t="shared" si="20"/>
        <v/>
      </c>
    </row>
    <row r="431" spans="1:12" x14ac:dyDescent="0.25">
      <c r="A431" s="23"/>
      <c r="B431" s="24"/>
      <c r="C431" s="24"/>
      <c r="D431" s="24"/>
      <c r="E431" s="24"/>
      <c r="F431" s="24"/>
      <c r="G431" s="25"/>
      <c r="H431" s="16" t="str">
        <f>IF(C431="","",IFERROR(INDEX(Settings!$L$4:$L$56,MATCH(C431,Settings!$K$4:$K$56,0)),"Unknown"))</f>
        <v/>
      </c>
      <c r="I431" s="8" t="str">
        <f t="shared" si="18"/>
        <v/>
      </c>
      <c r="J431" s="8" t="str">
        <f t="shared" si="19"/>
        <v/>
      </c>
      <c r="K431" s="24"/>
      <c r="L431" s="7" t="str">
        <f t="shared" si="20"/>
        <v/>
      </c>
    </row>
    <row r="432" spans="1:12" x14ac:dyDescent="0.25">
      <c r="A432" s="23"/>
      <c r="B432" s="24"/>
      <c r="C432" s="24"/>
      <c r="D432" s="24"/>
      <c r="E432" s="24"/>
      <c r="F432" s="24"/>
      <c r="G432" s="25"/>
      <c r="H432" s="16" t="str">
        <f>IF(C432="","",IFERROR(INDEX(Settings!$L$4:$L$56,MATCH(C432,Settings!$K$4:$K$56,0)),"Unknown"))</f>
        <v/>
      </c>
      <c r="I432" s="8" t="str">
        <f t="shared" si="18"/>
        <v/>
      </c>
      <c r="J432" s="8" t="str">
        <f t="shared" si="19"/>
        <v/>
      </c>
      <c r="K432" s="24"/>
      <c r="L432" s="7" t="str">
        <f t="shared" si="20"/>
        <v/>
      </c>
    </row>
    <row r="433" spans="1:12" x14ac:dyDescent="0.25">
      <c r="A433" s="23"/>
      <c r="B433" s="24"/>
      <c r="C433" s="24"/>
      <c r="D433" s="24"/>
      <c r="E433" s="24"/>
      <c r="F433" s="24"/>
      <c r="G433" s="25"/>
      <c r="H433" s="16" t="str">
        <f>IF(C433="","",IFERROR(INDEX(Settings!$L$4:$L$56,MATCH(C433,Settings!$K$4:$K$56,0)),"Unknown"))</f>
        <v/>
      </c>
      <c r="I433" s="8" t="str">
        <f t="shared" si="18"/>
        <v/>
      </c>
      <c r="J433" s="8" t="str">
        <f t="shared" si="19"/>
        <v/>
      </c>
      <c r="K433" s="24"/>
      <c r="L433" s="7" t="str">
        <f t="shared" si="20"/>
        <v/>
      </c>
    </row>
    <row r="434" spans="1:12" x14ac:dyDescent="0.25">
      <c r="A434" s="23"/>
      <c r="B434" s="24"/>
      <c r="C434" s="24"/>
      <c r="D434" s="24"/>
      <c r="E434" s="24"/>
      <c r="F434" s="24"/>
      <c r="G434" s="25"/>
      <c r="H434" s="16" t="str">
        <f>IF(C434="","",IFERROR(INDEX(Settings!$L$4:$L$56,MATCH(C434,Settings!$K$4:$K$56,0)),"Unknown"))</f>
        <v/>
      </c>
      <c r="I434" s="8" t="str">
        <f t="shared" si="18"/>
        <v/>
      </c>
      <c r="J434" s="8" t="str">
        <f t="shared" si="19"/>
        <v/>
      </c>
      <c r="K434" s="24"/>
      <c r="L434" s="7" t="str">
        <f t="shared" si="20"/>
        <v/>
      </c>
    </row>
    <row r="435" spans="1:12" x14ac:dyDescent="0.25">
      <c r="A435" s="23"/>
      <c r="B435" s="24"/>
      <c r="C435" s="24"/>
      <c r="D435" s="24"/>
      <c r="E435" s="24"/>
      <c r="F435" s="24"/>
      <c r="G435" s="25"/>
      <c r="H435" s="16" t="str">
        <f>IF(C435="","",IFERROR(INDEX(Settings!$L$4:$L$56,MATCH(C435,Settings!$K$4:$K$56,0)),"Unknown"))</f>
        <v/>
      </c>
      <c r="I435" s="8" t="str">
        <f t="shared" si="18"/>
        <v/>
      </c>
      <c r="J435" s="8" t="str">
        <f t="shared" si="19"/>
        <v/>
      </c>
      <c r="K435" s="24"/>
      <c r="L435" s="7" t="str">
        <f t="shared" si="20"/>
        <v/>
      </c>
    </row>
    <row r="436" spans="1:12" x14ac:dyDescent="0.25">
      <c r="A436" s="23"/>
      <c r="B436" s="24"/>
      <c r="C436" s="24"/>
      <c r="D436" s="24"/>
      <c r="E436" s="24"/>
      <c r="F436" s="24"/>
      <c r="G436" s="25"/>
      <c r="H436" s="16" t="str">
        <f>IF(C436="","",IFERROR(INDEX(Settings!$L$4:$L$56,MATCH(C436,Settings!$K$4:$K$56,0)),"Unknown"))</f>
        <v/>
      </c>
      <c r="I436" s="8" t="str">
        <f t="shared" si="18"/>
        <v/>
      </c>
      <c r="J436" s="8" t="str">
        <f t="shared" si="19"/>
        <v/>
      </c>
      <c r="K436" s="24"/>
      <c r="L436" s="7" t="str">
        <f t="shared" si="20"/>
        <v/>
      </c>
    </row>
    <row r="437" spans="1:12" x14ac:dyDescent="0.25">
      <c r="A437" s="23"/>
      <c r="B437" s="24"/>
      <c r="C437" s="24"/>
      <c r="D437" s="24"/>
      <c r="E437" s="24"/>
      <c r="F437" s="24"/>
      <c r="G437" s="25"/>
      <c r="H437" s="16" t="str">
        <f>IF(C437="","",IFERROR(INDEX(Settings!$L$4:$L$56,MATCH(C437,Settings!$K$4:$K$56,0)),"Unknown"))</f>
        <v/>
      </c>
      <c r="I437" s="8" t="str">
        <f t="shared" si="18"/>
        <v/>
      </c>
      <c r="J437" s="8" t="str">
        <f t="shared" si="19"/>
        <v/>
      </c>
      <c r="K437" s="24"/>
      <c r="L437" s="7" t="str">
        <f t="shared" si="20"/>
        <v/>
      </c>
    </row>
    <row r="438" spans="1:12" x14ac:dyDescent="0.25">
      <c r="A438" s="23"/>
      <c r="B438" s="24"/>
      <c r="C438" s="24"/>
      <c r="D438" s="24"/>
      <c r="E438" s="24"/>
      <c r="F438" s="24"/>
      <c r="G438" s="25"/>
      <c r="H438" s="16" t="str">
        <f>IF(C438="","",IFERROR(INDEX(Settings!$L$4:$L$56,MATCH(C438,Settings!$K$4:$K$56,0)),"Unknown"))</f>
        <v/>
      </c>
      <c r="I438" s="8" t="str">
        <f t="shared" si="18"/>
        <v/>
      </c>
      <c r="J438" s="8" t="str">
        <f t="shared" si="19"/>
        <v/>
      </c>
      <c r="K438" s="24"/>
      <c r="L438" s="7" t="str">
        <f t="shared" si="20"/>
        <v/>
      </c>
    </row>
    <row r="439" spans="1:12" x14ac:dyDescent="0.25">
      <c r="A439" s="23"/>
      <c r="B439" s="24"/>
      <c r="C439" s="24"/>
      <c r="D439" s="24"/>
      <c r="E439" s="24"/>
      <c r="F439" s="24"/>
      <c r="G439" s="25"/>
      <c r="H439" s="16" t="str">
        <f>IF(C439="","",IFERROR(INDEX(Settings!$L$4:$L$56,MATCH(C439,Settings!$K$4:$K$56,0)),"Unknown"))</f>
        <v/>
      </c>
      <c r="I439" s="8" t="str">
        <f t="shared" si="18"/>
        <v/>
      </c>
      <c r="J439" s="8" t="str">
        <f t="shared" si="19"/>
        <v/>
      </c>
      <c r="K439" s="24"/>
      <c r="L439" s="7" t="str">
        <f t="shared" si="20"/>
        <v/>
      </c>
    </row>
    <row r="440" spans="1:12" x14ac:dyDescent="0.25">
      <c r="A440" s="23"/>
      <c r="B440" s="24"/>
      <c r="C440" s="24"/>
      <c r="D440" s="24"/>
      <c r="E440" s="24"/>
      <c r="F440" s="24"/>
      <c r="G440" s="25"/>
      <c r="H440" s="16" t="str">
        <f>IF(C440="","",IFERROR(INDEX(Settings!$L$4:$L$56,MATCH(C440,Settings!$K$4:$K$56,0)),"Unknown"))</f>
        <v/>
      </c>
      <c r="I440" s="8" t="str">
        <f t="shared" si="18"/>
        <v/>
      </c>
      <c r="J440" s="8" t="str">
        <f t="shared" si="19"/>
        <v/>
      </c>
      <c r="K440" s="24"/>
      <c r="L440" s="7" t="str">
        <f t="shared" si="20"/>
        <v/>
      </c>
    </row>
    <row r="441" spans="1:12" x14ac:dyDescent="0.25">
      <c r="A441" s="23"/>
      <c r="B441" s="24"/>
      <c r="C441" s="24"/>
      <c r="D441" s="24"/>
      <c r="E441" s="24"/>
      <c r="F441" s="24"/>
      <c r="G441" s="25"/>
      <c r="H441" s="16" t="str">
        <f>IF(C441="","",IFERROR(INDEX(Settings!$L$4:$L$56,MATCH(C441,Settings!$K$4:$K$56,0)),"Unknown"))</f>
        <v/>
      </c>
      <c r="I441" s="8" t="str">
        <f t="shared" si="18"/>
        <v/>
      </c>
      <c r="J441" s="8" t="str">
        <f t="shared" si="19"/>
        <v/>
      </c>
      <c r="K441" s="24"/>
      <c r="L441" s="7" t="str">
        <f t="shared" si="20"/>
        <v/>
      </c>
    </row>
    <row r="442" spans="1:12" x14ac:dyDescent="0.25">
      <c r="A442" s="23"/>
      <c r="B442" s="24"/>
      <c r="C442" s="24"/>
      <c r="D442" s="24"/>
      <c r="E442" s="24"/>
      <c r="F442" s="24"/>
      <c r="G442" s="25"/>
      <c r="H442" s="16" t="str">
        <f>IF(C442="","",IFERROR(INDEX(Settings!$L$4:$L$56,MATCH(C442,Settings!$K$4:$K$56,0)),"Unknown"))</f>
        <v/>
      </c>
      <c r="I442" s="8" t="str">
        <f t="shared" si="18"/>
        <v/>
      </c>
      <c r="J442" s="8" t="str">
        <f t="shared" si="19"/>
        <v/>
      </c>
      <c r="K442" s="24"/>
      <c r="L442" s="7" t="str">
        <f t="shared" si="20"/>
        <v/>
      </c>
    </row>
    <row r="443" spans="1:12" x14ac:dyDescent="0.25">
      <c r="A443" s="23"/>
      <c r="B443" s="24"/>
      <c r="C443" s="24"/>
      <c r="D443" s="24"/>
      <c r="E443" s="24"/>
      <c r="F443" s="24"/>
      <c r="G443" s="25"/>
      <c r="H443" s="16" t="str">
        <f>IF(C443="","",IFERROR(INDEX(Settings!$L$4:$L$56,MATCH(C443,Settings!$K$4:$K$56,0)),"Unknown"))</f>
        <v/>
      </c>
      <c r="I443" s="8" t="str">
        <f t="shared" si="18"/>
        <v/>
      </c>
      <c r="J443" s="8" t="str">
        <f t="shared" si="19"/>
        <v/>
      </c>
      <c r="K443" s="24"/>
      <c r="L443" s="7" t="str">
        <f t="shared" si="20"/>
        <v/>
      </c>
    </row>
    <row r="444" spans="1:12" x14ac:dyDescent="0.25">
      <c r="A444" s="23"/>
      <c r="B444" s="24"/>
      <c r="C444" s="24"/>
      <c r="D444" s="24"/>
      <c r="E444" s="24"/>
      <c r="F444" s="24"/>
      <c r="G444" s="25"/>
      <c r="H444" s="16" t="str">
        <f>IF(C444="","",IFERROR(INDEX(Settings!$L$4:$L$56,MATCH(C444,Settings!$K$4:$K$56,0)),"Unknown"))</f>
        <v/>
      </c>
      <c r="I444" s="8" t="str">
        <f t="shared" si="18"/>
        <v/>
      </c>
      <c r="J444" s="8" t="str">
        <f t="shared" si="19"/>
        <v/>
      </c>
      <c r="K444" s="24"/>
      <c r="L444" s="7" t="str">
        <f t="shared" si="20"/>
        <v/>
      </c>
    </row>
    <row r="445" spans="1:12" x14ac:dyDescent="0.25">
      <c r="A445" s="23"/>
      <c r="B445" s="24"/>
      <c r="C445" s="24"/>
      <c r="D445" s="24"/>
      <c r="E445" s="24"/>
      <c r="F445" s="24"/>
      <c r="G445" s="25"/>
      <c r="H445" s="16" t="str">
        <f>IF(C445="","",IFERROR(INDEX(Settings!$L$4:$L$56,MATCH(C445,Settings!$K$4:$K$56,0)),"Unknown"))</f>
        <v/>
      </c>
      <c r="I445" s="8" t="str">
        <f t="shared" si="18"/>
        <v/>
      </c>
      <c r="J445" s="8" t="str">
        <f t="shared" si="19"/>
        <v/>
      </c>
      <c r="K445" s="24"/>
      <c r="L445" s="7" t="str">
        <f t="shared" si="20"/>
        <v/>
      </c>
    </row>
    <row r="446" spans="1:12" x14ac:dyDescent="0.25">
      <c r="A446" s="23"/>
      <c r="B446" s="24"/>
      <c r="C446" s="24"/>
      <c r="D446" s="24"/>
      <c r="E446" s="24"/>
      <c r="F446" s="24"/>
      <c r="G446" s="25"/>
      <c r="H446" s="16" t="str">
        <f>IF(C446="","",IFERROR(INDEX(Settings!$L$4:$L$56,MATCH(C446,Settings!$K$4:$K$56,0)),"Unknown"))</f>
        <v/>
      </c>
      <c r="I446" s="8" t="str">
        <f t="shared" si="18"/>
        <v/>
      </c>
      <c r="J446" s="8" t="str">
        <f t="shared" si="19"/>
        <v/>
      </c>
      <c r="K446" s="24"/>
      <c r="L446" s="7" t="str">
        <f t="shared" si="20"/>
        <v/>
      </c>
    </row>
    <row r="447" spans="1:12" x14ac:dyDescent="0.25">
      <c r="A447" s="23"/>
      <c r="B447" s="24"/>
      <c r="C447" s="24"/>
      <c r="D447" s="24"/>
      <c r="E447" s="24"/>
      <c r="F447" s="24"/>
      <c r="G447" s="25"/>
      <c r="H447" s="16" t="str">
        <f>IF(C447="","",IFERROR(INDEX(Settings!$L$4:$L$56,MATCH(C447,Settings!$K$4:$K$56,0)),"Unknown"))</f>
        <v/>
      </c>
      <c r="I447" s="8" t="str">
        <f t="shared" si="18"/>
        <v/>
      </c>
      <c r="J447" s="8" t="str">
        <f t="shared" si="19"/>
        <v/>
      </c>
      <c r="K447" s="24"/>
      <c r="L447" s="7" t="str">
        <f t="shared" si="20"/>
        <v/>
      </c>
    </row>
    <row r="448" spans="1:12" x14ac:dyDescent="0.25">
      <c r="A448" s="23"/>
      <c r="B448" s="24"/>
      <c r="C448" s="24"/>
      <c r="D448" s="24"/>
      <c r="E448" s="24"/>
      <c r="F448" s="24"/>
      <c r="G448" s="25"/>
      <c r="H448" s="16" t="str">
        <f>IF(C448="","",IFERROR(INDEX(Settings!$L$4:$L$56,MATCH(C448,Settings!$K$4:$K$56,0)),"Unknown"))</f>
        <v/>
      </c>
      <c r="I448" s="8" t="str">
        <f t="shared" si="18"/>
        <v/>
      </c>
      <c r="J448" s="8" t="str">
        <f t="shared" si="19"/>
        <v/>
      </c>
      <c r="K448" s="24"/>
      <c r="L448" s="7" t="str">
        <f t="shared" si="20"/>
        <v/>
      </c>
    </row>
    <row r="449" spans="1:12" x14ac:dyDescent="0.25">
      <c r="A449" s="23"/>
      <c r="B449" s="24"/>
      <c r="C449" s="24"/>
      <c r="D449" s="24"/>
      <c r="E449" s="24"/>
      <c r="F449" s="24"/>
      <c r="G449" s="25"/>
      <c r="H449" s="16" t="str">
        <f>IF(C449="","",IFERROR(INDEX(Settings!$L$4:$L$56,MATCH(C449,Settings!$K$4:$K$56,0)),"Unknown"))</f>
        <v/>
      </c>
      <c r="I449" s="8" t="str">
        <f t="shared" si="18"/>
        <v/>
      </c>
      <c r="J449" s="8" t="str">
        <f t="shared" si="19"/>
        <v/>
      </c>
      <c r="K449" s="24"/>
      <c r="L449" s="7" t="str">
        <f t="shared" si="20"/>
        <v/>
      </c>
    </row>
    <row r="450" spans="1:12" x14ac:dyDescent="0.25">
      <c r="A450" s="23"/>
      <c r="B450" s="24"/>
      <c r="C450" s="24"/>
      <c r="D450" s="24"/>
      <c r="E450" s="24"/>
      <c r="F450" s="24"/>
      <c r="G450" s="25"/>
      <c r="H450" s="16" t="str">
        <f>IF(C450="","",IFERROR(INDEX(Settings!$L$4:$L$56,MATCH(C450,Settings!$K$4:$K$56,0)),"Unknown"))</f>
        <v/>
      </c>
      <c r="I450" s="8" t="str">
        <f t="shared" si="18"/>
        <v/>
      </c>
      <c r="J450" s="8" t="str">
        <f t="shared" si="19"/>
        <v/>
      </c>
      <c r="K450" s="24"/>
      <c r="L450" s="7" t="str">
        <f t="shared" si="20"/>
        <v/>
      </c>
    </row>
    <row r="451" spans="1:12" x14ac:dyDescent="0.25">
      <c r="A451" s="23"/>
      <c r="B451" s="24"/>
      <c r="C451" s="24"/>
      <c r="D451" s="24"/>
      <c r="E451" s="24"/>
      <c r="F451" s="24"/>
      <c r="G451" s="25"/>
      <c r="H451" s="16" t="str">
        <f>IF(C451="","",IFERROR(INDEX(Settings!$L$4:$L$56,MATCH(C451,Settings!$K$4:$K$56,0)),"Unknown"))</f>
        <v/>
      </c>
      <c r="I451" s="8" t="str">
        <f t="shared" si="18"/>
        <v/>
      </c>
      <c r="J451" s="8" t="str">
        <f t="shared" si="19"/>
        <v/>
      </c>
      <c r="K451" s="24"/>
      <c r="L451" s="7" t="str">
        <f t="shared" si="20"/>
        <v/>
      </c>
    </row>
    <row r="452" spans="1:12" x14ac:dyDescent="0.25">
      <c r="A452" s="23"/>
      <c r="B452" s="24"/>
      <c r="C452" s="24"/>
      <c r="D452" s="24"/>
      <c r="E452" s="24"/>
      <c r="F452" s="24"/>
      <c r="G452" s="25"/>
      <c r="H452" s="16" t="str">
        <f>IF(C452="","",IFERROR(INDEX(Settings!$L$4:$L$56,MATCH(C452,Settings!$K$4:$K$56,0)),"Unknown"))</f>
        <v/>
      </c>
      <c r="I452" s="8" t="str">
        <f t="shared" si="18"/>
        <v/>
      </c>
      <c r="J452" s="8" t="str">
        <f t="shared" si="19"/>
        <v/>
      </c>
      <c r="K452" s="24"/>
      <c r="L452" s="7" t="str">
        <f t="shared" si="20"/>
        <v/>
      </c>
    </row>
    <row r="453" spans="1:12" x14ac:dyDescent="0.25">
      <c r="A453" s="23"/>
      <c r="B453" s="24"/>
      <c r="C453" s="24"/>
      <c r="D453" s="24"/>
      <c r="E453" s="24"/>
      <c r="F453" s="24"/>
      <c r="G453" s="25"/>
      <c r="H453" s="16" t="str">
        <f>IF(C453="","",IFERROR(INDEX(Settings!$L$4:$L$56,MATCH(C453,Settings!$K$4:$K$56,0)),"Unknown"))</f>
        <v/>
      </c>
      <c r="I453" s="8" t="str">
        <f t="shared" si="18"/>
        <v/>
      </c>
      <c r="J453" s="8" t="str">
        <f t="shared" si="19"/>
        <v/>
      </c>
      <c r="K453" s="24"/>
      <c r="L453" s="7" t="str">
        <f t="shared" si="20"/>
        <v/>
      </c>
    </row>
    <row r="454" spans="1:12" x14ac:dyDescent="0.25">
      <c r="A454" s="23"/>
      <c r="B454" s="24"/>
      <c r="C454" s="24"/>
      <c r="D454" s="24"/>
      <c r="E454" s="24"/>
      <c r="F454" s="24"/>
      <c r="G454" s="25"/>
      <c r="H454" s="16" t="str">
        <f>IF(C454="","",IFERROR(INDEX(Settings!$L$4:$L$56,MATCH(C454,Settings!$K$4:$K$56,0)),"Unknown"))</f>
        <v/>
      </c>
      <c r="I454" s="8" t="str">
        <f t="shared" ref="I454:I517" si="21">IF(A454="","",MONTH(A454))</f>
        <v/>
      </c>
      <c r="J454" s="8" t="str">
        <f t="shared" ref="J454:J517" si="22">IF(A454="","",YEAR(A454))</f>
        <v/>
      </c>
      <c r="K454" s="24"/>
      <c r="L454" s="7" t="str">
        <f t="shared" ref="L454:L517" si="23">IF(OR(B454="",C454=""),"",IF(AND(B454="Income",H454&lt;&gt;"Income"),"Category is not an Income category",IF(AND(B454="Expense",H454="Income"),"Category is an Income category","OK")))</f>
        <v/>
      </c>
    </row>
    <row r="455" spans="1:12" x14ac:dyDescent="0.25">
      <c r="A455" s="23"/>
      <c r="B455" s="24"/>
      <c r="C455" s="24"/>
      <c r="D455" s="24"/>
      <c r="E455" s="24"/>
      <c r="F455" s="24"/>
      <c r="G455" s="25"/>
      <c r="H455" s="16" t="str">
        <f>IF(C455="","",IFERROR(INDEX(Settings!$L$4:$L$56,MATCH(C455,Settings!$K$4:$K$56,0)),"Unknown"))</f>
        <v/>
      </c>
      <c r="I455" s="8" t="str">
        <f t="shared" si="21"/>
        <v/>
      </c>
      <c r="J455" s="8" t="str">
        <f t="shared" si="22"/>
        <v/>
      </c>
      <c r="K455" s="24"/>
      <c r="L455" s="7" t="str">
        <f t="shared" si="23"/>
        <v/>
      </c>
    </row>
    <row r="456" spans="1:12" x14ac:dyDescent="0.25">
      <c r="A456" s="23"/>
      <c r="B456" s="24"/>
      <c r="C456" s="24"/>
      <c r="D456" s="24"/>
      <c r="E456" s="24"/>
      <c r="F456" s="24"/>
      <c r="G456" s="25"/>
      <c r="H456" s="16" t="str">
        <f>IF(C456="","",IFERROR(INDEX(Settings!$L$4:$L$56,MATCH(C456,Settings!$K$4:$K$56,0)),"Unknown"))</f>
        <v/>
      </c>
      <c r="I456" s="8" t="str">
        <f t="shared" si="21"/>
        <v/>
      </c>
      <c r="J456" s="8" t="str">
        <f t="shared" si="22"/>
        <v/>
      </c>
      <c r="K456" s="24"/>
      <c r="L456" s="7" t="str">
        <f t="shared" si="23"/>
        <v/>
      </c>
    </row>
    <row r="457" spans="1:12" x14ac:dyDescent="0.25">
      <c r="A457" s="23"/>
      <c r="B457" s="24"/>
      <c r="C457" s="24"/>
      <c r="D457" s="24"/>
      <c r="E457" s="24"/>
      <c r="F457" s="24"/>
      <c r="G457" s="25"/>
      <c r="H457" s="16" t="str">
        <f>IF(C457="","",IFERROR(INDEX(Settings!$L$4:$L$56,MATCH(C457,Settings!$K$4:$K$56,0)),"Unknown"))</f>
        <v/>
      </c>
      <c r="I457" s="8" t="str">
        <f t="shared" si="21"/>
        <v/>
      </c>
      <c r="J457" s="8" t="str">
        <f t="shared" si="22"/>
        <v/>
      </c>
      <c r="K457" s="24"/>
      <c r="L457" s="7" t="str">
        <f t="shared" si="23"/>
        <v/>
      </c>
    </row>
    <row r="458" spans="1:12" x14ac:dyDescent="0.25">
      <c r="A458" s="23"/>
      <c r="B458" s="24"/>
      <c r="C458" s="24"/>
      <c r="D458" s="24"/>
      <c r="E458" s="24"/>
      <c r="F458" s="24"/>
      <c r="G458" s="25"/>
      <c r="H458" s="16" t="str">
        <f>IF(C458="","",IFERROR(INDEX(Settings!$L$4:$L$56,MATCH(C458,Settings!$K$4:$K$56,0)),"Unknown"))</f>
        <v/>
      </c>
      <c r="I458" s="8" t="str">
        <f t="shared" si="21"/>
        <v/>
      </c>
      <c r="J458" s="8" t="str">
        <f t="shared" si="22"/>
        <v/>
      </c>
      <c r="K458" s="24"/>
      <c r="L458" s="7" t="str">
        <f t="shared" si="23"/>
        <v/>
      </c>
    </row>
    <row r="459" spans="1:12" x14ac:dyDescent="0.25">
      <c r="A459" s="23"/>
      <c r="B459" s="24"/>
      <c r="C459" s="24"/>
      <c r="D459" s="24"/>
      <c r="E459" s="24"/>
      <c r="F459" s="24"/>
      <c r="G459" s="25"/>
      <c r="H459" s="16" t="str">
        <f>IF(C459="","",IFERROR(INDEX(Settings!$L$4:$L$56,MATCH(C459,Settings!$K$4:$K$56,0)),"Unknown"))</f>
        <v/>
      </c>
      <c r="I459" s="8" t="str">
        <f t="shared" si="21"/>
        <v/>
      </c>
      <c r="J459" s="8" t="str">
        <f t="shared" si="22"/>
        <v/>
      </c>
      <c r="K459" s="24"/>
      <c r="L459" s="7" t="str">
        <f t="shared" si="23"/>
        <v/>
      </c>
    </row>
    <row r="460" spans="1:12" x14ac:dyDescent="0.25">
      <c r="A460" s="23"/>
      <c r="B460" s="24"/>
      <c r="C460" s="24"/>
      <c r="D460" s="24"/>
      <c r="E460" s="24"/>
      <c r="F460" s="24"/>
      <c r="G460" s="25"/>
      <c r="H460" s="16" t="str">
        <f>IF(C460="","",IFERROR(INDEX(Settings!$L$4:$L$56,MATCH(C460,Settings!$K$4:$K$56,0)),"Unknown"))</f>
        <v/>
      </c>
      <c r="I460" s="8" t="str">
        <f t="shared" si="21"/>
        <v/>
      </c>
      <c r="J460" s="8" t="str">
        <f t="shared" si="22"/>
        <v/>
      </c>
      <c r="K460" s="24"/>
      <c r="L460" s="7" t="str">
        <f t="shared" si="23"/>
        <v/>
      </c>
    </row>
    <row r="461" spans="1:12" x14ac:dyDescent="0.25">
      <c r="A461" s="23"/>
      <c r="B461" s="24"/>
      <c r="C461" s="24"/>
      <c r="D461" s="24"/>
      <c r="E461" s="24"/>
      <c r="F461" s="24"/>
      <c r="G461" s="25"/>
      <c r="H461" s="16" t="str">
        <f>IF(C461="","",IFERROR(INDEX(Settings!$L$4:$L$56,MATCH(C461,Settings!$K$4:$K$56,0)),"Unknown"))</f>
        <v/>
      </c>
      <c r="I461" s="8" t="str">
        <f t="shared" si="21"/>
        <v/>
      </c>
      <c r="J461" s="8" t="str">
        <f t="shared" si="22"/>
        <v/>
      </c>
      <c r="K461" s="24"/>
      <c r="L461" s="7" t="str">
        <f t="shared" si="23"/>
        <v/>
      </c>
    </row>
    <row r="462" spans="1:12" x14ac:dyDescent="0.25">
      <c r="A462" s="23"/>
      <c r="B462" s="24"/>
      <c r="C462" s="24"/>
      <c r="D462" s="24"/>
      <c r="E462" s="24"/>
      <c r="F462" s="24"/>
      <c r="G462" s="25"/>
      <c r="H462" s="16" t="str">
        <f>IF(C462="","",IFERROR(INDEX(Settings!$L$4:$L$56,MATCH(C462,Settings!$K$4:$K$56,0)),"Unknown"))</f>
        <v/>
      </c>
      <c r="I462" s="8" t="str">
        <f t="shared" si="21"/>
        <v/>
      </c>
      <c r="J462" s="8" t="str">
        <f t="shared" si="22"/>
        <v/>
      </c>
      <c r="K462" s="24"/>
      <c r="L462" s="7" t="str">
        <f t="shared" si="23"/>
        <v/>
      </c>
    </row>
    <row r="463" spans="1:12" x14ac:dyDescent="0.25">
      <c r="A463" s="23"/>
      <c r="B463" s="24"/>
      <c r="C463" s="24"/>
      <c r="D463" s="24"/>
      <c r="E463" s="24"/>
      <c r="F463" s="24"/>
      <c r="G463" s="25"/>
      <c r="H463" s="16" t="str">
        <f>IF(C463="","",IFERROR(INDEX(Settings!$L$4:$L$56,MATCH(C463,Settings!$K$4:$K$56,0)),"Unknown"))</f>
        <v/>
      </c>
      <c r="I463" s="8" t="str">
        <f t="shared" si="21"/>
        <v/>
      </c>
      <c r="J463" s="8" t="str">
        <f t="shared" si="22"/>
        <v/>
      </c>
      <c r="K463" s="24"/>
      <c r="L463" s="7" t="str">
        <f t="shared" si="23"/>
        <v/>
      </c>
    </row>
    <row r="464" spans="1:12" x14ac:dyDescent="0.25">
      <c r="A464" s="23"/>
      <c r="B464" s="24"/>
      <c r="C464" s="24"/>
      <c r="D464" s="24"/>
      <c r="E464" s="24"/>
      <c r="F464" s="24"/>
      <c r="G464" s="25"/>
      <c r="H464" s="16" t="str">
        <f>IF(C464="","",IFERROR(INDEX(Settings!$L$4:$L$56,MATCH(C464,Settings!$K$4:$K$56,0)),"Unknown"))</f>
        <v/>
      </c>
      <c r="I464" s="8" t="str">
        <f t="shared" si="21"/>
        <v/>
      </c>
      <c r="J464" s="8" t="str">
        <f t="shared" si="22"/>
        <v/>
      </c>
      <c r="K464" s="24"/>
      <c r="L464" s="7" t="str">
        <f t="shared" si="23"/>
        <v/>
      </c>
    </row>
    <row r="465" spans="1:12" x14ac:dyDescent="0.25">
      <c r="A465" s="23"/>
      <c r="B465" s="24"/>
      <c r="C465" s="24"/>
      <c r="D465" s="24"/>
      <c r="E465" s="24"/>
      <c r="F465" s="24"/>
      <c r="G465" s="25"/>
      <c r="H465" s="16" t="str">
        <f>IF(C465="","",IFERROR(INDEX(Settings!$L$4:$L$56,MATCH(C465,Settings!$K$4:$K$56,0)),"Unknown"))</f>
        <v/>
      </c>
      <c r="I465" s="8" t="str">
        <f t="shared" si="21"/>
        <v/>
      </c>
      <c r="J465" s="8" t="str">
        <f t="shared" si="22"/>
        <v/>
      </c>
      <c r="K465" s="24"/>
      <c r="L465" s="7" t="str">
        <f t="shared" si="23"/>
        <v/>
      </c>
    </row>
    <row r="466" spans="1:12" x14ac:dyDescent="0.25">
      <c r="A466" s="23"/>
      <c r="B466" s="24"/>
      <c r="C466" s="24"/>
      <c r="D466" s="24"/>
      <c r="E466" s="24"/>
      <c r="F466" s="24"/>
      <c r="G466" s="25"/>
      <c r="H466" s="16" t="str">
        <f>IF(C466="","",IFERROR(INDEX(Settings!$L$4:$L$56,MATCH(C466,Settings!$K$4:$K$56,0)),"Unknown"))</f>
        <v/>
      </c>
      <c r="I466" s="8" t="str">
        <f t="shared" si="21"/>
        <v/>
      </c>
      <c r="J466" s="8" t="str">
        <f t="shared" si="22"/>
        <v/>
      </c>
      <c r="K466" s="24"/>
      <c r="L466" s="7" t="str">
        <f t="shared" si="23"/>
        <v/>
      </c>
    </row>
    <row r="467" spans="1:12" x14ac:dyDescent="0.25">
      <c r="A467" s="23"/>
      <c r="B467" s="24"/>
      <c r="C467" s="24"/>
      <c r="D467" s="24"/>
      <c r="E467" s="24"/>
      <c r="F467" s="24"/>
      <c r="G467" s="25"/>
      <c r="H467" s="16" t="str">
        <f>IF(C467="","",IFERROR(INDEX(Settings!$L$4:$L$56,MATCH(C467,Settings!$K$4:$K$56,0)),"Unknown"))</f>
        <v/>
      </c>
      <c r="I467" s="8" t="str">
        <f t="shared" si="21"/>
        <v/>
      </c>
      <c r="J467" s="8" t="str">
        <f t="shared" si="22"/>
        <v/>
      </c>
      <c r="K467" s="24"/>
      <c r="L467" s="7" t="str">
        <f t="shared" si="23"/>
        <v/>
      </c>
    </row>
    <row r="468" spans="1:12" x14ac:dyDescent="0.25">
      <c r="A468" s="23"/>
      <c r="B468" s="24"/>
      <c r="C468" s="24"/>
      <c r="D468" s="24"/>
      <c r="E468" s="24"/>
      <c r="F468" s="24"/>
      <c r="G468" s="25"/>
      <c r="H468" s="16" t="str">
        <f>IF(C468="","",IFERROR(INDEX(Settings!$L$4:$L$56,MATCH(C468,Settings!$K$4:$K$56,0)),"Unknown"))</f>
        <v/>
      </c>
      <c r="I468" s="8" t="str">
        <f t="shared" si="21"/>
        <v/>
      </c>
      <c r="J468" s="8" t="str">
        <f t="shared" si="22"/>
        <v/>
      </c>
      <c r="K468" s="24"/>
      <c r="L468" s="7" t="str">
        <f t="shared" si="23"/>
        <v/>
      </c>
    </row>
    <row r="469" spans="1:12" x14ac:dyDescent="0.25">
      <c r="A469" s="23"/>
      <c r="B469" s="24"/>
      <c r="C469" s="24"/>
      <c r="D469" s="24"/>
      <c r="E469" s="24"/>
      <c r="F469" s="24"/>
      <c r="G469" s="25"/>
      <c r="H469" s="16" t="str">
        <f>IF(C469="","",IFERROR(INDEX(Settings!$L$4:$L$56,MATCH(C469,Settings!$K$4:$K$56,0)),"Unknown"))</f>
        <v/>
      </c>
      <c r="I469" s="8" t="str">
        <f t="shared" si="21"/>
        <v/>
      </c>
      <c r="J469" s="8" t="str">
        <f t="shared" si="22"/>
        <v/>
      </c>
      <c r="K469" s="24"/>
      <c r="L469" s="7" t="str">
        <f t="shared" si="23"/>
        <v/>
      </c>
    </row>
    <row r="470" spans="1:12" x14ac:dyDescent="0.25">
      <c r="A470" s="23"/>
      <c r="B470" s="24"/>
      <c r="C470" s="24"/>
      <c r="D470" s="24"/>
      <c r="E470" s="24"/>
      <c r="F470" s="24"/>
      <c r="G470" s="25"/>
      <c r="H470" s="16" t="str">
        <f>IF(C470="","",IFERROR(INDEX(Settings!$L$4:$L$56,MATCH(C470,Settings!$K$4:$K$56,0)),"Unknown"))</f>
        <v/>
      </c>
      <c r="I470" s="8" t="str">
        <f t="shared" si="21"/>
        <v/>
      </c>
      <c r="J470" s="8" t="str">
        <f t="shared" si="22"/>
        <v/>
      </c>
      <c r="K470" s="24"/>
      <c r="L470" s="7" t="str">
        <f t="shared" si="23"/>
        <v/>
      </c>
    </row>
    <row r="471" spans="1:12" x14ac:dyDescent="0.25">
      <c r="A471" s="23"/>
      <c r="B471" s="24"/>
      <c r="C471" s="24"/>
      <c r="D471" s="24"/>
      <c r="E471" s="24"/>
      <c r="F471" s="24"/>
      <c r="G471" s="25"/>
      <c r="H471" s="16" t="str">
        <f>IF(C471="","",IFERROR(INDEX(Settings!$L$4:$L$56,MATCH(C471,Settings!$K$4:$K$56,0)),"Unknown"))</f>
        <v/>
      </c>
      <c r="I471" s="8" t="str">
        <f t="shared" si="21"/>
        <v/>
      </c>
      <c r="J471" s="8" t="str">
        <f t="shared" si="22"/>
        <v/>
      </c>
      <c r="K471" s="24"/>
      <c r="L471" s="7" t="str">
        <f t="shared" si="23"/>
        <v/>
      </c>
    </row>
    <row r="472" spans="1:12" x14ac:dyDescent="0.25">
      <c r="A472" s="23"/>
      <c r="B472" s="24"/>
      <c r="C472" s="24"/>
      <c r="D472" s="24"/>
      <c r="E472" s="24"/>
      <c r="F472" s="24"/>
      <c r="G472" s="25"/>
      <c r="H472" s="16" t="str">
        <f>IF(C472="","",IFERROR(INDEX(Settings!$L$4:$L$56,MATCH(C472,Settings!$K$4:$K$56,0)),"Unknown"))</f>
        <v/>
      </c>
      <c r="I472" s="8" t="str">
        <f t="shared" si="21"/>
        <v/>
      </c>
      <c r="J472" s="8" t="str">
        <f t="shared" si="22"/>
        <v/>
      </c>
      <c r="K472" s="24"/>
      <c r="L472" s="7" t="str">
        <f t="shared" si="23"/>
        <v/>
      </c>
    </row>
    <row r="473" spans="1:12" x14ac:dyDescent="0.25">
      <c r="A473" s="23"/>
      <c r="B473" s="24"/>
      <c r="C473" s="24"/>
      <c r="D473" s="24"/>
      <c r="E473" s="24"/>
      <c r="F473" s="24"/>
      <c r="G473" s="25"/>
      <c r="H473" s="16" t="str">
        <f>IF(C473="","",IFERROR(INDEX(Settings!$L$4:$L$56,MATCH(C473,Settings!$K$4:$K$56,0)),"Unknown"))</f>
        <v/>
      </c>
      <c r="I473" s="8" t="str">
        <f t="shared" si="21"/>
        <v/>
      </c>
      <c r="J473" s="8" t="str">
        <f t="shared" si="22"/>
        <v/>
      </c>
      <c r="K473" s="24"/>
      <c r="L473" s="7" t="str">
        <f t="shared" si="23"/>
        <v/>
      </c>
    </row>
    <row r="474" spans="1:12" x14ac:dyDescent="0.25">
      <c r="A474" s="23"/>
      <c r="B474" s="24"/>
      <c r="C474" s="24"/>
      <c r="D474" s="24"/>
      <c r="E474" s="24"/>
      <c r="F474" s="24"/>
      <c r="G474" s="25"/>
      <c r="H474" s="16" t="str">
        <f>IF(C474="","",IFERROR(INDEX(Settings!$L$4:$L$56,MATCH(C474,Settings!$K$4:$K$56,0)),"Unknown"))</f>
        <v/>
      </c>
      <c r="I474" s="8" t="str">
        <f t="shared" si="21"/>
        <v/>
      </c>
      <c r="J474" s="8" t="str">
        <f t="shared" si="22"/>
        <v/>
      </c>
      <c r="K474" s="24"/>
      <c r="L474" s="7" t="str">
        <f t="shared" si="23"/>
        <v/>
      </c>
    </row>
    <row r="475" spans="1:12" x14ac:dyDescent="0.25">
      <c r="A475" s="23"/>
      <c r="B475" s="24"/>
      <c r="C475" s="24"/>
      <c r="D475" s="24"/>
      <c r="E475" s="24"/>
      <c r="F475" s="24"/>
      <c r="G475" s="25"/>
      <c r="H475" s="16" t="str">
        <f>IF(C475="","",IFERROR(INDEX(Settings!$L$4:$L$56,MATCH(C475,Settings!$K$4:$K$56,0)),"Unknown"))</f>
        <v/>
      </c>
      <c r="I475" s="8" t="str">
        <f t="shared" si="21"/>
        <v/>
      </c>
      <c r="J475" s="8" t="str">
        <f t="shared" si="22"/>
        <v/>
      </c>
      <c r="K475" s="24"/>
      <c r="L475" s="7" t="str">
        <f t="shared" si="23"/>
        <v/>
      </c>
    </row>
    <row r="476" spans="1:12" x14ac:dyDescent="0.25">
      <c r="A476" s="23"/>
      <c r="B476" s="24"/>
      <c r="C476" s="24"/>
      <c r="D476" s="24"/>
      <c r="E476" s="24"/>
      <c r="F476" s="24"/>
      <c r="G476" s="25"/>
      <c r="H476" s="16" t="str">
        <f>IF(C476="","",IFERROR(INDEX(Settings!$L$4:$L$56,MATCH(C476,Settings!$K$4:$K$56,0)),"Unknown"))</f>
        <v/>
      </c>
      <c r="I476" s="8" t="str">
        <f t="shared" si="21"/>
        <v/>
      </c>
      <c r="J476" s="8" t="str">
        <f t="shared" si="22"/>
        <v/>
      </c>
      <c r="K476" s="24"/>
      <c r="L476" s="7" t="str">
        <f t="shared" si="23"/>
        <v/>
      </c>
    </row>
    <row r="477" spans="1:12" x14ac:dyDescent="0.25">
      <c r="A477" s="23"/>
      <c r="B477" s="24"/>
      <c r="C477" s="24"/>
      <c r="D477" s="24"/>
      <c r="E477" s="24"/>
      <c r="F477" s="24"/>
      <c r="G477" s="25"/>
      <c r="H477" s="16" t="str">
        <f>IF(C477="","",IFERROR(INDEX(Settings!$L$4:$L$56,MATCH(C477,Settings!$K$4:$K$56,0)),"Unknown"))</f>
        <v/>
      </c>
      <c r="I477" s="8" t="str">
        <f t="shared" si="21"/>
        <v/>
      </c>
      <c r="J477" s="8" t="str">
        <f t="shared" si="22"/>
        <v/>
      </c>
      <c r="K477" s="24"/>
      <c r="L477" s="7" t="str">
        <f t="shared" si="23"/>
        <v/>
      </c>
    </row>
    <row r="478" spans="1:12" x14ac:dyDescent="0.25">
      <c r="A478" s="23"/>
      <c r="B478" s="24"/>
      <c r="C478" s="24"/>
      <c r="D478" s="24"/>
      <c r="E478" s="24"/>
      <c r="F478" s="24"/>
      <c r="G478" s="25"/>
      <c r="H478" s="16" t="str">
        <f>IF(C478="","",IFERROR(INDEX(Settings!$L$4:$L$56,MATCH(C478,Settings!$K$4:$K$56,0)),"Unknown"))</f>
        <v/>
      </c>
      <c r="I478" s="8" t="str">
        <f t="shared" si="21"/>
        <v/>
      </c>
      <c r="J478" s="8" t="str">
        <f t="shared" si="22"/>
        <v/>
      </c>
      <c r="K478" s="24"/>
      <c r="L478" s="7" t="str">
        <f t="shared" si="23"/>
        <v/>
      </c>
    </row>
    <row r="479" spans="1:12" x14ac:dyDescent="0.25">
      <c r="A479" s="23"/>
      <c r="B479" s="24"/>
      <c r="C479" s="24"/>
      <c r="D479" s="24"/>
      <c r="E479" s="24"/>
      <c r="F479" s="24"/>
      <c r="G479" s="25"/>
      <c r="H479" s="16" t="str">
        <f>IF(C479="","",IFERROR(INDEX(Settings!$L$4:$L$56,MATCH(C479,Settings!$K$4:$K$56,0)),"Unknown"))</f>
        <v/>
      </c>
      <c r="I479" s="8" t="str">
        <f t="shared" si="21"/>
        <v/>
      </c>
      <c r="J479" s="8" t="str">
        <f t="shared" si="22"/>
        <v/>
      </c>
      <c r="K479" s="24"/>
      <c r="L479" s="7" t="str">
        <f t="shared" si="23"/>
        <v/>
      </c>
    </row>
    <row r="480" spans="1:12" x14ac:dyDescent="0.25">
      <c r="A480" s="23"/>
      <c r="B480" s="24"/>
      <c r="C480" s="24"/>
      <c r="D480" s="24"/>
      <c r="E480" s="24"/>
      <c r="F480" s="24"/>
      <c r="G480" s="25"/>
      <c r="H480" s="16" t="str">
        <f>IF(C480="","",IFERROR(INDEX(Settings!$L$4:$L$56,MATCH(C480,Settings!$K$4:$K$56,0)),"Unknown"))</f>
        <v/>
      </c>
      <c r="I480" s="8" t="str">
        <f t="shared" si="21"/>
        <v/>
      </c>
      <c r="J480" s="8" t="str">
        <f t="shared" si="22"/>
        <v/>
      </c>
      <c r="K480" s="24"/>
      <c r="L480" s="7" t="str">
        <f t="shared" si="23"/>
        <v/>
      </c>
    </row>
    <row r="481" spans="1:12" x14ac:dyDescent="0.25">
      <c r="A481" s="23"/>
      <c r="B481" s="24"/>
      <c r="C481" s="24"/>
      <c r="D481" s="24"/>
      <c r="E481" s="24"/>
      <c r="F481" s="24"/>
      <c r="G481" s="25"/>
      <c r="H481" s="16" t="str">
        <f>IF(C481="","",IFERROR(INDEX(Settings!$L$4:$L$56,MATCH(C481,Settings!$K$4:$K$56,0)),"Unknown"))</f>
        <v/>
      </c>
      <c r="I481" s="8" t="str">
        <f t="shared" si="21"/>
        <v/>
      </c>
      <c r="J481" s="8" t="str">
        <f t="shared" si="22"/>
        <v/>
      </c>
      <c r="K481" s="24"/>
      <c r="L481" s="7" t="str">
        <f t="shared" si="23"/>
        <v/>
      </c>
    </row>
    <row r="482" spans="1:12" x14ac:dyDescent="0.25">
      <c r="A482" s="23"/>
      <c r="B482" s="24"/>
      <c r="C482" s="24"/>
      <c r="D482" s="24"/>
      <c r="E482" s="24"/>
      <c r="F482" s="24"/>
      <c r="G482" s="25"/>
      <c r="H482" s="16" t="str">
        <f>IF(C482="","",IFERROR(INDEX(Settings!$L$4:$L$56,MATCH(C482,Settings!$K$4:$K$56,0)),"Unknown"))</f>
        <v/>
      </c>
      <c r="I482" s="8" t="str">
        <f t="shared" si="21"/>
        <v/>
      </c>
      <c r="J482" s="8" t="str">
        <f t="shared" si="22"/>
        <v/>
      </c>
      <c r="K482" s="24"/>
      <c r="L482" s="7" t="str">
        <f t="shared" si="23"/>
        <v/>
      </c>
    </row>
    <row r="483" spans="1:12" x14ac:dyDescent="0.25">
      <c r="A483" s="23"/>
      <c r="B483" s="24"/>
      <c r="C483" s="24"/>
      <c r="D483" s="24"/>
      <c r="E483" s="24"/>
      <c r="F483" s="24"/>
      <c r="G483" s="25"/>
      <c r="H483" s="16" t="str">
        <f>IF(C483="","",IFERROR(INDEX(Settings!$L$4:$L$56,MATCH(C483,Settings!$K$4:$K$56,0)),"Unknown"))</f>
        <v/>
      </c>
      <c r="I483" s="8" t="str">
        <f t="shared" si="21"/>
        <v/>
      </c>
      <c r="J483" s="8" t="str">
        <f t="shared" si="22"/>
        <v/>
      </c>
      <c r="K483" s="24"/>
      <c r="L483" s="7" t="str">
        <f t="shared" si="23"/>
        <v/>
      </c>
    </row>
    <row r="484" spans="1:12" x14ac:dyDescent="0.25">
      <c r="A484" s="23"/>
      <c r="B484" s="24"/>
      <c r="C484" s="24"/>
      <c r="D484" s="24"/>
      <c r="E484" s="24"/>
      <c r="F484" s="24"/>
      <c r="G484" s="25"/>
      <c r="H484" s="16" t="str">
        <f>IF(C484="","",IFERROR(INDEX(Settings!$L$4:$L$56,MATCH(C484,Settings!$K$4:$K$56,0)),"Unknown"))</f>
        <v/>
      </c>
      <c r="I484" s="8" t="str">
        <f t="shared" si="21"/>
        <v/>
      </c>
      <c r="J484" s="8" t="str">
        <f t="shared" si="22"/>
        <v/>
      </c>
      <c r="K484" s="24"/>
      <c r="L484" s="7" t="str">
        <f t="shared" si="23"/>
        <v/>
      </c>
    </row>
    <row r="485" spans="1:12" x14ac:dyDescent="0.25">
      <c r="A485" s="23"/>
      <c r="B485" s="24"/>
      <c r="C485" s="24"/>
      <c r="D485" s="24"/>
      <c r="E485" s="24"/>
      <c r="F485" s="24"/>
      <c r="G485" s="25"/>
      <c r="H485" s="16" t="str">
        <f>IF(C485="","",IFERROR(INDEX(Settings!$L$4:$L$56,MATCH(C485,Settings!$K$4:$K$56,0)),"Unknown"))</f>
        <v/>
      </c>
      <c r="I485" s="8" t="str">
        <f t="shared" si="21"/>
        <v/>
      </c>
      <c r="J485" s="8" t="str">
        <f t="shared" si="22"/>
        <v/>
      </c>
      <c r="K485" s="24"/>
      <c r="L485" s="7" t="str">
        <f t="shared" si="23"/>
        <v/>
      </c>
    </row>
    <row r="486" spans="1:12" x14ac:dyDescent="0.25">
      <c r="A486" s="23"/>
      <c r="B486" s="24"/>
      <c r="C486" s="24"/>
      <c r="D486" s="24"/>
      <c r="E486" s="24"/>
      <c r="F486" s="24"/>
      <c r="G486" s="25"/>
      <c r="H486" s="16" t="str">
        <f>IF(C486="","",IFERROR(INDEX(Settings!$L$4:$L$56,MATCH(C486,Settings!$K$4:$K$56,0)),"Unknown"))</f>
        <v/>
      </c>
      <c r="I486" s="8" t="str">
        <f t="shared" si="21"/>
        <v/>
      </c>
      <c r="J486" s="8" t="str">
        <f t="shared" si="22"/>
        <v/>
      </c>
      <c r="K486" s="24"/>
      <c r="L486" s="7" t="str">
        <f t="shared" si="23"/>
        <v/>
      </c>
    </row>
    <row r="487" spans="1:12" x14ac:dyDescent="0.25">
      <c r="A487" s="23"/>
      <c r="B487" s="24"/>
      <c r="C487" s="24"/>
      <c r="D487" s="24"/>
      <c r="E487" s="24"/>
      <c r="F487" s="24"/>
      <c r="G487" s="25"/>
      <c r="H487" s="16" t="str">
        <f>IF(C487="","",IFERROR(INDEX(Settings!$L$4:$L$56,MATCH(C487,Settings!$K$4:$K$56,0)),"Unknown"))</f>
        <v/>
      </c>
      <c r="I487" s="8" t="str">
        <f t="shared" si="21"/>
        <v/>
      </c>
      <c r="J487" s="8" t="str">
        <f t="shared" si="22"/>
        <v/>
      </c>
      <c r="K487" s="24"/>
      <c r="L487" s="7" t="str">
        <f t="shared" si="23"/>
        <v/>
      </c>
    </row>
    <row r="488" spans="1:12" x14ac:dyDescent="0.25">
      <c r="A488" s="23"/>
      <c r="B488" s="24"/>
      <c r="C488" s="24"/>
      <c r="D488" s="24"/>
      <c r="E488" s="24"/>
      <c r="F488" s="24"/>
      <c r="G488" s="25"/>
      <c r="H488" s="16" t="str">
        <f>IF(C488="","",IFERROR(INDEX(Settings!$L$4:$L$56,MATCH(C488,Settings!$K$4:$K$56,0)),"Unknown"))</f>
        <v/>
      </c>
      <c r="I488" s="8" t="str">
        <f t="shared" si="21"/>
        <v/>
      </c>
      <c r="J488" s="8" t="str">
        <f t="shared" si="22"/>
        <v/>
      </c>
      <c r="K488" s="24"/>
      <c r="L488" s="7" t="str">
        <f t="shared" si="23"/>
        <v/>
      </c>
    </row>
    <row r="489" spans="1:12" x14ac:dyDescent="0.25">
      <c r="A489" s="23"/>
      <c r="B489" s="24"/>
      <c r="C489" s="24"/>
      <c r="D489" s="24"/>
      <c r="E489" s="24"/>
      <c r="F489" s="24"/>
      <c r="G489" s="25"/>
      <c r="H489" s="16" t="str">
        <f>IF(C489="","",IFERROR(INDEX(Settings!$L$4:$L$56,MATCH(C489,Settings!$K$4:$K$56,0)),"Unknown"))</f>
        <v/>
      </c>
      <c r="I489" s="8" t="str">
        <f t="shared" si="21"/>
        <v/>
      </c>
      <c r="J489" s="8" t="str">
        <f t="shared" si="22"/>
        <v/>
      </c>
      <c r="K489" s="24"/>
      <c r="L489" s="7" t="str">
        <f t="shared" si="23"/>
        <v/>
      </c>
    </row>
    <row r="490" spans="1:12" x14ac:dyDescent="0.25">
      <c r="A490" s="23"/>
      <c r="B490" s="24"/>
      <c r="C490" s="24"/>
      <c r="D490" s="24"/>
      <c r="E490" s="24"/>
      <c r="F490" s="24"/>
      <c r="G490" s="25"/>
      <c r="H490" s="16" t="str">
        <f>IF(C490="","",IFERROR(INDEX(Settings!$L$4:$L$56,MATCH(C490,Settings!$K$4:$K$56,0)),"Unknown"))</f>
        <v/>
      </c>
      <c r="I490" s="8" t="str">
        <f t="shared" si="21"/>
        <v/>
      </c>
      <c r="J490" s="8" t="str">
        <f t="shared" si="22"/>
        <v/>
      </c>
      <c r="K490" s="24"/>
      <c r="L490" s="7" t="str">
        <f t="shared" si="23"/>
        <v/>
      </c>
    </row>
    <row r="491" spans="1:12" x14ac:dyDescent="0.25">
      <c r="A491" s="23"/>
      <c r="B491" s="24"/>
      <c r="C491" s="24"/>
      <c r="D491" s="24"/>
      <c r="E491" s="24"/>
      <c r="F491" s="24"/>
      <c r="G491" s="25"/>
      <c r="H491" s="16" t="str">
        <f>IF(C491="","",IFERROR(INDEX(Settings!$L$4:$L$56,MATCH(C491,Settings!$K$4:$K$56,0)),"Unknown"))</f>
        <v/>
      </c>
      <c r="I491" s="8" t="str">
        <f t="shared" si="21"/>
        <v/>
      </c>
      <c r="J491" s="8" t="str">
        <f t="shared" si="22"/>
        <v/>
      </c>
      <c r="K491" s="24"/>
      <c r="L491" s="7" t="str">
        <f t="shared" si="23"/>
        <v/>
      </c>
    </row>
    <row r="492" spans="1:12" x14ac:dyDescent="0.25">
      <c r="A492" s="23"/>
      <c r="B492" s="24"/>
      <c r="C492" s="24"/>
      <c r="D492" s="24"/>
      <c r="E492" s="24"/>
      <c r="F492" s="24"/>
      <c r="G492" s="25"/>
      <c r="H492" s="16" t="str">
        <f>IF(C492="","",IFERROR(INDEX(Settings!$L$4:$L$56,MATCH(C492,Settings!$K$4:$K$56,0)),"Unknown"))</f>
        <v/>
      </c>
      <c r="I492" s="8" t="str">
        <f t="shared" si="21"/>
        <v/>
      </c>
      <c r="J492" s="8" t="str">
        <f t="shared" si="22"/>
        <v/>
      </c>
      <c r="K492" s="24"/>
      <c r="L492" s="7" t="str">
        <f t="shared" si="23"/>
        <v/>
      </c>
    </row>
    <row r="493" spans="1:12" x14ac:dyDescent="0.25">
      <c r="A493" s="23"/>
      <c r="B493" s="24"/>
      <c r="C493" s="24"/>
      <c r="D493" s="24"/>
      <c r="E493" s="24"/>
      <c r="F493" s="24"/>
      <c r="G493" s="25"/>
      <c r="H493" s="16" t="str">
        <f>IF(C493="","",IFERROR(INDEX(Settings!$L$4:$L$56,MATCH(C493,Settings!$K$4:$K$56,0)),"Unknown"))</f>
        <v/>
      </c>
      <c r="I493" s="8" t="str">
        <f t="shared" si="21"/>
        <v/>
      </c>
      <c r="J493" s="8" t="str">
        <f t="shared" si="22"/>
        <v/>
      </c>
      <c r="K493" s="24"/>
      <c r="L493" s="7" t="str">
        <f t="shared" si="23"/>
        <v/>
      </c>
    </row>
    <row r="494" spans="1:12" x14ac:dyDescent="0.25">
      <c r="A494" s="23"/>
      <c r="B494" s="24"/>
      <c r="C494" s="24"/>
      <c r="D494" s="24"/>
      <c r="E494" s="24"/>
      <c r="F494" s="24"/>
      <c r="G494" s="25"/>
      <c r="H494" s="16" t="str">
        <f>IF(C494="","",IFERROR(INDEX(Settings!$L$4:$L$56,MATCH(C494,Settings!$K$4:$K$56,0)),"Unknown"))</f>
        <v/>
      </c>
      <c r="I494" s="8" t="str">
        <f t="shared" si="21"/>
        <v/>
      </c>
      <c r="J494" s="8" t="str">
        <f t="shared" si="22"/>
        <v/>
      </c>
      <c r="K494" s="24"/>
      <c r="L494" s="7" t="str">
        <f t="shared" si="23"/>
        <v/>
      </c>
    </row>
    <row r="495" spans="1:12" x14ac:dyDescent="0.25">
      <c r="A495" s="23"/>
      <c r="B495" s="24"/>
      <c r="C495" s="24"/>
      <c r="D495" s="24"/>
      <c r="E495" s="24"/>
      <c r="F495" s="24"/>
      <c r="G495" s="25"/>
      <c r="H495" s="16" t="str">
        <f>IF(C495="","",IFERROR(INDEX(Settings!$L$4:$L$56,MATCH(C495,Settings!$K$4:$K$56,0)),"Unknown"))</f>
        <v/>
      </c>
      <c r="I495" s="8" t="str">
        <f t="shared" si="21"/>
        <v/>
      </c>
      <c r="J495" s="8" t="str">
        <f t="shared" si="22"/>
        <v/>
      </c>
      <c r="K495" s="24"/>
      <c r="L495" s="7" t="str">
        <f t="shared" si="23"/>
        <v/>
      </c>
    </row>
    <row r="496" spans="1:12" x14ac:dyDescent="0.25">
      <c r="A496" s="23"/>
      <c r="B496" s="24"/>
      <c r="C496" s="24"/>
      <c r="D496" s="24"/>
      <c r="E496" s="24"/>
      <c r="F496" s="24"/>
      <c r="G496" s="25"/>
      <c r="H496" s="16" t="str">
        <f>IF(C496="","",IFERROR(INDEX(Settings!$L$4:$L$56,MATCH(C496,Settings!$K$4:$K$56,0)),"Unknown"))</f>
        <v/>
      </c>
      <c r="I496" s="8" t="str">
        <f t="shared" si="21"/>
        <v/>
      </c>
      <c r="J496" s="8" t="str">
        <f t="shared" si="22"/>
        <v/>
      </c>
      <c r="K496" s="24"/>
      <c r="L496" s="7" t="str">
        <f t="shared" si="23"/>
        <v/>
      </c>
    </row>
    <row r="497" spans="1:12" x14ac:dyDescent="0.25">
      <c r="A497" s="23"/>
      <c r="B497" s="24"/>
      <c r="C497" s="24"/>
      <c r="D497" s="24"/>
      <c r="E497" s="24"/>
      <c r="F497" s="24"/>
      <c r="G497" s="25"/>
      <c r="H497" s="16" t="str">
        <f>IF(C497="","",IFERROR(INDEX(Settings!$L$4:$L$56,MATCH(C497,Settings!$K$4:$K$56,0)),"Unknown"))</f>
        <v/>
      </c>
      <c r="I497" s="8" t="str">
        <f t="shared" si="21"/>
        <v/>
      </c>
      <c r="J497" s="8" t="str">
        <f t="shared" si="22"/>
        <v/>
      </c>
      <c r="K497" s="24"/>
      <c r="L497" s="7" t="str">
        <f t="shared" si="23"/>
        <v/>
      </c>
    </row>
    <row r="498" spans="1:12" x14ac:dyDescent="0.25">
      <c r="A498" s="23"/>
      <c r="B498" s="24"/>
      <c r="C498" s="24"/>
      <c r="D498" s="24"/>
      <c r="E498" s="24"/>
      <c r="F498" s="24"/>
      <c r="G498" s="25"/>
      <c r="H498" s="16" t="str">
        <f>IF(C498="","",IFERROR(INDEX(Settings!$L$4:$L$56,MATCH(C498,Settings!$K$4:$K$56,0)),"Unknown"))</f>
        <v/>
      </c>
      <c r="I498" s="8" t="str">
        <f t="shared" si="21"/>
        <v/>
      </c>
      <c r="J498" s="8" t="str">
        <f t="shared" si="22"/>
        <v/>
      </c>
      <c r="K498" s="24"/>
      <c r="L498" s="7" t="str">
        <f t="shared" si="23"/>
        <v/>
      </c>
    </row>
    <row r="499" spans="1:12" x14ac:dyDescent="0.25">
      <c r="A499" s="23"/>
      <c r="B499" s="24"/>
      <c r="C499" s="24"/>
      <c r="D499" s="24"/>
      <c r="E499" s="24"/>
      <c r="F499" s="24"/>
      <c r="G499" s="25"/>
      <c r="H499" s="16" t="str">
        <f>IF(C499="","",IFERROR(INDEX(Settings!$L$4:$L$56,MATCH(C499,Settings!$K$4:$K$56,0)),"Unknown"))</f>
        <v/>
      </c>
      <c r="I499" s="8" t="str">
        <f t="shared" si="21"/>
        <v/>
      </c>
      <c r="J499" s="8" t="str">
        <f t="shared" si="22"/>
        <v/>
      </c>
      <c r="K499" s="24"/>
      <c r="L499" s="7" t="str">
        <f t="shared" si="23"/>
        <v/>
      </c>
    </row>
    <row r="500" spans="1:12" x14ac:dyDescent="0.25">
      <c r="A500" s="23"/>
      <c r="B500" s="24"/>
      <c r="C500" s="24"/>
      <c r="D500" s="24"/>
      <c r="E500" s="24"/>
      <c r="F500" s="24"/>
      <c r="G500" s="25"/>
      <c r="H500" s="16" t="str">
        <f>IF(C500="","",IFERROR(INDEX(Settings!$L$4:$L$56,MATCH(C500,Settings!$K$4:$K$56,0)),"Unknown"))</f>
        <v/>
      </c>
      <c r="I500" s="8" t="str">
        <f t="shared" si="21"/>
        <v/>
      </c>
      <c r="J500" s="8" t="str">
        <f t="shared" si="22"/>
        <v/>
      </c>
      <c r="K500" s="24"/>
      <c r="L500" s="7" t="str">
        <f t="shared" si="23"/>
        <v/>
      </c>
    </row>
    <row r="501" spans="1:12" x14ac:dyDescent="0.25">
      <c r="A501" s="23"/>
      <c r="B501" s="24"/>
      <c r="C501" s="24"/>
      <c r="D501" s="24"/>
      <c r="E501" s="24"/>
      <c r="F501" s="24"/>
      <c r="G501" s="25"/>
      <c r="H501" s="16" t="str">
        <f>IF(C501="","",IFERROR(INDEX(Settings!$L$4:$L$56,MATCH(C501,Settings!$K$4:$K$56,0)),"Unknown"))</f>
        <v/>
      </c>
      <c r="I501" s="8" t="str">
        <f t="shared" si="21"/>
        <v/>
      </c>
      <c r="J501" s="8" t="str">
        <f t="shared" si="22"/>
        <v/>
      </c>
      <c r="K501" s="24"/>
      <c r="L501" s="7" t="str">
        <f t="shared" si="23"/>
        <v/>
      </c>
    </row>
    <row r="502" spans="1:12" x14ac:dyDescent="0.25">
      <c r="A502" s="23"/>
      <c r="B502" s="24"/>
      <c r="C502" s="24"/>
      <c r="D502" s="24"/>
      <c r="E502" s="24"/>
      <c r="F502" s="24"/>
      <c r="G502" s="25"/>
      <c r="H502" s="16" t="str">
        <f>IF(C502="","",IFERROR(INDEX(Settings!$L$4:$L$56,MATCH(C502,Settings!$K$4:$K$56,0)),"Unknown"))</f>
        <v/>
      </c>
      <c r="I502" s="8" t="str">
        <f t="shared" si="21"/>
        <v/>
      </c>
      <c r="J502" s="8" t="str">
        <f t="shared" si="22"/>
        <v/>
      </c>
      <c r="K502" s="24"/>
      <c r="L502" s="7" t="str">
        <f t="shared" si="23"/>
        <v/>
      </c>
    </row>
    <row r="503" spans="1:12" x14ac:dyDescent="0.25">
      <c r="A503" s="23"/>
      <c r="B503" s="24"/>
      <c r="C503" s="24"/>
      <c r="D503" s="24"/>
      <c r="E503" s="24"/>
      <c r="F503" s="24"/>
      <c r="G503" s="25"/>
      <c r="H503" s="16" t="str">
        <f>IF(C503="","",IFERROR(INDEX(Settings!$L$4:$L$56,MATCH(C503,Settings!$K$4:$K$56,0)),"Unknown"))</f>
        <v/>
      </c>
      <c r="I503" s="8" t="str">
        <f t="shared" si="21"/>
        <v/>
      </c>
      <c r="J503" s="8" t="str">
        <f t="shared" si="22"/>
        <v/>
      </c>
      <c r="K503" s="24"/>
      <c r="L503" s="7" t="str">
        <f t="shared" si="23"/>
        <v/>
      </c>
    </row>
    <row r="504" spans="1:12" x14ac:dyDescent="0.25">
      <c r="A504" s="23"/>
      <c r="B504" s="24"/>
      <c r="C504" s="24"/>
      <c r="D504" s="24"/>
      <c r="E504" s="24"/>
      <c r="F504" s="24"/>
      <c r="G504" s="25"/>
      <c r="H504" s="16" t="str">
        <f>IF(C504="","",IFERROR(INDEX(Settings!$L$4:$L$56,MATCH(C504,Settings!$K$4:$K$56,0)),"Unknown"))</f>
        <v/>
      </c>
      <c r="I504" s="8" t="str">
        <f t="shared" si="21"/>
        <v/>
      </c>
      <c r="J504" s="8" t="str">
        <f t="shared" si="22"/>
        <v/>
      </c>
      <c r="K504" s="24"/>
      <c r="L504" s="7" t="str">
        <f t="shared" si="23"/>
        <v/>
      </c>
    </row>
    <row r="505" spans="1:12" x14ac:dyDescent="0.25">
      <c r="A505" s="23"/>
      <c r="B505" s="24"/>
      <c r="C505" s="24"/>
      <c r="D505" s="24"/>
      <c r="E505" s="24"/>
      <c r="F505" s="24"/>
      <c r="G505" s="25"/>
      <c r="H505" s="16" t="str">
        <f>IF(C505="","",IFERROR(INDEX(Settings!$L$4:$L$56,MATCH(C505,Settings!$K$4:$K$56,0)),"Unknown"))</f>
        <v/>
      </c>
      <c r="I505" s="8" t="str">
        <f t="shared" si="21"/>
        <v/>
      </c>
      <c r="J505" s="8" t="str">
        <f t="shared" si="22"/>
        <v/>
      </c>
      <c r="K505" s="24"/>
      <c r="L505" s="7" t="str">
        <f t="shared" si="23"/>
        <v/>
      </c>
    </row>
    <row r="506" spans="1:12" x14ac:dyDescent="0.25">
      <c r="A506" s="23"/>
      <c r="B506" s="24"/>
      <c r="C506" s="24"/>
      <c r="D506" s="24"/>
      <c r="E506" s="24"/>
      <c r="F506" s="24"/>
      <c r="G506" s="25"/>
      <c r="H506" s="16" t="str">
        <f>IF(C506="","",IFERROR(INDEX(Settings!$L$4:$L$56,MATCH(C506,Settings!$K$4:$K$56,0)),"Unknown"))</f>
        <v/>
      </c>
      <c r="I506" s="8" t="str">
        <f t="shared" si="21"/>
        <v/>
      </c>
      <c r="J506" s="8" t="str">
        <f t="shared" si="22"/>
        <v/>
      </c>
      <c r="K506" s="24"/>
      <c r="L506" s="7" t="str">
        <f t="shared" si="23"/>
        <v/>
      </c>
    </row>
    <row r="507" spans="1:12" x14ac:dyDescent="0.25">
      <c r="A507" s="23"/>
      <c r="B507" s="24"/>
      <c r="C507" s="24"/>
      <c r="D507" s="24"/>
      <c r="E507" s="24"/>
      <c r="F507" s="24"/>
      <c r="G507" s="25"/>
      <c r="H507" s="16" t="str">
        <f>IF(C507="","",IFERROR(INDEX(Settings!$L$4:$L$56,MATCH(C507,Settings!$K$4:$K$56,0)),"Unknown"))</f>
        <v/>
      </c>
      <c r="I507" s="8" t="str">
        <f t="shared" si="21"/>
        <v/>
      </c>
      <c r="J507" s="8" t="str">
        <f t="shared" si="22"/>
        <v/>
      </c>
      <c r="K507" s="24"/>
      <c r="L507" s="7" t="str">
        <f t="shared" si="23"/>
        <v/>
      </c>
    </row>
    <row r="508" spans="1:12" x14ac:dyDescent="0.25">
      <c r="A508" s="23"/>
      <c r="B508" s="24"/>
      <c r="C508" s="24"/>
      <c r="D508" s="24"/>
      <c r="E508" s="24"/>
      <c r="F508" s="24"/>
      <c r="G508" s="25"/>
      <c r="H508" s="16" t="str">
        <f>IF(C508="","",IFERROR(INDEX(Settings!$L$4:$L$56,MATCH(C508,Settings!$K$4:$K$56,0)),"Unknown"))</f>
        <v/>
      </c>
      <c r="I508" s="8" t="str">
        <f t="shared" si="21"/>
        <v/>
      </c>
      <c r="J508" s="8" t="str">
        <f t="shared" si="22"/>
        <v/>
      </c>
      <c r="K508" s="24"/>
      <c r="L508" s="7" t="str">
        <f t="shared" si="23"/>
        <v/>
      </c>
    </row>
    <row r="509" spans="1:12" x14ac:dyDescent="0.25">
      <c r="A509" s="23"/>
      <c r="B509" s="24"/>
      <c r="C509" s="24"/>
      <c r="D509" s="24"/>
      <c r="E509" s="24"/>
      <c r="F509" s="24"/>
      <c r="G509" s="25"/>
      <c r="H509" s="16" t="str">
        <f>IF(C509="","",IFERROR(INDEX(Settings!$L$4:$L$56,MATCH(C509,Settings!$K$4:$K$56,0)),"Unknown"))</f>
        <v/>
      </c>
      <c r="I509" s="8" t="str">
        <f t="shared" si="21"/>
        <v/>
      </c>
      <c r="J509" s="8" t="str">
        <f t="shared" si="22"/>
        <v/>
      </c>
      <c r="K509" s="24"/>
      <c r="L509" s="7" t="str">
        <f t="shared" si="23"/>
        <v/>
      </c>
    </row>
    <row r="510" spans="1:12" x14ac:dyDescent="0.25">
      <c r="A510" s="23"/>
      <c r="B510" s="24"/>
      <c r="C510" s="24"/>
      <c r="D510" s="24"/>
      <c r="E510" s="24"/>
      <c r="F510" s="24"/>
      <c r="G510" s="25"/>
      <c r="H510" s="16" t="str">
        <f>IF(C510="","",IFERROR(INDEX(Settings!$L$4:$L$56,MATCH(C510,Settings!$K$4:$K$56,0)),"Unknown"))</f>
        <v/>
      </c>
      <c r="I510" s="8" t="str">
        <f t="shared" si="21"/>
        <v/>
      </c>
      <c r="J510" s="8" t="str">
        <f t="shared" si="22"/>
        <v/>
      </c>
      <c r="K510" s="24"/>
      <c r="L510" s="7" t="str">
        <f t="shared" si="23"/>
        <v/>
      </c>
    </row>
    <row r="511" spans="1:12" x14ac:dyDescent="0.25">
      <c r="A511" s="23"/>
      <c r="B511" s="24"/>
      <c r="C511" s="24"/>
      <c r="D511" s="24"/>
      <c r="E511" s="24"/>
      <c r="F511" s="24"/>
      <c r="G511" s="25"/>
      <c r="H511" s="16" t="str">
        <f>IF(C511="","",IFERROR(INDEX(Settings!$L$4:$L$56,MATCH(C511,Settings!$K$4:$K$56,0)),"Unknown"))</f>
        <v/>
      </c>
      <c r="I511" s="8" t="str">
        <f t="shared" si="21"/>
        <v/>
      </c>
      <c r="J511" s="8" t="str">
        <f t="shared" si="22"/>
        <v/>
      </c>
      <c r="K511" s="24"/>
      <c r="L511" s="7" t="str">
        <f t="shared" si="23"/>
        <v/>
      </c>
    </row>
    <row r="512" spans="1:12" x14ac:dyDescent="0.25">
      <c r="A512" s="23"/>
      <c r="B512" s="24"/>
      <c r="C512" s="24"/>
      <c r="D512" s="24"/>
      <c r="E512" s="24"/>
      <c r="F512" s="24"/>
      <c r="G512" s="25"/>
      <c r="H512" s="16" t="str">
        <f>IF(C512="","",IFERROR(INDEX(Settings!$L$4:$L$56,MATCH(C512,Settings!$K$4:$K$56,0)),"Unknown"))</f>
        <v/>
      </c>
      <c r="I512" s="8" t="str">
        <f t="shared" si="21"/>
        <v/>
      </c>
      <c r="J512" s="8" t="str">
        <f t="shared" si="22"/>
        <v/>
      </c>
      <c r="K512" s="24"/>
      <c r="L512" s="7" t="str">
        <f t="shared" si="23"/>
        <v/>
      </c>
    </row>
    <row r="513" spans="1:12" x14ac:dyDescent="0.25">
      <c r="A513" s="23"/>
      <c r="B513" s="24"/>
      <c r="C513" s="24"/>
      <c r="D513" s="24"/>
      <c r="E513" s="24"/>
      <c r="F513" s="24"/>
      <c r="G513" s="25"/>
      <c r="H513" s="16" t="str">
        <f>IF(C513="","",IFERROR(INDEX(Settings!$L$4:$L$56,MATCH(C513,Settings!$K$4:$K$56,0)),"Unknown"))</f>
        <v/>
      </c>
      <c r="I513" s="8" t="str">
        <f t="shared" si="21"/>
        <v/>
      </c>
      <c r="J513" s="8" t="str">
        <f t="shared" si="22"/>
        <v/>
      </c>
      <c r="K513" s="24"/>
      <c r="L513" s="7" t="str">
        <f t="shared" si="23"/>
        <v/>
      </c>
    </row>
    <row r="514" spans="1:12" x14ac:dyDescent="0.25">
      <c r="A514" s="23"/>
      <c r="B514" s="24"/>
      <c r="C514" s="24"/>
      <c r="D514" s="24"/>
      <c r="E514" s="24"/>
      <c r="F514" s="24"/>
      <c r="G514" s="25"/>
      <c r="H514" s="16" t="str">
        <f>IF(C514="","",IFERROR(INDEX(Settings!$L$4:$L$56,MATCH(C514,Settings!$K$4:$K$56,0)),"Unknown"))</f>
        <v/>
      </c>
      <c r="I514" s="8" t="str">
        <f t="shared" si="21"/>
        <v/>
      </c>
      <c r="J514" s="8" t="str">
        <f t="shared" si="22"/>
        <v/>
      </c>
      <c r="K514" s="24"/>
      <c r="L514" s="7" t="str">
        <f t="shared" si="23"/>
        <v/>
      </c>
    </row>
    <row r="515" spans="1:12" x14ac:dyDescent="0.25">
      <c r="A515" s="23"/>
      <c r="B515" s="24"/>
      <c r="C515" s="24"/>
      <c r="D515" s="24"/>
      <c r="E515" s="24"/>
      <c r="F515" s="24"/>
      <c r="G515" s="25"/>
      <c r="H515" s="16" t="str">
        <f>IF(C515="","",IFERROR(INDEX(Settings!$L$4:$L$56,MATCH(C515,Settings!$K$4:$K$56,0)),"Unknown"))</f>
        <v/>
      </c>
      <c r="I515" s="8" t="str">
        <f t="shared" si="21"/>
        <v/>
      </c>
      <c r="J515" s="8" t="str">
        <f t="shared" si="22"/>
        <v/>
      </c>
      <c r="K515" s="24"/>
      <c r="L515" s="7" t="str">
        <f t="shared" si="23"/>
        <v/>
      </c>
    </row>
    <row r="516" spans="1:12" x14ac:dyDescent="0.25">
      <c r="A516" s="23"/>
      <c r="B516" s="24"/>
      <c r="C516" s="24"/>
      <c r="D516" s="24"/>
      <c r="E516" s="24"/>
      <c r="F516" s="24"/>
      <c r="G516" s="25"/>
      <c r="H516" s="16" t="str">
        <f>IF(C516="","",IFERROR(INDEX(Settings!$L$4:$L$56,MATCH(C516,Settings!$K$4:$K$56,0)),"Unknown"))</f>
        <v/>
      </c>
      <c r="I516" s="8" t="str">
        <f t="shared" si="21"/>
        <v/>
      </c>
      <c r="J516" s="8" t="str">
        <f t="shared" si="22"/>
        <v/>
      </c>
      <c r="K516" s="24"/>
      <c r="L516" s="7" t="str">
        <f t="shared" si="23"/>
        <v/>
      </c>
    </row>
    <row r="517" spans="1:12" x14ac:dyDescent="0.25">
      <c r="A517" s="23"/>
      <c r="B517" s="24"/>
      <c r="C517" s="24"/>
      <c r="D517" s="24"/>
      <c r="E517" s="24"/>
      <c r="F517" s="24"/>
      <c r="G517" s="25"/>
      <c r="H517" s="16" t="str">
        <f>IF(C517="","",IFERROR(INDEX(Settings!$L$4:$L$56,MATCH(C517,Settings!$K$4:$K$56,0)),"Unknown"))</f>
        <v/>
      </c>
      <c r="I517" s="8" t="str">
        <f t="shared" si="21"/>
        <v/>
      </c>
      <c r="J517" s="8" t="str">
        <f t="shared" si="22"/>
        <v/>
      </c>
      <c r="K517" s="24"/>
      <c r="L517" s="7" t="str">
        <f t="shared" si="23"/>
        <v/>
      </c>
    </row>
    <row r="518" spans="1:12" x14ac:dyDescent="0.25">
      <c r="A518" s="23"/>
      <c r="B518" s="24"/>
      <c r="C518" s="24"/>
      <c r="D518" s="24"/>
      <c r="E518" s="24"/>
      <c r="F518" s="24"/>
      <c r="G518" s="25"/>
      <c r="H518" s="16" t="str">
        <f>IF(C518="","",IFERROR(INDEX(Settings!$L$4:$L$56,MATCH(C518,Settings!$K$4:$K$56,0)),"Unknown"))</f>
        <v/>
      </c>
      <c r="I518" s="8" t="str">
        <f t="shared" ref="I518:I581" si="24">IF(A518="","",MONTH(A518))</f>
        <v/>
      </c>
      <c r="J518" s="8" t="str">
        <f t="shared" ref="J518:J581" si="25">IF(A518="","",YEAR(A518))</f>
        <v/>
      </c>
      <c r="K518" s="24"/>
      <c r="L518" s="7" t="str">
        <f t="shared" ref="L518:L581" si="26">IF(OR(B518="",C518=""),"",IF(AND(B518="Income",H518&lt;&gt;"Income"),"Category is not an Income category",IF(AND(B518="Expense",H518="Income"),"Category is an Income category","OK")))</f>
        <v/>
      </c>
    </row>
    <row r="519" spans="1:12" x14ac:dyDescent="0.25">
      <c r="A519" s="23"/>
      <c r="B519" s="24"/>
      <c r="C519" s="24"/>
      <c r="D519" s="24"/>
      <c r="E519" s="24"/>
      <c r="F519" s="24"/>
      <c r="G519" s="25"/>
      <c r="H519" s="16" t="str">
        <f>IF(C519="","",IFERROR(INDEX(Settings!$L$4:$L$56,MATCH(C519,Settings!$K$4:$K$56,0)),"Unknown"))</f>
        <v/>
      </c>
      <c r="I519" s="8" t="str">
        <f t="shared" si="24"/>
        <v/>
      </c>
      <c r="J519" s="8" t="str">
        <f t="shared" si="25"/>
        <v/>
      </c>
      <c r="K519" s="24"/>
      <c r="L519" s="7" t="str">
        <f t="shared" si="26"/>
        <v/>
      </c>
    </row>
    <row r="520" spans="1:12" x14ac:dyDescent="0.25">
      <c r="A520" s="23"/>
      <c r="B520" s="24"/>
      <c r="C520" s="24"/>
      <c r="D520" s="24"/>
      <c r="E520" s="24"/>
      <c r="F520" s="24"/>
      <c r="G520" s="25"/>
      <c r="H520" s="16" t="str">
        <f>IF(C520="","",IFERROR(INDEX(Settings!$L$4:$L$56,MATCH(C520,Settings!$K$4:$K$56,0)),"Unknown"))</f>
        <v/>
      </c>
      <c r="I520" s="8" t="str">
        <f t="shared" si="24"/>
        <v/>
      </c>
      <c r="J520" s="8" t="str">
        <f t="shared" si="25"/>
        <v/>
      </c>
      <c r="K520" s="24"/>
      <c r="L520" s="7" t="str">
        <f t="shared" si="26"/>
        <v/>
      </c>
    </row>
    <row r="521" spans="1:12" x14ac:dyDescent="0.25">
      <c r="A521" s="23"/>
      <c r="B521" s="24"/>
      <c r="C521" s="24"/>
      <c r="D521" s="24"/>
      <c r="E521" s="24"/>
      <c r="F521" s="24"/>
      <c r="G521" s="25"/>
      <c r="H521" s="16" t="str">
        <f>IF(C521="","",IFERROR(INDEX(Settings!$L$4:$L$56,MATCH(C521,Settings!$K$4:$K$56,0)),"Unknown"))</f>
        <v/>
      </c>
      <c r="I521" s="8" t="str">
        <f t="shared" si="24"/>
        <v/>
      </c>
      <c r="J521" s="8" t="str">
        <f t="shared" si="25"/>
        <v/>
      </c>
      <c r="K521" s="24"/>
      <c r="L521" s="7" t="str">
        <f t="shared" si="26"/>
        <v/>
      </c>
    </row>
    <row r="522" spans="1:12" x14ac:dyDescent="0.25">
      <c r="A522" s="23"/>
      <c r="B522" s="24"/>
      <c r="C522" s="24"/>
      <c r="D522" s="24"/>
      <c r="E522" s="24"/>
      <c r="F522" s="24"/>
      <c r="G522" s="25"/>
      <c r="H522" s="16" t="str">
        <f>IF(C522="","",IFERROR(INDEX(Settings!$L$4:$L$56,MATCH(C522,Settings!$K$4:$K$56,0)),"Unknown"))</f>
        <v/>
      </c>
      <c r="I522" s="8" t="str">
        <f t="shared" si="24"/>
        <v/>
      </c>
      <c r="J522" s="8" t="str">
        <f t="shared" si="25"/>
        <v/>
      </c>
      <c r="K522" s="24"/>
      <c r="L522" s="7" t="str">
        <f t="shared" si="26"/>
        <v/>
      </c>
    </row>
    <row r="523" spans="1:12" x14ac:dyDescent="0.25">
      <c r="A523" s="23"/>
      <c r="B523" s="24"/>
      <c r="C523" s="24"/>
      <c r="D523" s="24"/>
      <c r="E523" s="24"/>
      <c r="F523" s="24"/>
      <c r="G523" s="25"/>
      <c r="H523" s="16" t="str">
        <f>IF(C523="","",IFERROR(INDEX(Settings!$L$4:$L$56,MATCH(C523,Settings!$K$4:$K$56,0)),"Unknown"))</f>
        <v/>
      </c>
      <c r="I523" s="8" t="str">
        <f t="shared" si="24"/>
        <v/>
      </c>
      <c r="J523" s="8" t="str">
        <f t="shared" si="25"/>
        <v/>
      </c>
      <c r="K523" s="24"/>
      <c r="L523" s="7" t="str">
        <f t="shared" si="26"/>
        <v/>
      </c>
    </row>
    <row r="524" spans="1:12" x14ac:dyDescent="0.25">
      <c r="A524" s="23"/>
      <c r="B524" s="24"/>
      <c r="C524" s="24"/>
      <c r="D524" s="24"/>
      <c r="E524" s="24"/>
      <c r="F524" s="24"/>
      <c r="G524" s="25"/>
      <c r="H524" s="16" t="str">
        <f>IF(C524="","",IFERROR(INDEX(Settings!$L$4:$L$56,MATCH(C524,Settings!$K$4:$K$56,0)),"Unknown"))</f>
        <v/>
      </c>
      <c r="I524" s="8" t="str">
        <f t="shared" si="24"/>
        <v/>
      </c>
      <c r="J524" s="8" t="str">
        <f t="shared" si="25"/>
        <v/>
      </c>
      <c r="K524" s="24"/>
      <c r="L524" s="7" t="str">
        <f t="shared" si="26"/>
        <v/>
      </c>
    </row>
    <row r="525" spans="1:12" x14ac:dyDescent="0.25">
      <c r="A525" s="23"/>
      <c r="B525" s="24"/>
      <c r="C525" s="24"/>
      <c r="D525" s="24"/>
      <c r="E525" s="24"/>
      <c r="F525" s="24"/>
      <c r="G525" s="25"/>
      <c r="H525" s="16" t="str">
        <f>IF(C525="","",IFERROR(INDEX(Settings!$L$4:$L$56,MATCH(C525,Settings!$K$4:$K$56,0)),"Unknown"))</f>
        <v/>
      </c>
      <c r="I525" s="8" t="str">
        <f t="shared" si="24"/>
        <v/>
      </c>
      <c r="J525" s="8" t="str">
        <f t="shared" si="25"/>
        <v/>
      </c>
      <c r="K525" s="24"/>
      <c r="L525" s="7" t="str">
        <f t="shared" si="26"/>
        <v/>
      </c>
    </row>
    <row r="526" spans="1:12" x14ac:dyDescent="0.25">
      <c r="A526" s="23"/>
      <c r="B526" s="24"/>
      <c r="C526" s="24"/>
      <c r="D526" s="24"/>
      <c r="E526" s="24"/>
      <c r="F526" s="24"/>
      <c r="G526" s="25"/>
      <c r="H526" s="16" t="str">
        <f>IF(C526="","",IFERROR(INDEX(Settings!$L$4:$L$56,MATCH(C526,Settings!$K$4:$K$56,0)),"Unknown"))</f>
        <v/>
      </c>
      <c r="I526" s="8" t="str">
        <f t="shared" si="24"/>
        <v/>
      </c>
      <c r="J526" s="8" t="str">
        <f t="shared" si="25"/>
        <v/>
      </c>
      <c r="K526" s="24"/>
      <c r="L526" s="7" t="str">
        <f t="shared" si="26"/>
        <v/>
      </c>
    </row>
    <row r="527" spans="1:12" x14ac:dyDescent="0.25">
      <c r="A527" s="23"/>
      <c r="B527" s="24"/>
      <c r="C527" s="24"/>
      <c r="D527" s="24"/>
      <c r="E527" s="24"/>
      <c r="F527" s="24"/>
      <c r="G527" s="25"/>
      <c r="H527" s="16" t="str">
        <f>IF(C527="","",IFERROR(INDEX(Settings!$L$4:$L$56,MATCH(C527,Settings!$K$4:$K$56,0)),"Unknown"))</f>
        <v/>
      </c>
      <c r="I527" s="8" t="str">
        <f t="shared" si="24"/>
        <v/>
      </c>
      <c r="J527" s="8" t="str">
        <f t="shared" si="25"/>
        <v/>
      </c>
      <c r="K527" s="24"/>
      <c r="L527" s="7" t="str">
        <f t="shared" si="26"/>
        <v/>
      </c>
    </row>
    <row r="528" spans="1:12" x14ac:dyDescent="0.25">
      <c r="A528" s="23"/>
      <c r="B528" s="24"/>
      <c r="C528" s="24"/>
      <c r="D528" s="24"/>
      <c r="E528" s="24"/>
      <c r="F528" s="24"/>
      <c r="G528" s="25"/>
      <c r="H528" s="16" t="str">
        <f>IF(C528="","",IFERROR(INDEX(Settings!$L$4:$L$56,MATCH(C528,Settings!$K$4:$K$56,0)),"Unknown"))</f>
        <v/>
      </c>
      <c r="I528" s="8" t="str">
        <f t="shared" si="24"/>
        <v/>
      </c>
      <c r="J528" s="8" t="str">
        <f t="shared" si="25"/>
        <v/>
      </c>
      <c r="K528" s="24"/>
      <c r="L528" s="7" t="str">
        <f t="shared" si="26"/>
        <v/>
      </c>
    </row>
    <row r="529" spans="1:12" x14ac:dyDescent="0.25">
      <c r="A529" s="23"/>
      <c r="B529" s="24"/>
      <c r="C529" s="24"/>
      <c r="D529" s="24"/>
      <c r="E529" s="24"/>
      <c r="F529" s="24"/>
      <c r="G529" s="25"/>
      <c r="H529" s="16" t="str">
        <f>IF(C529="","",IFERROR(INDEX(Settings!$L$4:$L$56,MATCH(C529,Settings!$K$4:$K$56,0)),"Unknown"))</f>
        <v/>
      </c>
      <c r="I529" s="8" t="str">
        <f t="shared" si="24"/>
        <v/>
      </c>
      <c r="J529" s="8" t="str">
        <f t="shared" si="25"/>
        <v/>
      </c>
      <c r="K529" s="24"/>
      <c r="L529" s="7" t="str">
        <f t="shared" si="26"/>
        <v/>
      </c>
    </row>
    <row r="530" spans="1:12" x14ac:dyDescent="0.25">
      <c r="A530" s="23"/>
      <c r="B530" s="24"/>
      <c r="C530" s="24"/>
      <c r="D530" s="24"/>
      <c r="E530" s="24"/>
      <c r="F530" s="24"/>
      <c r="G530" s="25"/>
      <c r="H530" s="16" t="str">
        <f>IF(C530="","",IFERROR(INDEX(Settings!$L$4:$L$56,MATCH(C530,Settings!$K$4:$K$56,0)),"Unknown"))</f>
        <v/>
      </c>
      <c r="I530" s="8" t="str">
        <f t="shared" si="24"/>
        <v/>
      </c>
      <c r="J530" s="8" t="str">
        <f t="shared" si="25"/>
        <v/>
      </c>
      <c r="K530" s="24"/>
      <c r="L530" s="7" t="str">
        <f t="shared" si="26"/>
        <v/>
      </c>
    </row>
    <row r="531" spans="1:12" x14ac:dyDescent="0.25">
      <c r="A531" s="23"/>
      <c r="B531" s="24"/>
      <c r="C531" s="24"/>
      <c r="D531" s="24"/>
      <c r="E531" s="24"/>
      <c r="F531" s="24"/>
      <c r="G531" s="25"/>
      <c r="H531" s="16" t="str">
        <f>IF(C531="","",IFERROR(INDEX(Settings!$L$4:$L$56,MATCH(C531,Settings!$K$4:$K$56,0)),"Unknown"))</f>
        <v/>
      </c>
      <c r="I531" s="8" t="str">
        <f t="shared" si="24"/>
        <v/>
      </c>
      <c r="J531" s="8" t="str">
        <f t="shared" si="25"/>
        <v/>
      </c>
      <c r="K531" s="24"/>
      <c r="L531" s="7" t="str">
        <f t="shared" si="26"/>
        <v/>
      </c>
    </row>
    <row r="532" spans="1:12" x14ac:dyDescent="0.25">
      <c r="A532" s="23"/>
      <c r="B532" s="24"/>
      <c r="C532" s="24"/>
      <c r="D532" s="24"/>
      <c r="E532" s="24"/>
      <c r="F532" s="24"/>
      <c r="G532" s="25"/>
      <c r="H532" s="16" t="str">
        <f>IF(C532="","",IFERROR(INDEX(Settings!$L$4:$L$56,MATCH(C532,Settings!$K$4:$K$56,0)),"Unknown"))</f>
        <v/>
      </c>
      <c r="I532" s="8" t="str">
        <f t="shared" si="24"/>
        <v/>
      </c>
      <c r="J532" s="8" t="str">
        <f t="shared" si="25"/>
        <v/>
      </c>
      <c r="K532" s="24"/>
      <c r="L532" s="7" t="str">
        <f t="shared" si="26"/>
        <v/>
      </c>
    </row>
    <row r="533" spans="1:12" x14ac:dyDescent="0.25">
      <c r="A533" s="23"/>
      <c r="B533" s="24"/>
      <c r="C533" s="24"/>
      <c r="D533" s="24"/>
      <c r="E533" s="24"/>
      <c r="F533" s="24"/>
      <c r="G533" s="25"/>
      <c r="H533" s="16" t="str">
        <f>IF(C533="","",IFERROR(INDEX(Settings!$L$4:$L$56,MATCH(C533,Settings!$K$4:$K$56,0)),"Unknown"))</f>
        <v/>
      </c>
      <c r="I533" s="8" t="str">
        <f t="shared" si="24"/>
        <v/>
      </c>
      <c r="J533" s="8" t="str">
        <f t="shared" si="25"/>
        <v/>
      </c>
      <c r="K533" s="24"/>
      <c r="L533" s="7" t="str">
        <f t="shared" si="26"/>
        <v/>
      </c>
    </row>
    <row r="534" spans="1:12" x14ac:dyDescent="0.25">
      <c r="A534" s="23"/>
      <c r="B534" s="24"/>
      <c r="C534" s="24"/>
      <c r="D534" s="24"/>
      <c r="E534" s="24"/>
      <c r="F534" s="24"/>
      <c r="G534" s="25"/>
      <c r="H534" s="16" t="str">
        <f>IF(C534="","",IFERROR(INDEX(Settings!$L$4:$L$56,MATCH(C534,Settings!$K$4:$K$56,0)),"Unknown"))</f>
        <v/>
      </c>
      <c r="I534" s="8" t="str">
        <f t="shared" si="24"/>
        <v/>
      </c>
      <c r="J534" s="8" t="str">
        <f t="shared" si="25"/>
        <v/>
      </c>
      <c r="K534" s="24"/>
      <c r="L534" s="7" t="str">
        <f t="shared" si="26"/>
        <v/>
      </c>
    </row>
    <row r="535" spans="1:12" x14ac:dyDescent="0.25">
      <c r="A535" s="23"/>
      <c r="B535" s="24"/>
      <c r="C535" s="24"/>
      <c r="D535" s="24"/>
      <c r="E535" s="24"/>
      <c r="F535" s="24"/>
      <c r="G535" s="25"/>
      <c r="H535" s="16" t="str">
        <f>IF(C535="","",IFERROR(INDEX(Settings!$L$4:$L$56,MATCH(C535,Settings!$K$4:$K$56,0)),"Unknown"))</f>
        <v/>
      </c>
      <c r="I535" s="8" t="str">
        <f t="shared" si="24"/>
        <v/>
      </c>
      <c r="J535" s="8" t="str">
        <f t="shared" si="25"/>
        <v/>
      </c>
      <c r="K535" s="24"/>
      <c r="L535" s="7" t="str">
        <f t="shared" si="26"/>
        <v/>
      </c>
    </row>
    <row r="536" spans="1:12" x14ac:dyDescent="0.25">
      <c r="A536" s="23"/>
      <c r="B536" s="24"/>
      <c r="C536" s="24"/>
      <c r="D536" s="24"/>
      <c r="E536" s="24"/>
      <c r="F536" s="24"/>
      <c r="G536" s="25"/>
      <c r="H536" s="16" t="str">
        <f>IF(C536="","",IFERROR(INDEX(Settings!$L$4:$L$56,MATCH(C536,Settings!$K$4:$K$56,0)),"Unknown"))</f>
        <v/>
      </c>
      <c r="I536" s="8" t="str">
        <f t="shared" si="24"/>
        <v/>
      </c>
      <c r="J536" s="8" t="str">
        <f t="shared" si="25"/>
        <v/>
      </c>
      <c r="K536" s="24"/>
      <c r="L536" s="7" t="str">
        <f t="shared" si="26"/>
        <v/>
      </c>
    </row>
    <row r="537" spans="1:12" x14ac:dyDescent="0.25">
      <c r="A537" s="23"/>
      <c r="B537" s="24"/>
      <c r="C537" s="24"/>
      <c r="D537" s="24"/>
      <c r="E537" s="24"/>
      <c r="F537" s="24"/>
      <c r="G537" s="25"/>
      <c r="H537" s="16" t="str">
        <f>IF(C537="","",IFERROR(INDEX(Settings!$L$4:$L$56,MATCH(C537,Settings!$K$4:$K$56,0)),"Unknown"))</f>
        <v/>
      </c>
      <c r="I537" s="8" t="str">
        <f t="shared" si="24"/>
        <v/>
      </c>
      <c r="J537" s="8" t="str">
        <f t="shared" si="25"/>
        <v/>
      </c>
      <c r="K537" s="24"/>
      <c r="L537" s="7" t="str">
        <f t="shared" si="26"/>
        <v/>
      </c>
    </row>
    <row r="538" spans="1:12" x14ac:dyDescent="0.25">
      <c r="A538" s="23"/>
      <c r="B538" s="24"/>
      <c r="C538" s="24"/>
      <c r="D538" s="24"/>
      <c r="E538" s="24"/>
      <c r="F538" s="24"/>
      <c r="G538" s="25"/>
      <c r="H538" s="16" t="str">
        <f>IF(C538="","",IFERROR(INDEX(Settings!$L$4:$L$56,MATCH(C538,Settings!$K$4:$K$56,0)),"Unknown"))</f>
        <v/>
      </c>
      <c r="I538" s="8" t="str">
        <f t="shared" si="24"/>
        <v/>
      </c>
      <c r="J538" s="8" t="str">
        <f t="shared" si="25"/>
        <v/>
      </c>
      <c r="K538" s="24"/>
      <c r="L538" s="7" t="str">
        <f t="shared" si="26"/>
        <v/>
      </c>
    </row>
    <row r="539" spans="1:12" x14ac:dyDescent="0.25">
      <c r="A539" s="23"/>
      <c r="B539" s="24"/>
      <c r="C539" s="24"/>
      <c r="D539" s="24"/>
      <c r="E539" s="24"/>
      <c r="F539" s="24"/>
      <c r="G539" s="25"/>
      <c r="H539" s="16" t="str">
        <f>IF(C539="","",IFERROR(INDEX(Settings!$L$4:$L$56,MATCH(C539,Settings!$K$4:$K$56,0)),"Unknown"))</f>
        <v/>
      </c>
      <c r="I539" s="8" t="str">
        <f t="shared" si="24"/>
        <v/>
      </c>
      <c r="J539" s="8" t="str">
        <f t="shared" si="25"/>
        <v/>
      </c>
      <c r="K539" s="24"/>
      <c r="L539" s="7" t="str">
        <f t="shared" si="26"/>
        <v/>
      </c>
    </row>
    <row r="540" spans="1:12" x14ac:dyDescent="0.25">
      <c r="A540" s="23"/>
      <c r="B540" s="24"/>
      <c r="C540" s="24"/>
      <c r="D540" s="24"/>
      <c r="E540" s="24"/>
      <c r="F540" s="24"/>
      <c r="G540" s="25"/>
      <c r="H540" s="16" t="str">
        <f>IF(C540="","",IFERROR(INDEX(Settings!$L$4:$L$56,MATCH(C540,Settings!$K$4:$K$56,0)),"Unknown"))</f>
        <v/>
      </c>
      <c r="I540" s="8" t="str">
        <f t="shared" si="24"/>
        <v/>
      </c>
      <c r="J540" s="8" t="str">
        <f t="shared" si="25"/>
        <v/>
      </c>
      <c r="K540" s="24"/>
      <c r="L540" s="7" t="str">
        <f t="shared" si="26"/>
        <v/>
      </c>
    </row>
    <row r="541" spans="1:12" x14ac:dyDescent="0.25">
      <c r="A541" s="23"/>
      <c r="B541" s="24"/>
      <c r="C541" s="24"/>
      <c r="D541" s="24"/>
      <c r="E541" s="24"/>
      <c r="F541" s="24"/>
      <c r="G541" s="25"/>
      <c r="H541" s="16" t="str">
        <f>IF(C541="","",IFERROR(INDEX(Settings!$L$4:$L$56,MATCH(C541,Settings!$K$4:$K$56,0)),"Unknown"))</f>
        <v/>
      </c>
      <c r="I541" s="8" t="str">
        <f t="shared" si="24"/>
        <v/>
      </c>
      <c r="J541" s="8" t="str">
        <f t="shared" si="25"/>
        <v/>
      </c>
      <c r="K541" s="24"/>
      <c r="L541" s="7" t="str">
        <f t="shared" si="26"/>
        <v/>
      </c>
    </row>
    <row r="542" spans="1:12" x14ac:dyDescent="0.25">
      <c r="A542" s="23"/>
      <c r="B542" s="24"/>
      <c r="C542" s="24"/>
      <c r="D542" s="24"/>
      <c r="E542" s="24"/>
      <c r="F542" s="24"/>
      <c r="G542" s="25"/>
      <c r="H542" s="16" t="str">
        <f>IF(C542="","",IFERROR(INDEX(Settings!$L$4:$L$56,MATCH(C542,Settings!$K$4:$K$56,0)),"Unknown"))</f>
        <v/>
      </c>
      <c r="I542" s="8" t="str">
        <f t="shared" si="24"/>
        <v/>
      </c>
      <c r="J542" s="8" t="str">
        <f t="shared" si="25"/>
        <v/>
      </c>
      <c r="K542" s="24"/>
      <c r="L542" s="7" t="str">
        <f t="shared" si="26"/>
        <v/>
      </c>
    </row>
    <row r="543" spans="1:12" x14ac:dyDescent="0.25">
      <c r="A543" s="23"/>
      <c r="B543" s="24"/>
      <c r="C543" s="24"/>
      <c r="D543" s="24"/>
      <c r="E543" s="24"/>
      <c r="F543" s="24"/>
      <c r="G543" s="25"/>
      <c r="H543" s="16" t="str">
        <f>IF(C543="","",IFERROR(INDEX(Settings!$L$4:$L$56,MATCH(C543,Settings!$K$4:$K$56,0)),"Unknown"))</f>
        <v/>
      </c>
      <c r="I543" s="8" t="str">
        <f t="shared" si="24"/>
        <v/>
      </c>
      <c r="J543" s="8" t="str">
        <f t="shared" si="25"/>
        <v/>
      </c>
      <c r="K543" s="24"/>
      <c r="L543" s="7" t="str">
        <f t="shared" si="26"/>
        <v/>
      </c>
    </row>
    <row r="544" spans="1:12" x14ac:dyDescent="0.25">
      <c r="A544" s="23"/>
      <c r="B544" s="24"/>
      <c r="C544" s="24"/>
      <c r="D544" s="24"/>
      <c r="E544" s="24"/>
      <c r="F544" s="24"/>
      <c r="G544" s="25"/>
      <c r="H544" s="16" t="str">
        <f>IF(C544="","",IFERROR(INDEX(Settings!$L$4:$L$56,MATCH(C544,Settings!$K$4:$K$56,0)),"Unknown"))</f>
        <v/>
      </c>
      <c r="I544" s="8" t="str">
        <f t="shared" si="24"/>
        <v/>
      </c>
      <c r="J544" s="8" t="str">
        <f t="shared" si="25"/>
        <v/>
      </c>
      <c r="K544" s="24"/>
      <c r="L544" s="7" t="str">
        <f t="shared" si="26"/>
        <v/>
      </c>
    </row>
    <row r="545" spans="1:12" x14ac:dyDescent="0.25">
      <c r="A545" s="23"/>
      <c r="B545" s="24"/>
      <c r="C545" s="24"/>
      <c r="D545" s="24"/>
      <c r="E545" s="24"/>
      <c r="F545" s="24"/>
      <c r="G545" s="25"/>
      <c r="H545" s="16" t="str">
        <f>IF(C545="","",IFERROR(INDEX(Settings!$L$4:$L$56,MATCH(C545,Settings!$K$4:$K$56,0)),"Unknown"))</f>
        <v/>
      </c>
      <c r="I545" s="8" t="str">
        <f t="shared" si="24"/>
        <v/>
      </c>
      <c r="J545" s="8" t="str">
        <f t="shared" si="25"/>
        <v/>
      </c>
      <c r="K545" s="24"/>
      <c r="L545" s="7" t="str">
        <f t="shared" si="26"/>
        <v/>
      </c>
    </row>
    <row r="546" spans="1:12" x14ac:dyDescent="0.25">
      <c r="A546" s="23"/>
      <c r="B546" s="24"/>
      <c r="C546" s="24"/>
      <c r="D546" s="24"/>
      <c r="E546" s="24"/>
      <c r="F546" s="24"/>
      <c r="G546" s="25"/>
      <c r="H546" s="16" t="str">
        <f>IF(C546="","",IFERROR(INDEX(Settings!$L$4:$L$56,MATCH(C546,Settings!$K$4:$K$56,0)),"Unknown"))</f>
        <v/>
      </c>
      <c r="I546" s="8" t="str">
        <f t="shared" si="24"/>
        <v/>
      </c>
      <c r="J546" s="8" t="str">
        <f t="shared" si="25"/>
        <v/>
      </c>
      <c r="K546" s="24"/>
      <c r="L546" s="7" t="str">
        <f t="shared" si="26"/>
        <v/>
      </c>
    </row>
    <row r="547" spans="1:12" x14ac:dyDescent="0.25">
      <c r="A547" s="23"/>
      <c r="B547" s="24"/>
      <c r="C547" s="24"/>
      <c r="D547" s="24"/>
      <c r="E547" s="24"/>
      <c r="F547" s="24"/>
      <c r="G547" s="25"/>
      <c r="H547" s="16" t="str">
        <f>IF(C547="","",IFERROR(INDEX(Settings!$L$4:$L$56,MATCH(C547,Settings!$K$4:$K$56,0)),"Unknown"))</f>
        <v/>
      </c>
      <c r="I547" s="8" t="str">
        <f t="shared" si="24"/>
        <v/>
      </c>
      <c r="J547" s="8" t="str">
        <f t="shared" si="25"/>
        <v/>
      </c>
      <c r="K547" s="24"/>
      <c r="L547" s="7" t="str">
        <f t="shared" si="26"/>
        <v/>
      </c>
    </row>
    <row r="548" spans="1:12" x14ac:dyDescent="0.25">
      <c r="A548" s="23"/>
      <c r="B548" s="24"/>
      <c r="C548" s="24"/>
      <c r="D548" s="24"/>
      <c r="E548" s="24"/>
      <c r="F548" s="24"/>
      <c r="G548" s="25"/>
      <c r="H548" s="16" t="str">
        <f>IF(C548="","",IFERROR(INDEX(Settings!$L$4:$L$56,MATCH(C548,Settings!$K$4:$K$56,0)),"Unknown"))</f>
        <v/>
      </c>
      <c r="I548" s="8" t="str">
        <f t="shared" si="24"/>
        <v/>
      </c>
      <c r="J548" s="8" t="str">
        <f t="shared" si="25"/>
        <v/>
      </c>
      <c r="K548" s="24"/>
      <c r="L548" s="7" t="str">
        <f t="shared" si="26"/>
        <v/>
      </c>
    </row>
    <row r="549" spans="1:12" x14ac:dyDescent="0.25">
      <c r="A549" s="23"/>
      <c r="B549" s="24"/>
      <c r="C549" s="24"/>
      <c r="D549" s="24"/>
      <c r="E549" s="24"/>
      <c r="F549" s="24"/>
      <c r="G549" s="25"/>
      <c r="H549" s="16" t="str">
        <f>IF(C549="","",IFERROR(INDEX(Settings!$L$4:$L$56,MATCH(C549,Settings!$K$4:$K$56,0)),"Unknown"))</f>
        <v/>
      </c>
      <c r="I549" s="8" t="str">
        <f t="shared" si="24"/>
        <v/>
      </c>
      <c r="J549" s="8" t="str">
        <f t="shared" si="25"/>
        <v/>
      </c>
      <c r="K549" s="24"/>
      <c r="L549" s="7" t="str">
        <f t="shared" si="26"/>
        <v/>
      </c>
    </row>
    <row r="550" spans="1:12" x14ac:dyDescent="0.25">
      <c r="A550" s="23"/>
      <c r="B550" s="24"/>
      <c r="C550" s="24"/>
      <c r="D550" s="24"/>
      <c r="E550" s="24"/>
      <c r="F550" s="24"/>
      <c r="G550" s="25"/>
      <c r="H550" s="16" t="str">
        <f>IF(C550="","",IFERROR(INDEX(Settings!$L$4:$L$56,MATCH(C550,Settings!$K$4:$K$56,0)),"Unknown"))</f>
        <v/>
      </c>
      <c r="I550" s="8" t="str">
        <f t="shared" si="24"/>
        <v/>
      </c>
      <c r="J550" s="8" t="str">
        <f t="shared" si="25"/>
        <v/>
      </c>
      <c r="K550" s="24"/>
      <c r="L550" s="7" t="str">
        <f t="shared" si="26"/>
        <v/>
      </c>
    </row>
    <row r="551" spans="1:12" x14ac:dyDescent="0.25">
      <c r="A551" s="23"/>
      <c r="B551" s="24"/>
      <c r="C551" s="24"/>
      <c r="D551" s="24"/>
      <c r="E551" s="24"/>
      <c r="F551" s="24"/>
      <c r="G551" s="25"/>
      <c r="H551" s="16" t="str">
        <f>IF(C551="","",IFERROR(INDEX(Settings!$L$4:$L$56,MATCH(C551,Settings!$K$4:$K$56,0)),"Unknown"))</f>
        <v/>
      </c>
      <c r="I551" s="8" t="str">
        <f t="shared" si="24"/>
        <v/>
      </c>
      <c r="J551" s="8" t="str">
        <f t="shared" si="25"/>
        <v/>
      </c>
      <c r="K551" s="24"/>
      <c r="L551" s="7" t="str">
        <f t="shared" si="26"/>
        <v/>
      </c>
    </row>
    <row r="552" spans="1:12" x14ac:dyDescent="0.25">
      <c r="A552" s="23"/>
      <c r="B552" s="24"/>
      <c r="C552" s="24"/>
      <c r="D552" s="24"/>
      <c r="E552" s="24"/>
      <c r="F552" s="24"/>
      <c r="G552" s="25"/>
      <c r="H552" s="16" t="str">
        <f>IF(C552="","",IFERROR(INDEX(Settings!$L$4:$L$56,MATCH(C552,Settings!$K$4:$K$56,0)),"Unknown"))</f>
        <v/>
      </c>
      <c r="I552" s="8" t="str">
        <f t="shared" si="24"/>
        <v/>
      </c>
      <c r="J552" s="8" t="str">
        <f t="shared" si="25"/>
        <v/>
      </c>
      <c r="K552" s="24"/>
      <c r="L552" s="7" t="str">
        <f t="shared" si="26"/>
        <v/>
      </c>
    </row>
    <row r="553" spans="1:12" x14ac:dyDescent="0.25">
      <c r="A553" s="23"/>
      <c r="B553" s="24"/>
      <c r="C553" s="24"/>
      <c r="D553" s="24"/>
      <c r="E553" s="24"/>
      <c r="F553" s="24"/>
      <c r="G553" s="25"/>
      <c r="H553" s="16" t="str">
        <f>IF(C553="","",IFERROR(INDEX(Settings!$L$4:$L$56,MATCH(C553,Settings!$K$4:$K$56,0)),"Unknown"))</f>
        <v/>
      </c>
      <c r="I553" s="8" t="str">
        <f t="shared" si="24"/>
        <v/>
      </c>
      <c r="J553" s="8" t="str">
        <f t="shared" si="25"/>
        <v/>
      </c>
      <c r="K553" s="24"/>
      <c r="L553" s="7" t="str">
        <f t="shared" si="26"/>
        <v/>
      </c>
    </row>
    <row r="554" spans="1:12" x14ac:dyDescent="0.25">
      <c r="A554" s="23"/>
      <c r="B554" s="24"/>
      <c r="C554" s="24"/>
      <c r="D554" s="24"/>
      <c r="E554" s="24"/>
      <c r="F554" s="24"/>
      <c r="G554" s="25"/>
      <c r="H554" s="16" t="str">
        <f>IF(C554="","",IFERROR(INDEX(Settings!$L$4:$L$56,MATCH(C554,Settings!$K$4:$K$56,0)),"Unknown"))</f>
        <v/>
      </c>
      <c r="I554" s="8" t="str">
        <f t="shared" si="24"/>
        <v/>
      </c>
      <c r="J554" s="8" t="str">
        <f t="shared" si="25"/>
        <v/>
      </c>
      <c r="K554" s="24"/>
      <c r="L554" s="7" t="str">
        <f t="shared" si="26"/>
        <v/>
      </c>
    </row>
    <row r="555" spans="1:12" x14ac:dyDescent="0.25">
      <c r="A555" s="23"/>
      <c r="B555" s="24"/>
      <c r="C555" s="24"/>
      <c r="D555" s="24"/>
      <c r="E555" s="24"/>
      <c r="F555" s="24"/>
      <c r="G555" s="25"/>
      <c r="H555" s="16" t="str">
        <f>IF(C555="","",IFERROR(INDEX(Settings!$L$4:$L$56,MATCH(C555,Settings!$K$4:$K$56,0)),"Unknown"))</f>
        <v/>
      </c>
      <c r="I555" s="8" t="str">
        <f t="shared" si="24"/>
        <v/>
      </c>
      <c r="J555" s="8" t="str">
        <f t="shared" si="25"/>
        <v/>
      </c>
      <c r="K555" s="24"/>
      <c r="L555" s="7" t="str">
        <f t="shared" si="26"/>
        <v/>
      </c>
    </row>
    <row r="556" spans="1:12" x14ac:dyDescent="0.25">
      <c r="A556" s="23"/>
      <c r="B556" s="24"/>
      <c r="C556" s="24"/>
      <c r="D556" s="24"/>
      <c r="E556" s="24"/>
      <c r="F556" s="24"/>
      <c r="G556" s="25"/>
      <c r="H556" s="16" t="str">
        <f>IF(C556="","",IFERROR(INDEX(Settings!$L$4:$L$56,MATCH(C556,Settings!$K$4:$K$56,0)),"Unknown"))</f>
        <v/>
      </c>
      <c r="I556" s="8" t="str">
        <f t="shared" si="24"/>
        <v/>
      </c>
      <c r="J556" s="8" t="str">
        <f t="shared" si="25"/>
        <v/>
      </c>
      <c r="K556" s="24"/>
      <c r="L556" s="7" t="str">
        <f t="shared" si="26"/>
        <v/>
      </c>
    </row>
    <row r="557" spans="1:12" x14ac:dyDescent="0.25">
      <c r="A557" s="23"/>
      <c r="B557" s="24"/>
      <c r="C557" s="24"/>
      <c r="D557" s="24"/>
      <c r="E557" s="24"/>
      <c r="F557" s="24"/>
      <c r="G557" s="25"/>
      <c r="H557" s="16" t="str">
        <f>IF(C557="","",IFERROR(INDEX(Settings!$L$4:$L$56,MATCH(C557,Settings!$K$4:$K$56,0)),"Unknown"))</f>
        <v/>
      </c>
      <c r="I557" s="8" t="str">
        <f t="shared" si="24"/>
        <v/>
      </c>
      <c r="J557" s="8" t="str">
        <f t="shared" si="25"/>
        <v/>
      </c>
      <c r="K557" s="24"/>
      <c r="L557" s="7" t="str">
        <f t="shared" si="26"/>
        <v/>
      </c>
    </row>
    <row r="558" spans="1:12" x14ac:dyDescent="0.25">
      <c r="A558" s="23"/>
      <c r="B558" s="24"/>
      <c r="C558" s="24"/>
      <c r="D558" s="24"/>
      <c r="E558" s="24"/>
      <c r="F558" s="24"/>
      <c r="G558" s="25"/>
      <c r="H558" s="16" t="str">
        <f>IF(C558="","",IFERROR(INDEX(Settings!$L$4:$L$56,MATCH(C558,Settings!$K$4:$K$56,0)),"Unknown"))</f>
        <v/>
      </c>
      <c r="I558" s="8" t="str">
        <f t="shared" si="24"/>
        <v/>
      </c>
      <c r="J558" s="8" t="str">
        <f t="shared" si="25"/>
        <v/>
      </c>
      <c r="K558" s="24"/>
      <c r="L558" s="7" t="str">
        <f t="shared" si="26"/>
        <v/>
      </c>
    </row>
    <row r="559" spans="1:12" x14ac:dyDescent="0.25">
      <c r="A559" s="23"/>
      <c r="B559" s="24"/>
      <c r="C559" s="24"/>
      <c r="D559" s="24"/>
      <c r="E559" s="24"/>
      <c r="F559" s="24"/>
      <c r="G559" s="25"/>
      <c r="H559" s="16" t="str">
        <f>IF(C559="","",IFERROR(INDEX(Settings!$L$4:$L$56,MATCH(C559,Settings!$K$4:$K$56,0)),"Unknown"))</f>
        <v/>
      </c>
      <c r="I559" s="8" t="str">
        <f t="shared" si="24"/>
        <v/>
      </c>
      <c r="J559" s="8" t="str">
        <f t="shared" si="25"/>
        <v/>
      </c>
      <c r="K559" s="24"/>
      <c r="L559" s="7" t="str">
        <f t="shared" si="26"/>
        <v/>
      </c>
    </row>
    <row r="560" spans="1:12" x14ac:dyDescent="0.25">
      <c r="A560" s="23"/>
      <c r="B560" s="24"/>
      <c r="C560" s="24"/>
      <c r="D560" s="24"/>
      <c r="E560" s="24"/>
      <c r="F560" s="24"/>
      <c r="G560" s="25"/>
      <c r="H560" s="16" t="str">
        <f>IF(C560="","",IFERROR(INDEX(Settings!$L$4:$L$56,MATCH(C560,Settings!$K$4:$K$56,0)),"Unknown"))</f>
        <v/>
      </c>
      <c r="I560" s="8" t="str">
        <f t="shared" si="24"/>
        <v/>
      </c>
      <c r="J560" s="8" t="str">
        <f t="shared" si="25"/>
        <v/>
      </c>
      <c r="K560" s="24"/>
      <c r="L560" s="7" t="str">
        <f t="shared" si="26"/>
        <v/>
      </c>
    </row>
    <row r="561" spans="1:12" x14ac:dyDescent="0.25">
      <c r="A561" s="23"/>
      <c r="B561" s="24"/>
      <c r="C561" s="24"/>
      <c r="D561" s="24"/>
      <c r="E561" s="24"/>
      <c r="F561" s="24"/>
      <c r="G561" s="25"/>
      <c r="H561" s="16" t="str">
        <f>IF(C561="","",IFERROR(INDEX(Settings!$L$4:$L$56,MATCH(C561,Settings!$K$4:$K$56,0)),"Unknown"))</f>
        <v/>
      </c>
      <c r="I561" s="8" t="str">
        <f t="shared" si="24"/>
        <v/>
      </c>
      <c r="J561" s="8" t="str">
        <f t="shared" si="25"/>
        <v/>
      </c>
      <c r="K561" s="24"/>
      <c r="L561" s="7" t="str">
        <f t="shared" si="26"/>
        <v/>
      </c>
    </row>
    <row r="562" spans="1:12" x14ac:dyDescent="0.25">
      <c r="A562" s="23"/>
      <c r="B562" s="24"/>
      <c r="C562" s="24"/>
      <c r="D562" s="24"/>
      <c r="E562" s="24"/>
      <c r="F562" s="24"/>
      <c r="G562" s="25"/>
      <c r="H562" s="16" t="str">
        <f>IF(C562="","",IFERROR(INDEX(Settings!$L$4:$L$56,MATCH(C562,Settings!$K$4:$K$56,0)),"Unknown"))</f>
        <v/>
      </c>
      <c r="I562" s="8" t="str">
        <f t="shared" si="24"/>
        <v/>
      </c>
      <c r="J562" s="8" t="str">
        <f t="shared" si="25"/>
        <v/>
      </c>
      <c r="K562" s="24"/>
      <c r="L562" s="7" t="str">
        <f t="shared" si="26"/>
        <v/>
      </c>
    </row>
    <row r="563" spans="1:12" x14ac:dyDescent="0.25">
      <c r="A563" s="23"/>
      <c r="B563" s="24"/>
      <c r="C563" s="24"/>
      <c r="D563" s="24"/>
      <c r="E563" s="24"/>
      <c r="F563" s="24"/>
      <c r="G563" s="25"/>
      <c r="H563" s="16" t="str">
        <f>IF(C563="","",IFERROR(INDEX(Settings!$L$4:$L$56,MATCH(C563,Settings!$K$4:$K$56,0)),"Unknown"))</f>
        <v/>
      </c>
      <c r="I563" s="8" t="str">
        <f t="shared" si="24"/>
        <v/>
      </c>
      <c r="J563" s="8" t="str">
        <f t="shared" si="25"/>
        <v/>
      </c>
      <c r="K563" s="24"/>
      <c r="L563" s="7" t="str">
        <f t="shared" si="26"/>
        <v/>
      </c>
    </row>
    <row r="564" spans="1:12" x14ac:dyDescent="0.25">
      <c r="A564" s="23"/>
      <c r="B564" s="24"/>
      <c r="C564" s="24"/>
      <c r="D564" s="24"/>
      <c r="E564" s="24"/>
      <c r="F564" s="24"/>
      <c r="G564" s="25"/>
      <c r="H564" s="16" t="str">
        <f>IF(C564="","",IFERROR(INDEX(Settings!$L$4:$L$56,MATCH(C564,Settings!$K$4:$K$56,0)),"Unknown"))</f>
        <v/>
      </c>
      <c r="I564" s="8" t="str">
        <f t="shared" si="24"/>
        <v/>
      </c>
      <c r="J564" s="8" t="str">
        <f t="shared" si="25"/>
        <v/>
      </c>
      <c r="K564" s="24"/>
      <c r="L564" s="7" t="str">
        <f t="shared" si="26"/>
        <v/>
      </c>
    </row>
    <row r="565" spans="1:12" x14ac:dyDescent="0.25">
      <c r="A565" s="23"/>
      <c r="B565" s="24"/>
      <c r="C565" s="24"/>
      <c r="D565" s="24"/>
      <c r="E565" s="24"/>
      <c r="F565" s="24"/>
      <c r="G565" s="25"/>
      <c r="H565" s="16" t="str">
        <f>IF(C565="","",IFERROR(INDEX(Settings!$L$4:$L$56,MATCH(C565,Settings!$K$4:$K$56,0)),"Unknown"))</f>
        <v/>
      </c>
      <c r="I565" s="8" t="str">
        <f t="shared" si="24"/>
        <v/>
      </c>
      <c r="J565" s="8" t="str">
        <f t="shared" si="25"/>
        <v/>
      </c>
      <c r="K565" s="24"/>
      <c r="L565" s="7" t="str">
        <f t="shared" si="26"/>
        <v/>
      </c>
    </row>
    <row r="566" spans="1:12" x14ac:dyDescent="0.25">
      <c r="A566" s="23"/>
      <c r="B566" s="24"/>
      <c r="C566" s="24"/>
      <c r="D566" s="24"/>
      <c r="E566" s="24"/>
      <c r="F566" s="24"/>
      <c r="G566" s="25"/>
      <c r="H566" s="16" t="str">
        <f>IF(C566="","",IFERROR(INDEX(Settings!$L$4:$L$56,MATCH(C566,Settings!$K$4:$K$56,0)),"Unknown"))</f>
        <v/>
      </c>
      <c r="I566" s="8" t="str">
        <f t="shared" si="24"/>
        <v/>
      </c>
      <c r="J566" s="8" t="str">
        <f t="shared" si="25"/>
        <v/>
      </c>
      <c r="K566" s="24"/>
      <c r="L566" s="7" t="str">
        <f t="shared" si="26"/>
        <v/>
      </c>
    </row>
    <row r="567" spans="1:12" x14ac:dyDescent="0.25">
      <c r="A567" s="23"/>
      <c r="B567" s="24"/>
      <c r="C567" s="24"/>
      <c r="D567" s="24"/>
      <c r="E567" s="24"/>
      <c r="F567" s="24"/>
      <c r="G567" s="25"/>
      <c r="H567" s="16" t="str">
        <f>IF(C567="","",IFERROR(INDEX(Settings!$L$4:$L$56,MATCH(C567,Settings!$K$4:$K$56,0)),"Unknown"))</f>
        <v/>
      </c>
      <c r="I567" s="8" t="str">
        <f t="shared" si="24"/>
        <v/>
      </c>
      <c r="J567" s="8" t="str">
        <f t="shared" si="25"/>
        <v/>
      </c>
      <c r="K567" s="24"/>
      <c r="L567" s="7" t="str">
        <f t="shared" si="26"/>
        <v/>
      </c>
    </row>
    <row r="568" spans="1:12" x14ac:dyDescent="0.25">
      <c r="A568" s="23"/>
      <c r="B568" s="24"/>
      <c r="C568" s="24"/>
      <c r="D568" s="24"/>
      <c r="E568" s="24"/>
      <c r="F568" s="24"/>
      <c r="G568" s="25"/>
      <c r="H568" s="16" t="str">
        <f>IF(C568="","",IFERROR(INDEX(Settings!$L$4:$L$56,MATCH(C568,Settings!$K$4:$K$56,0)),"Unknown"))</f>
        <v/>
      </c>
      <c r="I568" s="8" t="str">
        <f t="shared" si="24"/>
        <v/>
      </c>
      <c r="J568" s="8" t="str">
        <f t="shared" si="25"/>
        <v/>
      </c>
      <c r="K568" s="24"/>
      <c r="L568" s="7" t="str">
        <f t="shared" si="26"/>
        <v/>
      </c>
    </row>
    <row r="569" spans="1:12" x14ac:dyDescent="0.25">
      <c r="A569" s="23"/>
      <c r="B569" s="24"/>
      <c r="C569" s="24"/>
      <c r="D569" s="24"/>
      <c r="E569" s="24"/>
      <c r="F569" s="24"/>
      <c r="G569" s="25"/>
      <c r="H569" s="16" t="str">
        <f>IF(C569="","",IFERROR(INDEX(Settings!$L$4:$L$56,MATCH(C569,Settings!$K$4:$K$56,0)),"Unknown"))</f>
        <v/>
      </c>
      <c r="I569" s="8" t="str">
        <f t="shared" si="24"/>
        <v/>
      </c>
      <c r="J569" s="8" t="str">
        <f t="shared" si="25"/>
        <v/>
      </c>
      <c r="K569" s="24"/>
      <c r="L569" s="7" t="str">
        <f t="shared" si="26"/>
        <v/>
      </c>
    </row>
    <row r="570" spans="1:12" x14ac:dyDescent="0.25">
      <c r="A570" s="23"/>
      <c r="B570" s="24"/>
      <c r="C570" s="24"/>
      <c r="D570" s="24"/>
      <c r="E570" s="24"/>
      <c r="F570" s="24"/>
      <c r="G570" s="25"/>
      <c r="H570" s="16" t="str">
        <f>IF(C570="","",IFERROR(INDEX(Settings!$L$4:$L$56,MATCH(C570,Settings!$K$4:$K$56,0)),"Unknown"))</f>
        <v/>
      </c>
      <c r="I570" s="8" t="str">
        <f t="shared" si="24"/>
        <v/>
      </c>
      <c r="J570" s="8" t="str">
        <f t="shared" si="25"/>
        <v/>
      </c>
      <c r="K570" s="24"/>
      <c r="L570" s="7" t="str">
        <f t="shared" si="26"/>
        <v/>
      </c>
    </row>
    <row r="571" spans="1:12" x14ac:dyDescent="0.25">
      <c r="A571" s="23"/>
      <c r="B571" s="24"/>
      <c r="C571" s="24"/>
      <c r="D571" s="24"/>
      <c r="E571" s="24"/>
      <c r="F571" s="24"/>
      <c r="G571" s="25"/>
      <c r="H571" s="16" t="str">
        <f>IF(C571="","",IFERROR(INDEX(Settings!$L$4:$L$56,MATCH(C571,Settings!$K$4:$K$56,0)),"Unknown"))</f>
        <v/>
      </c>
      <c r="I571" s="8" t="str">
        <f t="shared" si="24"/>
        <v/>
      </c>
      <c r="J571" s="8" t="str">
        <f t="shared" si="25"/>
        <v/>
      </c>
      <c r="K571" s="24"/>
      <c r="L571" s="7" t="str">
        <f t="shared" si="26"/>
        <v/>
      </c>
    </row>
    <row r="572" spans="1:12" x14ac:dyDescent="0.25">
      <c r="A572" s="23"/>
      <c r="B572" s="24"/>
      <c r="C572" s="24"/>
      <c r="D572" s="24"/>
      <c r="E572" s="24"/>
      <c r="F572" s="24"/>
      <c r="G572" s="25"/>
      <c r="H572" s="16" t="str">
        <f>IF(C572="","",IFERROR(INDEX(Settings!$L$4:$L$56,MATCH(C572,Settings!$K$4:$K$56,0)),"Unknown"))</f>
        <v/>
      </c>
      <c r="I572" s="8" t="str">
        <f t="shared" si="24"/>
        <v/>
      </c>
      <c r="J572" s="8" t="str">
        <f t="shared" si="25"/>
        <v/>
      </c>
      <c r="K572" s="24"/>
      <c r="L572" s="7" t="str">
        <f t="shared" si="26"/>
        <v/>
      </c>
    </row>
    <row r="573" spans="1:12" x14ac:dyDescent="0.25">
      <c r="A573" s="23"/>
      <c r="B573" s="24"/>
      <c r="C573" s="24"/>
      <c r="D573" s="24"/>
      <c r="E573" s="24"/>
      <c r="F573" s="24"/>
      <c r="G573" s="25"/>
      <c r="H573" s="16" t="str">
        <f>IF(C573="","",IFERROR(INDEX(Settings!$L$4:$L$56,MATCH(C573,Settings!$K$4:$K$56,0)),"Unknown"))</f>
        <v/>
      </c>
      <c r="I573" s="8" t="str">
        <f t="shared" si="24"/>
        <v/>
      </c>
      <c r="J573" s="8" t="str">
        <f t="shared" si="25"/>
        <v/>
      </c>
      <c r="K573" s="24"/>
      <c r="L573" s="7" t="str">
        <f t="shared" si="26"/>
        <v/>
      </c>
    </row>
    <row r="574" spans="1:12" x14ac:dyDescent="0.25">
      <c r="A574" s="23"/>
      <c r="B574" s="24"/>
      <c r="C574" s="24"/>
      <c r="D574" s="24"/>
      <c r="E574" s="24"/>
      <c r="F574" s="24"/>
      <c r="G574" s="25"/>
      <c r="H574" s="16" t="str">
        <f>IF(C574="","",IFERROR(INDEX(Settings!$L$4:$L$56,MATCH(C574,Settings!$K$4:$K$56,0)),"Unknown"))</f>
        <v/>
      </c>
      <c r="I574" s="8" t="str">
        <f t="shared" si="24"/>
        <v/>
      </c>
      <c r="J574" s="8" t="str">
        <f t="shared" si="25"/>
        <v/>
      </c>
      <c r="K574" s="24"/>
      <c r="L574" s="7" t="str">
        <f t="shared" si="26"/>
        <v/>
      </c>
    </row>
    <row r="575" spans="1:12" x14ac:dyDescent="0.25">
      <c r="A575" s="23"/>
      <c r="B575" s="24"/>
      <c r="C575" s="24"/>
      <c r="D575" s="24"/>
      <c r="E575" s="24"/>
      <c r="F575" s="24"/>
      <c r="G575" s="25"/>
      <c r="H575" s="16" t="str">
        <f>IF(C575="","",IFERROR(INDEX(Settings!$L$4:$L$56,MATCH(C575,Settings!$K$4:$K$56,0)),"Unknown"))</f>
        <v/>
      </c>
      <c r="I575" s="8" t="str">
        <f t="shared" si="24"/>
        <v/>
      </c>
      <c r="J575" s="8" t="str">
        <f t="shared" si="25"/>
        <v/>
      </c>
      <c r="K575" s="24"/>
      <c r="L575" s="7" t="str">
        <f t="shared" si="26"/>
        <v/>
      </c>
    </row>
    <row r="576" spans="1:12" x14ac:dyDescent="0.25">
      <c r="A576" s="23"/>
      <c r="B576" s="24"/>
      <c r="C576" s="24"/>
      <c r="D576" s="24"/>
      <c r="E576" s="24"/>
      <c r="F576" s="24"/>
      <c r="G576" s="25"/>
      <c r="H576" s="16" t="str">
        <f>IF(C576="","",IFERROR(INDEX(Settings!$L$4:$L$56,MATCH(C576,Settings!$K$4:$K$56,0)),"Unknown"))</f>
        <v/>
      </c>
      <c r="I576" s="8" t="str">
        <f t="shared" si="24"/>
        <v/>
      </c>
      <c r="J576" s="8" t="str">
        <f t="shared" si="25"/>
        <v/>
      </c>
      <c r="K576" s="24"/>
      <c r="L576" s="7" t="str">
        <f t="shared" si="26"/>
        <v/>
      </c>
    </row>
    <row r="577" spans="1:12" x14ac:dyDescent="0.25">
      <c r="A577" s="23"/>
      <c r="B577" s="24"/>
      <c r="C577" s="24"/>
      <c r="D577" s="24"/>
      <c r="E577" s="24"/>
      <c r="F577" s="24"/>
      <c r="G577" s="25"/>
      <c r="H577" s="16" t="str">
        <f>IF(C577="","",IFERROR(INDEX(Settings!$L$4:$L$56,MATCH(C577,Settings!$K$4:$K$56,0)),"Unknown"))</f>
        <v/>
      </c>
      <c r="I577" s="8" t="str">
        <f t="shared" si="24"/>
        <v/>
      </c>
      <c r="J577" s="8" t="str">
        <f t="shared" si="25"/>
        <v/>
      </c>
      <c r="K577" s="24"/>
      <c r="L577" s="7" t="str">
        <f t="shared" si="26"/>
        <v/>
      </c>
    </row>
    <row r="578" spans="1:12" x14ac:dyDescent="0.25">
      <c r="A578" s="23"/>
      <c r="B578" s="24"/>
      <c r="C578" s="24"/>
      <c r="D578" s="24"/>
      <c r="E578" s="24"/>
      <c r="F578" s="24"/>
      <c r="G578" s="25"/>
      <c r="H578" s="16" t="str">
        <f>IF(C578="","",IFERROR(INDEX(Settings!$L$4:$L$56,MATCH(C578,Settings!$K$4:$K$56,0)),"Unknown"))</f>
        <v/>
      </c>
      <c r="I578" s="8" t="str">
        <f t="shared" si="24"/>
        <v/>
      </c>
      <c r="J578" s="8" t="str">
        <f t="shared" si="25"/>
        <v/>
      </c>
      <c r="K578" s="24"/>
      <c r="L578" s="7" t="str">
        <f t="shared" si="26"/>
        <v/>
      </c>
    </row>
    <row r="579" spans="1:12" x14ac:dyDescent="0.25">
      <c r="A579" s="23"/>
      <c r="B579" s="24"/>
      <c r="C579" s="24"/>
      <c r="D579" s="24"/>
      <c r="E579" s="24"/>
      <c r="F579" s="24"/>
      <c r="G579" s="25"/>
      <c r="H579" s="16" t="str">
        <f>IF(C579="","",IFERROR(INDEX(Settings!$L$4:$L$56,MATCH(C579,Settings!$K$4:$K$56,0)),"Unknown"))</f>
        <v/>
      </c>
      <c r="I579" s="8" t="str">
        <f t="shared" si="24"/>
        <v/>
      </c>
      <c r="J579" s="8" t="str">
        <f t="shared" si="25"/>
        <v/>
      </c>
      <c r="K579" s="24"/>
      <c r="L579" s="7" t="str">
        <f t="shared" si="26"/>
        <v/>
      </c>
    </row>
    <row r="580" spans="1:12" x14ac:dyDescent="0.25">
      <c r="A580" s="23"/>
      <c r="B580" s="24"/>
      <c r="C580" s="24"/>
      <c r="D580" s="24"/>
      <c r="E580" s="24"/>
      <c r="F580" s="24"/>
      <c r="G580" s="25"/>
      <c r="H580" s="16" t="str">
        <f>IF(C580="","",IFERROR(INDEX(Settings!$L$4:$L$56,MATCH(C580,Settings!$K$4:$K$56,0)),"Unknown"))</f>
        <v/>
      </c>
      <c r="I580" s="8" t="str">
        <f t="shared" si="24"/>
        <v/>
      </c>
      <c r="J580" s="8" t="str">
        <f t="shared" si="25"/>
        <v/>
      </c>
      <c r="K580" s="24"/>
      <c r="L580" s="7" t="str">
        <f t="shared" si="26"/>
        <v/>
      </c>
    </row>
    <row r="581" spans="1:12" x14ac:dyDescent="0.25">
      <c r="A581" s="23"/>
      <c r="B581" s="24"/>
      <c r="C581" s="24"/>
      <c r="D581" s="24"/>
      <c r="E581" s="24"/>
      <c r="F581" s="24"/>
      <c r="G581" s="25"/>
      <c r="H581" s="16" t="str">
        <f>IF(C581="","",IFERROR(INDEX(Settings!$L$4:$L$56,MATCH(C581,Settings!$K$4:$K$56,0)),"Unknown"))</f>
        <v/>
      </c>
      <c r="I581" s="8" t="str">
        <f t="shared" si="24"/>
        <v/>
      </c>
      <c r="J581" s="8" t="str">
        <f t="shared" si="25"/>
        <v/>
      </c>
      <c r="K581" s="24"/>
      <c r="L581" s="7" t="str">
        <f t="shared" si="26"/>
        <v/>
      </c>
    </row>
    <row r="582" spans="1:12" x14ac:dyDescent="0.25">
      <c r="A582" s="23"/>
      <c r="B582" s="24"/>
      <c r="C582" s="24"/>
      <c r="D582" s="24"/>
      <c r="E582" s="24"/>
      <c r="F582" s="24"/>
      <c r="G582" s="25"/>
      <c r="H582" s="16" t="str">
        <f>IF(C582="","",IFERROR(INDEX(Settings!$L$4:$L$56,MATCH(C582,Settings!$K$4:$K$56,0)),"Unknown"))</f>
        <v/>
      </c>
      <c r="I582" s="8" t="str">
        <f t="shared" ref="I582:I645" si="27">IF(A582="","",MONTH(A582))</f>
        <v/>
      </c>
      <c r="J582" s="8" t="str">
        <f t="shared" ref="J582:J645" si="28">IF(A582="","",YEAR(A582))</f>
        <v/>
      </c>
      <c r="K582" s="24"/>
      <c r="L582" s="7" t="str">
        <f t="shared" ref="L582:L645" si="29">IF(OR(B582="",C582=""),"",IF(AND(B582="Income",H582&lt;&gt;"Income"),"Category is not an Income category",IF(AND(B582="Expense",H582="Income"),"Category is an Income category","OK")))</f>
        <v/>
      </c>
    </row>
    <row r="583" spans="1:12" x14ac:dyDescent="0.25">
      <c r="A583" s="23"/>
      <c r="B583" s="24"/>
      <c r="C583" s="24"/>
      <c r="D583" s="24"/>
      <c r="E583" s="24"/>
      <c r="F583" s="24"/>
      <c r="G583" s="25"/>
      <c r="H583" s="16" t="str">
        <f>IF(C583="","",IFERROR(INDEX(Settings!$L$4:$L$56,MATCH(C583,Settings!$K$4:$K$56,0)),"Unknown"))</f>
        <v/>
      </c>
      <c r="I583" s="8" t="str">
        <f t="shared" si="27"/>
        <v/>
      </c>
      <c r="J583" s="8" t="str">
        <f t="shared" si="28"/>
        <v/>
      </c>
      <c r="K583" s="24"/>
      <c r="L583" s="7" t="str">
        <f t="shared" si="29"/>
        <v/>
      </c>
    </row>
    <row r="584" spans="1:12" x14ac:dyDescent="0.25">
      <c r="A584" s="23"/>
      <c r="B584" s="24"/>
      <c r="C584" s="24"/>
      <c r="D584" s="24"/>
      <c r="E584" s="24"/>
      <c r="F584" s="24"/>
      <c r="G584" s="25"/>
      <c r="H584" s="16" t="str">
        <f>IF(C584="","",IFERROR(INDEX(Settings!$L$4:$L$56,MATCH(C584,Settings!$K$4:$K$56,0)),"Unknown"))</f>
        <v/>
      </c>
      <c r="I584" s="8" t="str">
        <f t="shared" si="27"/>
        <v/>
      </c>
      <c r="J584" s="8" t="str">
        <f t="shared" si="28"/>
        <v/>
      </c>
      <c r="K584" s="24"/>
      <c r="L584" s="7" t="str">
        <f t="shared" si="29"/>
        <v/>
      </c>
    </row>
    <row r="585" spans="1:12" x14ac:dyDescent="0.25">
      <c r="A585" s="23"/>
      <c r="B585" s="24"/>
      <c r="C585" s="24"/>
      <c r="D585" s="24"/>
      <c r="E585" s="24"/>
      <c r="F585" s="24"/>
      <c r="G585" s="25"/>
      <c r="H585" s="16" t="str">
        <f>IF(C585="","",IFERROR(INDEX(Settings!$L$4:$L$56,MATCH(C585,Settings!$K$4:$K$56,0)),"Unknown"))</f>
        <v/>
      </c>
      <c r="I585" s="8" t="str">
        <f t="shared" si="27"/>
        <v/>
      </c>
      <c r="J585" s="8" t="str">
        <f t="shared" si="28"/>
        <v/>
      </c>
      <c r="K585" s="24"/>
      <c r="L585" s="7" t="str">
        <f t="shared" si="29"/>
        <v/>
      </c>
    </row>
    <row r="586" spans="1:12" x14ac:dyDescent="0.25">
      <c r="A586" s="23"/>
      <c r="B586" s="24"/>
      <c r="C586" s="24"/>
      <c r="D586" s="24"/>
      <c r="E586" s="24"/>
      <c r="F586" s="24"/>
      <c r="G586" s="25"/>
      <c r="H586" s="16" t="str">
        <f>IF(C586="","",IFERROR(INDEX(Settings!$L$4:$L$56,MATCH(C586,Settings!$K$4:$K$56,0)),"Unknown"))</f>
        <v/>
      </c>
      <c r="I586" s="8" t="str">
        <f t="shared" si="27"/>
        <v/>
      </c>
      <c r="J586" s="8" t="str">
        <f t="shared" si="28"/>
        <v/>
      </c>
      <c r="K586" s="24"/>
      <c r="L586" s="7" t="str">
        <f t="shared" si="29"/>
        <v/>
      </c>
    </row>
    <row r="587" spans="1:12" x14ac:dyDescent="0.25">
      <c r="A587" s="23"/>
      <c r="B587" s="24"/>
      <c r="C587" s="24"/>
      <c r="D587" s="24"/>
      <c r="E587" s="24"/>
      <c r="F587" s="24"/>
      <c r="G587" s="25"/>
      <c r="H587" s="16" t="str">
        <f>IF(C587="","",IFERROR(INDEX(Settings!$L$4:$L$56,MATCH(C587,Settings!$K$4:$K$56,0)),"Unknown"))</f>
        <v/>
      </c>
      <c r="I587" s="8" t="str">
        <f t="shared" si="27"/>
        <v/>
      </c>
      <c r="J587" s="8" t="str">
        <f t="shared" si="28"/>
        <v/>
      </c>
      <c r="K587" s="24"/>
      <c r="L587" s="7" t="str">
        <f t="shared" si="29"/>
        <v/>
      </c>
    </row>
    <row r="588" spans="1:12" x14ac:dyDescent="0.25">
      <c r="A588" s="23"/>
      <c r="B588" s="24"/>
      <c r="C588" s="24"/>
      <c r="D588" s="24"/>
      <c r="E588" s="24"/>
      <c r="F588" s="24"/>
      <c r="G588" s="25"/>
      <c r="H588" s="16" t="str">
        <f>IF(C588="","",IFERROR(INDEX(Settings!$L$4:$L$56,MATCH(C588,Settings!$K$4:$K$56,0)),"Unknown"))</f>
        <v/>
      </c>
      <c r="I588" s="8" t="str">
        <f t="shared" si="27"/>
        <v/>
      </c>
      <c r="J588" s="8" t="str">
        <f t="shared" si="28"/>
        <v/>
      </c>
      <c r="K588" s="24"/>
      <c r="L588" s="7" t="str">
        <f t="shared" si="29"/>
        <v/>
      </c>
    </row>
    <row r="589" spans="1:12" x14ac:dyDescent="0.25">
      <c r="A589" s="23"/>
      <c r="B589" s="24"/>
      <c r="C589" s="24"/>
      <c r="D589" s="24"/>
      <c r="E589" s="24"/>
      <c r="F589" s="24"/>
      <c r="G589" s="25"/>
      <c r="H589" s="16" t="str">
        <f>IF(C589="","",IFERROR(INDEX(Settings!$L$4:$L$56,MATCH(C589,Settings!$K$4:$K$56,0)),"Unknown"))</f>
        <v/>
      </c>
      <c r="I589" s="8" t="str">
        <f t="shared" si="27"/>
        <v/>
      </c>
      <c r="J589" s="8" t="str">
        <f t="shared" si="28"/>
        <v/>
      </c>
      <c r="K589" s="24"/>
      <c r="L589" s="7" t="str">
        <f t="shared" si="29"/>
        <v/>
      </c>
    </row>
    <row r="590" spans="1:12" x14ac:dyDescent="0.25">
      <c r="A590" s="23"/>
      <c r="B590" s="24"/>
      <c r="C590" s="24"/>
      <c r="D590" s="24"/>
      <c r="E590" s="24"/>
      <c r="F590" s="24"/>
      <c r="G590" s="25"/>
      <c r="H590" s="16" t="str">
        <f>IF(C590="","",IFERROR(INDEX(Settings!$L$4:$L$56,MATCH(C590,Settings!$K$4:$K$56,0)),"Unknown"))</f>
        <v/>
      </c>
      <c r="I590" s="8" t="str">
        <f t="shared" si="27"/>
        <v/>
      </c>
      <c r="J590" s="8" t="str">
        <f t="shared" si="28"/>
        <v/>
      </c>
      <c r="K590" s="24"/>
      <c r="L590" s="7" t="str">
        <f t="shared" si="29"/>
        <v/>
      </c>
    </row>
    <row r="591" spans="1:12" x14ac:dyDescent="0.25">
      <c r="A591" s="23"/>
      <c r="B591" s="24"/>
      <c r="C591" s="24"/>
      <c r="D591" s="24"/>
      <c r="E591" s="24"/>
      <c r="F591" s="24"/>
      <c r="G591" s="25"/>
      <c r="H591" s="16" t="str">
        <f>IF(C591="","",IFERROR(INDEX(Settings!$L$4:$L$56,MATCH(C591,Settings!$K$4:$K$56,0)),"Unknown"))</f>
        <v/>
      </c>
      <c r="I591" s="8" t="str">
        <f t="shared" si="27"/>
        <v/>
      </c>
      <c r="J591" s="8" t="str">
        <f t="shared" si="28"/>
        <v/>
      </c>
      <c r="K591" s="24"/>
      <c r="L591" s="7" t="str">
        <f t="shared" si="29"/>
        <v/>
      </c>
    </row>
    <row r="592" spans="1:12" x14ac:dyDescent="0.25">
      <c r="A592" s="23"/>
      <c r="B592" s="24"/>
      <c r="C592" s="24"/>
      <c r="D592" s="24"/>
      <c r="E592" s="24"/>
      <c r="F592" s="24"/>
      <c r="G592" s="25"/>
      <c r="H592" s="16" t="str">
        <f>IF(C592="","",IFERROR(INDEX(Settings!$L$4:$L$56,MATCH(C592,Settings!$K$4:$K$56,0)),"Unknown"))</f>
        <v/>
      </c>
      <c r="I592" s="8" t="str">
        <f t="shared" si="27"/>
        <v/>
      </c>
      <c r="J592" s="8" t="str">
        <f t="shared" si="28"/>
        <v/>
      </c>
      <c r="K592" s="24"/>
      <c r="L592" s="7" t="str">
        <f t="shared" si="29"/>
        <v/>
      </c>
    </row>
    <row r="593" spans="1:12" x14ac:dyDescent="0.25">
      <c r="A593" s="23"/>
      <c r="B593" s="24"/>
      <c r="C593" s="24"/>
      <c r="D593" s="24"/>
      <c r="E593" s="24"/>
      <c r="F593" s="24"/>
      <c r="G593" s="25"/>
      <c r="H593" s="16" t="str">
        <f>IF(C593="","",IFERROR(INDEX(Settings!$L$4:$L$56,MATCH(C593,Settings!$K$4:$K$56,0)),"Unknown"))</f>
        <v/>
      </c>
      <c r="I593" s="8" t="str">
        <f t="shared" si="27"/>
        <v/>
      </c>
      <c r="J593" s="8" t="str">
        <f t="shared" si="28"/>
        <v/>
      </c>
      <c r="K593" s="24"/>
      <c r="L593" s="7" t="str">
        <f t="shared" si="29"/>
        <v/>
      </c>
    </row>
    <row r="594" spans="1:12" x14ac:dyDescent="0.25">
      <c r="A594" s="23"/>
      <c r="B594" s="24"/>
      <c r="C594" s="24"/>
      <c r="D594" s="24"/>
      <c r="E594" s="24"/>
      <c r="F594" s="24"/>
      <c r="G594" s="25"/>
      <c r="H594" s="16" t="str">
        <f>IF(C594="","",IFERROR(INDEX(Settings!$L$4:$L$56,MATCH(C594,Settings!$K$4:$K$56,0)),"Unknown"))</f>
        <v/>
      </c>
      <c r="I594" s="8" t="str">
        <f t="shared" si="27"/>
        <v/>
      </c>
      <c r="J594" s="8" t="str">
        <f t="shared" si="28"/>
        <v/>
      </c>
      <c r="K594" s="24"/>
      <c r="L594" s="7" t="str">
        <f t="shared" si="29"/>
        <v/>
      </c>
    </row>
    <row r="595" spans="1:12" x14ac:dyDescent="0.25">
      <c r="A595" s="23"/>
      <c r="B595" s="24"/>
      <c r="C595" s="24"/>
      <c r="D595" s="24"/>
      <c r="E595" s="24"/>
      <c r="F595" s="24"/>
      <c r="G595" s="25"/>
      <c r="H595" s="16" t="str">
        <f>IF(C595="","",IFERROR(INDEX(Settings!$L$4:$L$56,MATCH(C595,Settings!$K$4:$K$56,0)),"Unknown"))</f>
        <v/>
      </c>
      <c r="I595" s="8" t="str">
        <f t="shared" si="27"/>
        <v/>
      </c>
      <c r="J595" s="8" t="str">
        <f t="shared" si="28"/>
        <v/>
      </c>
      <c r="K595" s="24"/>
      <c r="L595" s="7" t="str">
        <f t="shared" si="29"/>
        <v/>
      </c>
    </row>
    <row r="596" spans="1:12" x14ac:dyDescent="0.25">
      <c r="A596" s="23"/>
      <c r="B596" s="24"/>
      <c r="C596" s="24"/>
      <c r="D596" s="24"/>
      <c r="E596" s="24"/>
      <c r="F596" s="24"/>
      <c r="G596" s="25"/>
      <c r="H596" s="16" t="str">
        <f>IF(C596="","",IFERROR(INDEX(Settings!$L$4:$L$56,MATCH(C596,Settings!$K$4:$K$56,0)),"Unknown"))</f>
        <v/>
      </c>
      <c r="I596" s="8" t="str">
        <f t="shared" si="27"/>
        <v/>
      </c>
      <c r="J596" s="8" t="str">
        <f t="shared" si="28"/>
        <v/>
      </c>
      <c r="K596" s="24"/>
      <c r="L596" s="7" t="str">
        <f t="shared" si="29"/>
        <v/>
      </c>
    </row>
    <row r="597" spans="1:12" x14ac:dyDescent="0.25">
      <c r="A597" s="23"/>
      <c r="B597" s="24"/>
      <c r="C597" s="24"/>
      <c r="D597" s="24"/>
      <c r="E597" s="24"/>
      <c r="F597" s="24"/>
      <c r="G597" s="25"/>
      <c r="H597" s="16" t="str">
        <f>IF(C597="","",IFERROR(INDEX(Settings!$L$4:$L$56,MATCH(C597,Settings!$K$4:$K$56,0)),"Unknown"))</f>
        <v/>
      </c>
      <c r="I597" s="8" t="str">
        <f t="shared" si="27"/>
        <v/>
      </c>
      <c r="J597" s="8" t="str">
        <f t="shared" si="28"/>
        <v/>
      </c>
      <c r="K597" s="24"/>
      <c r="L597" s="7" t="str">
        <f t="shared" si="29"/>
        <v/>
      </c>
    </row>
    <row r="598" spans="1:12" x14ac:dyDescent="0.25">
      <c r="A598" s="23"/>
      <c r="B598" s="24"/>
      <c r="C598" s="24"/>
      <c r="D598" s="24"/>
      <c r="E598" s="24"/>
      <c r="F598" s="24"/>
      <c r="G598" s="25"/>
      <c r="H598" s="16" t="str">
        <f>IF(C598="","",IFERROR(INDEX(Settings!$L$4:$L$56,MATCH(C598,Settings!$K$4:$K$56,0)),"Unknown"))</f>
        <v/>
      </c>
      <c r="I598" s="8" t="str">
        <f t="shared" si="27"/>
        <v/>
      </c>
      <c r="J598" s="8" t="str">
        <f t="shared" si="28"/>
        <v/>
      </c>
      <c r="K598" s="24"/>
      <c r="L598" s="7" t="str">
        <f t="shared" si="29"/>
        <v/>
      </c>
    </row>
    <row r="599" spans="1:12" x14ac:dyDescent="0.25">
      <c r="A599" s="23"/>
      <c r="B599" s="24"/>
      <c r="C599" s="24"/>
      <c r="D599" s="24"/>
      <c r="E599" s="24"/>
      <c r="F599" s="24"/>
      <c r="G599" s="25"/>
      <c r="H599" s="16" t="str">
        <f>IF(C599="","",IFERROR(INDEX(Settings!$L$4:$L$56,MATCH(C599,Settings!$K$4:$K$56,0)),"Unknown"))</f>
        <v/>
      </c>
      <c r="I599" s="8" t="str">
        <f t="shared" si="27"/>
        <v/>
      </c>
      <c r="J599" s="8" t="str">
        <f t="shared" si="28"/>
        <v/>
      </c>
      <c r="K599" s="24"/>
      <c r="L599" s="7" t="str">
        <f t="shared" si="29"/>
        <v/>
      </c>
    </row>
    <row r="600" spans="1:12" x14ac:dyDescent="0.25">
      <c r="A600" s="23"/>
      <c r="B600" s="24"/>
      <c r="C600" s="24"/>
      <c r="D600" s="24"/>
      <c r="E600" s="24"/>
      <c r="F600" s="24"/>
      <c r="G600" s="25"/>
      <c r="H600" s="16" t="str">
        <f>IF(C600="","",IFERROR(INDEX(Settings!$L$4:$L$56,MATCH(C600,Settings!$K$4:$K$56,0)),"Unknown"))</f>
        <v/>
      </c>
      <c r="I600" s="8" t="str">
        <f t="shared" si="27"/>
        <v/>
      </c>
      <c r="J600" s="8" t="str">
        <f t="shared" si="28"/>
        <v/>
      </c>
      <c r="K600" s="24"/>
      <c r="L600" s="7" t="str">
        <f t="shared" si="29"/>
        <v/>
      </c>
    </row>
    <row r="601" spans="1:12" x14ac:dyDescent="0.25">
      <c r="A601" s="23"/>
      <c r="B601" s="24"/>
      <c r="C601" s="24"/>
      <c r="D601" s="24"/>
      <c r="E601" s="24"/>
      <c r="F601" s="24"/>
      <c r="G601" s="25"/>
      <c r="H601" s="16" t="str">
        <f>IF(C601="","",IFERROR(INDEX(Settings!$L$4:$L$56,MATCH(C601,Settings!$K$4:$K$56,0)),"Unknown"))</f>
        <v/>
      </c>
      <c r="I601" s="8" t="str">
        <f t="shared" si="27"/>
        <v/>
      </c>
      <c r="J601" s="8" t="str">
        <f t="shared" si="28"/>
        <v/>
      </c>
      <c r="K601" s="24"/>
      <c r="L601" s="7" t="str">
        <f t="shared" si="29"/>
        <v/>
      </c>
    </row>
    <row r="602" spans="1:12" x14ac:dyDescent="0.25">
      <c r="A602" s="23"/>
      <c r="B602" s="24"/>
      <c r="C602" s="24"/>
      <c r="D602" s="24"/>
      <c r="E602" s="24"/>
      <c r="F602" s="24"/>
      <c r="G602" s="25"/>
      <c r="H602" s="16" t="str">
        <f>IF(C602="","",IFERROR(INDEX(Settings!$L$4:$L$56,MATCH(C602,Settings!$K$4:$K$56,0)),"Unknown"))</f>
        <v/>
      </c>
      <c r="I602" s="8" t="str">
        <f t="shared" si="27"/>
        <v/>
      </c>
      <c r="J602" s="8" t="str">
        <f t="shared" si="28"/>
        <v/>
      </c>
      <c r="K602" s="24"/>
      <c r="L602" s="7" t="str">
        <f t="shared" si="29"/>
        <v/>
      </c>
    </row>
    <row r="603" spans="1:12" x14ac:dyDescent="0.25">
      <c r="A603" s="23"/>
      <c r="B603" s="24"/>
      <c r="C603" s="24"/>
      <c r="D603" s="24"/>
      <c r="E603" s="24"/>
      <c r="F603" s="24"/>
      <c r="G603" s="25"/>
      <c r="H603" s="16" t="str">
        <f>IF(C603="","",IFERROR(INDEX(Settings!$L$4:$L$56,MATCH(C603,Settings!$K$4:$K$56,0)),"Unknown"))</f>
        <v/>
      </c>
      <c r="I603" s="8" t="str">
        <f t="shared" si="27"/>
        <v/>
      </c>
      <c r="J603" s="8" t="str">
        <f t="shared" si="28"/>
        <v/>
      </c>
      <c r="K603" s="24"/>
      <c r="L603" s="7" t="str">
        <f t="shared" si="29"/>
        <v/>
      </c>
    </row>
    <row r="604" spans="1:12" x14ac:dyDescent="0.25">
      <c r="A604" s="23"/>
      <c r="B604" s="24"/>
      <c r="C604" s="24"/>
      <c r="D604" s="24"/>
      <c r="E604" s="24"/>
      <c r="F604" s="24"/>
      <c r="G604" s="25"/>
      <c r="H604" s="16" t="str">
        <f>IF(C604="","",IFERROR(INDEX(Settings!$L$4:$L$56,MATCH(C604,Settings!$K$4:$K$56,0)),"Unknown"))</f>
        <v/>
      </c>
      <c r="I604" s="8" t="str">
        <f t="shared" si="27"/>
        <v/>
      </c>
      <c r="J604" s="8" t="str">
        <f t="shared" si="28"/>
        <v/>
      </c>
      <c r="K604" s="24"/>
      <c r="L604" s="7" t="str">
        <f t="shared" si="29"/>
        <v/>
      </c>
    </row>
    <row r="605" spans="1:12" x14ac:dyDescent="0.25">
      <c r="A605" s="23"/>
      <c r="B605" s="24"/>
      <c r="C605" s="24"/>
      <c r="D605" s="24"/>
      <c r="E605" s="24"/>
      <c r="F605" s="24"/>
      <c r="G605" s="25"/>
      <c r="H605" s="16" t="str">
        <f>IF(C605="","",IFERROR(INDEX(Settings!$L$4:$L$56,MATCH(C605,Settings!$K$4:$K$56,0)),"Unknown"))</f>
        <v/>
      </c>
      <c r="I605" s="8" t="str">
        <f t="shared" si="27"/>
        <v/>
      </c>
      <c r="J605" s="8" t="str">
        <f t="shared" si="28"/>
        <v/>
      </c>
      <c r="K605" s="24"/>
      <c r="L605" s="7" t="str">
        <f t="shared" si="29"/>
        <v/>
      </c>
    </row>
    <row r="606" spans="1:12" x14ac:dyDescent="0.25">
      <c r="A606" s="23"/>
      <c r="B606" s="24"/>
      <c r="C606" s="24"/>
      <c r="D606" s="24"/>
      <c r="E606" s="24"/>
      <c r="F606" s="24"/>
      <c r="G606" s="25"/>
      <c r="H606" s="16" t="str">
        <f>IF(C606="","",IFERROR(INDEX(Settings!$L$4:$L$56,MATCH(C606,Settings!$K$4:$K$56,0)),"Unknown"))</f>
        <v/>
      </c>
      <c r="I606" s="8" t="str">
        <f t="shared" si="27"/>
        <v/>
      </c>
      <c r="J606" s="8" t="str">
        <f t="shared" si="28"/>
        <v/>
      </c>
      <c r="K606" s="24"/>
      <c r="L606" s="7" t="str">
        <f t="shared" si="29"/>
        <v/>
      </c>
    </row>
    <row r="607" spans="1:12" x14ac:dyDescent="0.25">
      <c r="A607" s="23"/>
      <c r="B607" s="24"/>
      <c r="C607" s="24"/>
      <c r="D607" s="24"/>
      <c r="E607" s="24"/>
      <c r="F607" s="24"/>
      <c r="G607" s="25"/>
      <c r="H607" s="16" t="str">
        <f>IF(C607="","",IFERROR(INDEX(Settings!$L$4:$L$56,MATCH(C607,Settings!$K$4:$K$56,0)),"Unknown"))</f>
        <v/>
      </c>
      <c r="I607" s="8" t="str">
        <f t="shared" si="27"/>
        <v/>
      </c>
      <c r="J607" s="8" t="str">
        <f t="shared" si="28"/>
        <v/>
      </c>
      <c r="K607" s="24"/>
      <c r="L607" s="7" t="str">
        <f t="shared" si="29"/>
        <v/>
      </c>
    </row>
    <row r="608" spans="1:12" x14ac:dyDescent="0.25">
      <c r="A608" s="23"/>
      <c r="B608" s="24"/>
      <c r="C608" s="24"/>
      <c r="D608" s="24"/>
      <c r="E608" s="24"/>
      <c r="F608" s="24"/>
      <c r="G608" s="25"/>
      <c r="H608" s="16" t="str">
        <f>IF(C608="","",IFERROR(INDEX(Settings!$L$4:$L$56,MATCH(C608,Settings!$K$4:$K$56,0)),"Unknown"))</f>
        <v/>
      </c>
      <c r="I608" s="8" t="str">
        <f t="shared" si="27"/>
        <v/>
      </c>
      <c r="J608" s="8" t="str">
        <f t="shared" si="28"/>
        <v/>
      </c>
      <c r="K608" s="24"/>
      <c r="L608" s="7" t="str">
        <f t="shared" si="29"/>
        <v/>
      </c>
    </row>
    <row r="609" spans="1:12" x14ac:dyDescent="0.25">
      <c r="A609" s="23"/>
      <c r="B609" s="24"/>
      <c r="C609" s="24"/>
      <c r="D609" s="24"/>
      <c r="E609" s="24"/>
      <c r="F609" s="24"/>
      <c r="G609" s="25"/>
      <c r="H609" s="16" t="str">
        <f>IF(C609="","",IFERROR(INDEX(Settings!$L$4:$L$56,MATCH(C609,Settings!$K$4:$K$56,0)),"Unknown"))</f>
        <v/>
      </c>
      <c r="I609" s="8" t="str">
        <f t="shared" si="27"/>
        <v/>
      </c>
      <c r="J609" s="8" t="str">
        <f t="shared" si="28"/>
        <v/>
      </c>
      <c r="K609" s="24"/>
      <c r="L609" s="7" t="str">
        <f t="shared" si="29"/>
        <v/>
      </c>
    </row>
    <row r="610" spans="1:12" x14ac:dyDescent="0.25">
      <c r="A610" s="23"/>
      <c r="B610" s="24"/>
      <c r="C610" s="24"/>
      <c r="D610" s="24"/>
      <c r="E610" s="24"/>
      <c r="F610" s="24"/>
      <c r="G610" s="25"/>
      <c r="H610" s="16" t="str">
        <f>IF(C610="","",IFERROR(INDEX(Settings!$L$4:$L$56,MATCH(C610,Settings!$K$4:$K$56,0)),"Unknown"))</f>
        <v/>
      </c>
      <c r="I610" s="8" t="str">
        <f t="shared" si="27"/>
        <v/>
      </c>
      <c r="J610" s="8" t="str">
        <f t="shared" si="28"/>
        <v/>
      </c>
      <c r="K610" s="24"/>
      <c r="L610" s="7" t="str">
        <f t="shared" si="29"/>
        <v/>
      </c>
    </row>
    <row r="611" spans="1:12" x14ac:dyDescent="0.25">
      <c r="A611" s="23"/>
      <c r="B611" s="24"/>
      <c r="C611" s="24"/>
      <c r="D611" s="24"/>
      <c r="E611" s="24"/>
      <c r="F611" s="24"/>
      <c r="G611" s="25"/>
      <c r="H611" s="16" t="str">
        <f>IF(C611="","",IFERROR(INDEX(Settings!$L$4:$L$56,MATCH(C611,Settings!$K$4:$K$56,0)),"Unknown"))</f>
        <v/>
      </c>
      <c r="I611" s="8" t="str">
        <f t="shared" si="27"/>
        <v/>
      </c>
      <c r="J611" s="8" t="str">
        <f t="shared" si="28"/>
        <v/>
      </c>
      <c r="K611" s="24"/>
      <c r="L611" s="7" t="str">
        <f t="shared" si="29"/>
        <v/>
      </c>
    </row>
    <row r="612" spans="1:12" x14ac:dyDescent="0.25">
      <c r="A612" s="23"/>
      <c r="B612" s="24"/>
      <c r="C612" s="24"/>
      <c r="D612" s="24"/>
      <c r="E612" s="24"/>
      <c r="F612" s="24"/>
      <c r="G612" s="25"/>
      <c r="H612" s="16" t="str">
        <f>IF(C612="","",IFERROR(INDEX(Settings!$L$4:$L$56,MATCH(C612,Settings!$K$4:$K$56,0)),"Unknown"))</f>
        <v/>
      </c>
      <c r="I612" s="8" t="str">
        <f t="shared" si="27"/>
        <v/>
      </c>
      <c r="J612" s="8" t="str">
        <f t="shared" si="28"/>
        <v/>
      </c>
      <c r="K612" s="24"/>
      <c r="L612" s="7" t="str">
        <f t="shared" si="29"/>
        <v/>
      </c>
    </row>
    <row r="613" spans="1:12" x14ac:dyDescent="0.25">
      <c r="A613" s="23"/>
      <c r="B613" s="24"/>
      <c r="C613" s="24"/>
      <c r="D613" s="24"/>
      <c r="E613" s="24"/>
      <c r="F613" s="24"/>
      <c r="G613" s="25"/>
      <c r="H613" s="16" t="str">
        <f>IF(C613="","",IFERROR(INDEX(Settings!$L$4:$L$56,MATCH(C613,Settings!$K$4:$K$56,0)),"Unknown"))</f>
        <v/>
      </c>
      <c r="I613" s="8" t="str">
        <f t="shared" si="27"/>
        <v/>
      </c>
      <c r="J613" s="8" t="str">
        <f t="shared" si="28"/>
        <v/>
      </c>
      <c r="K613" s="24"/>
      <c r="L613" s="7" t="str">
        <f t="shared" si="29"/>
        <v/>
      </c>
    </row>
    <row r="614" spans="1:12" x14ac:dyDescent="0.25">
      <c r="A614" s="23"/>
      <c r="B614" s="24"/>
      <c r="C614" s="24"/>
      <c r="D614" s="24"/>
      <c r="E614" s="24"/>
      <c r="F614" s="24"/>
      <c r="G614" s="25"/>
      <c r="H614" s="16" t="str">
        <f>IF(C614="","",IFERROR(INDEX(Settings!$L$4:$L$56,MATCH(C614,Settings!$K$4:$K$56,0)),"Unknown"))</f>
        <v/>
      </c>
      <c r="I614" s="8" t="str">
        <f t="shared" si="27"/>
        <v/>
      </c>
      <c r="J614" s="8" t="str">
        <f t="shared" si="28"/>
        <v/>
      </c>
      <c r="K614" s="24"/>
      <c r="L614" s="7" t="str">
        <f t="shared" si="29"/>
        <v/>
      </c>
    </row>
    <row r="615" spans="1:12" x14ac:dyDescent="0.25">
      <c r="A615" s="23"/>
      <c r="B615" s="24"/>
      <c r="C615" s="24"/>
      <c r="D615" s="24"/>
      <c r="E615" s="24"/>
      <c r="F615" s="24"/>
      <c r="G615" s="25"/>
      <c r="H615" s="16" t="str">
        <f>IF(C615="","",IFERROR(INDEX(Settings!$L$4:$L$56,MATCH(C615,Settings!$K$4:$K$56,0)),"Unknown"))</f>
        <v/>
      </c>
      <c r="I615" s="8" t="str">
        <f t="shared" si="27"/>
        <v/>
      </c>
      <c r="J615" s="8" t="str">
        <f t="shared" si="28"/>
        <v/>
      </c>
      <c r="K615" s="24"/>
      <c r="L615" s="7" t="str">
        <f t="shared" si="29"/>
        <v/>
      </c>
    </row>
    <row r="616" spans="1:12" x14ac:dyDescent="0.25">
      <c r="A616" s="23"/>
      <c r="B616" s="24"/>
      <c r="C616" s="24"/>
      <c r="D616" s="24"/>
      <c r="E616" s="24"/>
      <c r="F616" s="24"/>
      <c r="G616" s="25"/>
      <c r="H616" s="16" t="str">
        <f>IF(C616="","",IFERROR(INDEX(Settings!$L$4:$L$56,MATCH(C616,Settings!$K$4:$K$56,0)),"Unknown"))</f>
        <v/>
      </c>
      <c r="I616" s="8" t="str">
        <f t="shared" si="27"/>
        <v/>
      </c>
      <c r="J616" s="8" t="str">
        <f t="shared" si="28"/>
        <v/>
      </c>
      <c r="K616" s="24"/>
      <c r="L616" s="7" t="str">
        <f t="shared" si="29"/>
        <v/>
      </c>
    </row>
    <row r="617" spans="1:12" x14ac:dyDescent="0.25">
      <c r="A617" s="23"/>
      <c r="B617" s="24"/>
      <c r="C617" s="24"/>
      <c r="D617" s="24"/>
      <c r="E617" s="24"/>
      <c r="F617" s="24"/>
      <c r="G617" s="25"/>
      <c r="H617" s="16" t="str">
        <f>IF(C617="","",IFERROR(INDEX(Settings!$L$4:$L$56,MATCH(C617,Settings!$K$4:$K$56,0)),"Unknown"))</f>
        <v/>
      </c>
      <c r="I617" s="8" t="str">
        <f t="shared" si="27"/>
        <v/>
      </c>
      <c r="J617" s="8" t="str">
        <f t="shared" si="28"/>
        <v/>
      </c>
      <c r="K617" s="24"/>
      <c r="L617" s="7" t="str">
        <f t="shared" si="29"/>
        <v/>
      </c>
    </row>
    <row r="618" spans="1:12" x14ac:dyDescent="0.25">
      <c r="A618" s="23"/>
      <c r="B618" s="24"/>
      <c r="C618" s="24"/>
      <c r="D618" s="24"/>
      <c r="E618" s="24"/>
      <c r="F618" s="24"/>
      <c r="G618" s="25"/>
      <c r="H618" s="16" t="str">
        <f>IF(C618="","",IFERROR(INDEX(Settings!$L$4:$L$56,MATCH(C618,Settings!$K$4:$K$56,0)),"Unknown"))</f>
        <v/>
      </c>
      <c r="I618" s="8" t="str">
        <f t="shared" si="27"/>
        <v/>
      </c>
      <c r="J618" s="8" t="str">
        <f t="shared" si="28"/>
        <v/>
      </c>
      <c r="K618" s="24"/>
      <c r="L618" s="7" t="str">
        <f t="shared" si="29"/>
        <v/>
      </c>
    </row>
    <row r="619" spans="1:12" x14ac:dyDescent="0.25">
      <c r="A619" s="23"/>
      <c r="B619" s="24"/>
      <c r="C619" s="24"/>
      <c r="D619" s="24"/>
      <c r="E619" s="24"/>
      <c r="F619" s="24"/>
      <c r="G619" s="25"/>
      <c r="H619" s="16" t="str">
        <f>IF(C619="","",IFERROR(INDEX(Settings!$L$4:$L$56,MATCH(C619,Settings!$K$4:$K$56,0)),"Unknown"))</f>
        <v/>
      </c>
      <c r="I619" s="8" t="str">
        <f t="shared" si="27"/>
        <v/>
      </c>
      <c r="J619" s="8" t="str">
        <f t="shared" si="28"/>
        <v/>
      </c>
      <c r="K619" s="24"/>
      <c r="L619" s="7" t="str">
        <f t="shared" si="29"/>
        <v/>
      </c>
    </row>
    <row r="620" spans="1:12" x14ac:dyDescent="0.25">
      <c r="A620" s="23"/>
      <c r="B620" s="24"/>
      <c r="C620" s="24"/>
      <c r="D620" s="24"/>
      <c r="E620" s="24"/>
      <c r="F620" s="24"/>
      <c r="G620" s="25"/>
      <c r="H620" s="16" t="str">
        <f>IF(C620="","",IFERROR(INDEX(Settings!$L$4:$L$56,MATCH(C620,Settings!$K$4:$K$56,0)),"Unknown"))</f>
        <v/>
      </c>
      <c r="I620" s="8" t="str">
        <f t="shared" si="27"/>
        <v/>
      </c>
      <c r="J620" s="8" t="str">
        <f t="shared" si="28"/>
        <v/>
      </c>
      <c r="K620" s="24"/>
      <c r="L620" s="7" t="str">
        <f t="shared" si="29"/>
        <v/>
      </c>
    </row>
    <row r="621" spans="1:12" x14ac:dyDescent="0.25">
      <c r="A621" s="23"/>
      <c r="B621" s="24"/>
      <c r="C621" s="24"/>
      <c r="D621" s="24"/>
      <c r="E621" s="24"/>
      <c r="F621" s="24"/>
      <c r="G621" s="25"/>
      <c r="H621" s="16" t="str">
        <f>IF(C621="","",IFERROR(INDEX(Settings!$L$4:$L$56,MATCH(C621,Settings!$K$4:$K$56,0)),"Unknown"))</f>
        <v/>
      </c>
      <c r="I621" s="8" t="str">
        <f t="shared" si="27"/>
        <v/>
      </c>
      <c r="J621" s="8" t="str">
        <f t="shared" si="28"/>
        <v/>
      </c>
      <c r="K621" s="24"/>
      <c r="L621" s="7" t="str">
        <f t="shared" si="29"/>
        <v/>
      </c>
    </row>
    <row r="622" spans="1:12" x14ac:dyDescent="0.25">
      <c r="A622" s="23"/>
      <c r="B622" s="24"/>
      <c r="C622" s="24"/>
      <c r="D622" s="24"/>
      <c r="E622" s="24"/>
      <c r="F622" s="24"/>
      <c r="G622" s="25"/>
      <c r="H622" s="16" t="str">
        <f>IF(C622="","",IFERROR(INDEX(Settings!$L$4:$L$56,MATCH(C622,Settings!$K$4:$K$56,0)),"Unknown"))</f>
        <v/>
      </c>
      <c r="I622" s="8" t="str">
        <f t="shared" si="27"/>
        <v/>
      </c>
      <c r="J622" s="8" t="str">
        <f t="shared" si="28"/>
        <v/>
      </c>
      <c r="K622" s="24"/>
      <c r="L622" s="7" t="str">
        <f t="shared" si="29"/>
        <v/>
      </c>
    </row>
    <row r="623" spans="1:12" x14ac:dyDescent="0.25">
      <c r="A623" s="23"/>
      <c r="B623" s="24"/>
      <c r="C623" s="24"/>
      <c r="D623" s="24"/>
      <c r="E623" s="24"/>
      <c r="F623" s="24"/>
      <c r="G623" s="25"/>
      <c r="H623" s="16" t="str">
        <f>IF(C623="","",IFERROR(INDEX(Settings!$L$4:$L$56,MATCH(C623,Settings!$K$4:$K$56,0)),"Unknown"))</f>
        <v/>
      </c>
      <c r="I623" s="8" t="str">
        <f t="shared" si="27"/>
        <v/>
      </c>
      <c r="J623" s="8" t="str">
        <f t="shared" si="28"/>
        <v/>
      </c>
      <c r="K623" s="24"/>
      <c r="L623" s="7" t="str">
        <f t="shared" si="29"/>
        <v/>
      </c>
    </row>
    <row r="624" spans="1:12" x14ac:dyDescent="0.25">
      <c r="A624" s="23"/>
      <c r="B624" s="24"/>
      <c r="C624" s="24"/>
      <c r="D624" s="24"/>
      <c r="E624" s="24"/>
      <c r="F624" s="24"/>
      <c r="G624" s="25"/>
      <c r="H624" s="16" t="str">
        <f>IF(C624="","",IFERROR(INDEX(Settings!$L$4:$L$56,MATCH(C624,Settings!$K$4:$K$56,0)),"Unknown"))</f>
        <v/>
      </c>
      <c r="I624" s="8" t="str">
        <f t="shared" si="27"/>
        <v/>
      </c>
      <c r="J624" s="8" t="str">
        <f t="shared" si="28"/>
        <v/>
      </c>
      <c r="K624" s="24"/>
      <c r="L624" s="7" t="str">
        <f t="shared" si="29"/>
        <v/>
      </c>
    </row>
    <row r="625" spans="1:12" x14ac:dyDescent="0.25">
      <c r="A625" s="23"/>
      <c r="B625" s="24"/>
      <c r="C625" s="24"/>
      <c r="D625" s="24"/>
      <c r="E625" s="24"/>
      <c r="F625" s="24"/>
      <c r="G625" s="25"/>
      <c r="H625" s="16" t="str">
        <f>IF(C625="","",IFERROR(INDEX(Settings!$L$4:$L$56,MATCH(C625,Settings!$K$4:$K$56,0)),"Unknown"))</f>
        <v/>
      </c>
      <c r="I625" s="8" t="str">
        <f t="shared" si="27"/>
        <v/>
      </c>
      <c r="J625" s="8" t="str">
        <f t="shared" si="28"/>
        <v/>
      </c>
      <c r="K625" s="24"/>
      <c r="L625" s="7" t="str">
        <f t="shared" si="29"/>
        <v/>
      </c>
    </row>
    <row r="626" spans="1:12" x14ac:dyDescent="0.25">
      <c r="A626" s="23"/>
      <c r="B626" s="24"/>
      <c r="C626" s="24"/>
      <c r="D626" s="24"/>
      <c r="E626" s="24"/>
      <c r="F626" s="24"/>
      <c r="G626" s="25"/>
      <c r="H626" s="16" t="str">
        <f>IF(C626="","",IFERROR(INDEX(Settings!$L$4:$L$56,MATCH(C626,Settings!$K$4:$K$56,0)),"Unknown"))</f>
        <v/>
      </c>
      <c r="I626" s="8" t="str">
        <f t="shared" si="27"/>
        <v/>
      </c>
      <c r="J626" s="8" t="str">
        <f t="shared" si="28"/>
        <v/>
      </c>
      <c r="K626" s="24"/>
      <c r="L626" s="7" t="str">
        <f t="shared" si="29"/>
        <v/>
      </c>
    </row>
    <row r="627" spans="1:12" x14ac:dyDescent="0.25">
      <c r="A627" s="23"/>
      <c r="B627" s="24"/>
      <c r="C627" s="24"/>
      <c r="D627" s="24"/>
      <c r="E627" s="24"/>
      <c r="F627" s="24"/>
      <c r="G627" s="25"/>
      <c r="H627" s="16" t="str">
        <f>IF(C627="","",IFERROR(INDEX(Settings!$L$4:$L$56,MATCH(C627,Settings!$K$4:$K$56,0)),"Unknown"))</f>
        <v/>
      </c>
      <c r="I627" s="8" t="str">
        <f t="shared" si="27"/>
        <v/>
      </c>
      <c r="J627" s="8" t="str">
        <f t="shared" si="28"/>
        <v/>
      </c>
      <c r="K627" s="24"/>
      <c r="L627" s="7" t="str">
        <f t="shared" si="29"/>
        <v/>
      </c>
    </row>
    <row r="628" spans="1:12" x14ac:dyDescent="0.25">
      <c r="A628" s="23"/>
      <c r="B628" s="24"/>
      <c r="C628" s="24"/>
      <c r="D628" s="24"/>
      <c r="E628" s="24"/>
      <c r="F628" s="24"/>
      <c r="G628" s="25"/>
      <c r="H628" s="16" t="str">
        <f>IF(C628="","",IFERROR(INDEX(Settings!$L$4:$L$56,MATCH(C628,Settings!$K$4:$K$56,0)),"Unknown"))</f>
        <v/>
      </c>
      <c r="I628" s="8" t="str">
        <f t="shared" si="27"/>
        <v/>
      </c>
      <c r="J628" s="8" t="str">
        <f t="shared" si="28"/>
        <v/>
      </c>
      <c r="K628" s="24"/>
      <c r="L628" s="7" t="str">
        <f t="shared" si="29"/>
        <v/>
      </c>
    </row>
    <row r="629" spans="1:12" x14ac:dyDescent="0.25">
      <c r="A629" s="23"/>
      <c r="B629" s="24"/>
      <c r="C629" s="24"/>
      <c r="D629" s="24"/>
      <c r="E629" s="24"/>
      <c r="F629" s="24"/>
      <c r="G629" s="25"/>
      <c r="H629" s="16" t="str">
        <f>IF(C629="","",IFERROR(INDEX(Settings!$L$4:$L$56,MATCH(C629,Settings!$K$4:$K$56,0)),"Unknown"))</f>
        <v/>
      </c>
      <c r="I629" s="8" t="str">
        <f t="shared" si="27"/>
        <v/>
      </c>
      <c r="J629" s="8" t="str">
        <f t="shared" si="28"/>
        <v/>
      </c>
      <c r="K629" s="24"/>
      <c r="L629" s="7" t="str">
        <f t="shared" si="29"/>
        <v/>
      </c>
    </row>
    <row r="630" spans="1:12" x14ac:dyDescent="0.25">
      <c r="A630" s="23"/>
      <c r="B630" s="24"/>
      <c r="C630" s="24"/>
      <c r="D630" s="24"/>
      <c r="E630" s="24"/>
      <c r="F630" s="24"/>
      <c r="G630" s="25"/>
      <c r="H630" s="16" t="str">
        <f>IF(C630="","",IFERROR(INDEX(Settings!$L$4:$L$56,MATCH(C630,Settings!$K$4:$K$56,0)),"Unknown"))</f>
        <v/>
      </c>
      <c r="I630" s="8" t="str">
        <f t="shared" si="27"/>
        <v/>
      </c>
      <c r="J630" s="8" t="str">
        <f t="shared" si="28"/>
        <v/>
      </c>
      <c r="K630" s="24"/>
      <c r="L630" s="7" t="str">
        <f t="shared" si="29"/>
        <v/>
      </c>
    </row>
    <row r="631" spans="1:12" x14ac:dyDescent="0.25">
      <c r="A631" s="23"/>
      <c r="B631" s="24"/>
      <c r="C631" s="24"/>
      <c r="D631" s="24"/>
      <c r="E631" s="24"/>
      <c r="F631" s="24"/>
      <c r="G631" s="25"/>
      <c r="H631" s="16" t="str">
        <f>IF(C631="","",IFERROR(INDEX(Settings!$L$4:$L$56,MATCH(C631,Settings!$K$4:$K$56,0)),"Unknown"))</f>
        <v/>
      </c>
      <c r="I631" s="8" t="str">
        <f t="shared" si="27"/>
        <v/>
      </c>
      <c r="J631" s="8" t="str">
        <f t="shared" si="28"/>
        <v/>
      </c>
      <c r="K631" s="24"/>
      <c r="L631" s="7" t="str">
        <f t="shared" si="29"/>
        <v/>
      </c>
    </row>
    <row r="632" spans="1:12" x14ac:dyDescent="0.25">
      <c r="A632" s="23"/>
      <c r="B632" s="24"/>
      <c r="C632" s="24"/>
      <c r="D632" s="24"/>
      <c r="E632" s="24"/>
      <c r="F632" s="24"/>
      <c r="G632" s="25"/>
      <c r="H632" s="16" t="str">
        <f>IF(C632="","",IFERROR(INDEX(Settings!$L$4:$L$56,MATCH(C632,Settings!$K$4:$K$56,0)),"Unknown"))</f>
        <v/>
      </c>
      <c r="I632" s="8" t="str">
        <f t="shared" si="27"/>
        <v/>
      </c>
      <c r="J632" s="8" t="str">
        <f t="shared" si="28"/>
        <v/>
      </c>
      <c r="K632" s="24"/>
      <c r="L632" s="7" t="str">
        <f t="shared" si="29"/>
        <v/>
      </c>
    </row>
    <row r="633" spans="1:12" x14ac:dyDescent="0.25">
      <c r="A633" s="23"/>
      <c r="B633" s="24"/>
      <c r="C633" s="24"/>
      <c r="D633" s="24"/>
      <c r="E633" s="24"/>
      <c r="F633" s="24"/>
      <c r="G633" s="25"/>
      <c r="H633" s="16" t="str">
        <f>IF(C633="","",IFERROR(INDEX(Settings!$L$4:$L$56,MATCH(C633,Settings!$K$4:$K$56,0)),"Unknown"))</f>
        <v/>
      </c>
      <c r="I633" s="8" t="str">
        <f t="shared" si="27"/>
        <v/>
      </c>
      <c r="J633" s="8" t="str">
        <f t="shared" si="28"/>
        <v/>
      </c>
      <c r="K633" s="24"/>
      <c r="L633" s="7" t="str">
        <f t="shared" si="29"/>
        <v/>
      </c>
    </row>
    <row r="634" spans="1:12" x14ac:dyDescent="0.25">
      <c r="A634" s="23"/>
      <c r="B634" s="24"/>
      <c r="C634" s="24"/>
      <c r="D634" s="24"/>
      <c r="E634" s="24"/>
      <c r="F634" s="24"/>
      <c r="G634" s="25"/>
      <c r="H634" s="16" t="str">
        <f>IF(C634="","",IFERROR(INDEX(Settings!$L$4:$L$56,MATCH(C634,Settings!$K$4:$K$56,0)),"Unknown"))</f>
        <v/>
      </c>
      <c r="I634" s="8" t="str">
        <f t="shared" si="27"/>
        <v/>
      </c>
      <c r="J634" s="8" t="str">
        <f t="shared" si="28"/>
        <v/>
      </c>
      <c r="K634" s="24"/>
      <c r="L634" s="7" t="str">
        <f t="shared" si="29"/>
        <v/>
      </c>
    </row>
    <row r="635" spans="1:12" x14ac:dyDescent="0.25">
      <c r="A635" s="23"/>
      <c r="B635" s="24"/>
      <c r="C635" s="24"/>
      <c r="D635" s="24"/>
      <c r="E635" s="24"/>
      <c r="F635" s="24"/>
      <c r="G635" s="25"/>
      <c r="H635" s="16" t="str">
        <f>IF(C635="","",IFERROR(INDEX(Settings!$L$4:$L$56,MATCH(C635,Settings!$K$4:$K$56,0)),"Unknown"))</f>
        <v/>
      </c>
      <c r="I635" s="8" t="str">
        <f t="shared" si="27"/>
        <v/>
      </c>
      <c r="J635" s="8" t="str">
        <f t="shared" si="28"/>
        <v/>
      </c>
      <c r="K635" s="24"/>
      <c r="L635" s="7" t="str">
        <f t="shared" si="29"/>
        <v/>
      </c>
    </row>
    <row r="636" spans="1:12" x14ac:dyDescent="0.25">
      <c r="A636" s="23"/>
      <c r="B636" s="24"/>
      <c r="C636" s="24"/>
      <c r="D636" s="24"/>
      <c r="E636" s="24"/>
      <c r="F636" s="24"/>
      <c r="G636" s="25"/>
      <c r="H636" s="16" t="str">
        <f>IF(C636="","",IFERROR(INDEX(Settings!$L$4:$L$56,MATCH(C636,Settings!$K$4:$K$56,0)),"Unknown"))</f>
        <v/>
      </c>
      <c r="I636" s="8" t="str">
        <f t="shared" si="27"/>
        <v/>
      </c>
      <c r="J636" s="8" t="str">
        <f t="shared" si="28"/>
        <v/>
      </c>
      <c r="K636" s="24"/>
      <c r="L636" s="7" t="str">
        <f t="shared" si="29"/>
        <v/>
      </c>
    </row>
    <row r="637" spans="1:12" x14ac:dyDescent="0.25">
      <c r="A637" s="23"/>
      <c r="B637" s="24"/>
      <c r="C637" s="24"/>
      <c r="D637" s="24"/>
      <c r="E637" s="24"/>
      <c r="F637" s="24"/>
      <c r="G637" s="25"/>
      <c r="H637" s="16" t="str">
        <f>IF(C637="","",IFERROR(INDEX(Settings!$L$4:$L$56,MATCH(C637,Settings!$K$4:$K$56,0)),"Unknown"))</f>
        <v/>
      </c>
      <c r="I637" s="8" t="str">
        <f t="shared" si="27"/>
        <v/>
      </c>
      <c r="J637" s="8" t="str">
        <f t="shared" si="28"/>
        <v/>
      </c>
      <c r="K637" s="24"/>
      <c r="L637" s="7" t="str">
        <f t="shared" si="29"/>
        <v/>
      </c>
    </row>
    <row r="638" spans="1:12" x14ac:dyDescent="0.25">
      <c r="A638" s="23"/>
      <c r="B638" s="24"/>
      <c r="C638" s="24"/>
      <c r="D638" s="24"/>
      <c r="E638" s="24"/>
      <c r="F638" s="24"/>
      <c r="G638" s="25"/>
      <c r="H638" s="16" t="str">
        <f>IF(C638="","",IFERROR(INDEX(Settings!$L$4:$L$56,MATCH(C638,Settings!$K$4:$K$56,0)),"Unknown"))</f>
        <v/>
      </c>
      <c r="I638" s="8" t="str">
        <f t="shared" si="27"/>
        <v/>
      </c>
      <c r="J638" s="8" t="str">
        <f t="shared" si="28"/>
        <v/>
      </c>
      <c r="K638" s="24"/>
      <c r="L638" s="7" t="str">
        <f t="shared" si="29"/>
        <v/>
      </c>
    </row>
    <row r="639" spans="1:12" x14ac:dyDescent="0.25">
      <c r="A639" s="23"/>
      <c r="B639" s="24"/>
      <c r="C639" s="24"/>
      <c r="D639" s="24"/>
      <c r="E639" s="24"/>
      <c r="F639" s="24"/>
      <c r="G639" s="25"/>
      <c r="H639" s="16" t="str">
        <f>IF(C639="","",IFERROR(INDEX(Settings!$L$4:$L$56,MATCH(C639,Settings!$K$4:$K$56,0)),"Unknown"))</f>
        <v/>
      </c>
      <c r="I639" s="8" t="str">
        <f t="shared" si="27"/>
        <v/>
      </c>
      <c r="J639" s="8" t="str">
        <f t="shared" si="28"/>
        <v/>
      </c>
      <c r="K639" s="24"/>
      <c r="L639" s="7" t="str">
        <f t="shared" si="29"/>
        <v/>
      </c>
    </row>
    <row r="640" spans="1:12" x14ac:dyDescent="0.25">
      <c r="A640" s="23"/>
      <c r="B640" s="24"/>
      <c r="C640" s="24"/>
      <c r="D640" s="24"/>
      <c r="E640" s="24"/>
      <c r="F640" s="24"/>
      <c r="G640" s="25"/>
      <c r="H640" s="16" t="str">
        <f>IF(C640="","",IFERROR(INDEX(Settings!$L$4:$L$56,MATCH(C640,Settings!$K$4:$K$56,0)),"Unknown"))</f>
        <v/>
      </c>
      <c r="I640" s="8" t="str">
        <f t="shared" si="27"/>
        <v/>
      </c>
      <c r="J640" s="8" t="str">
        <f t="shared" si="28"/>
        <v/>
      </c>
      <c r="K640" s="24"/>
      <c r="L640" s="7" t="str">
        <f t="shared" si="29"/>
        <v/>
      </c>
    </row>
    <row r="641" spans="1:12" x14ac:dyDescent="0.25">
      <c r="A641" s="23"/>
      <c r="B641" s="24"/>
      <c r="C641" s="24"/>
      <c r="D641" s="24"/>
      <c r="E641" s="24"/>
      <c r="F641" s="24"/>
      <c r="G641" s="25"/>
      <c r="H641" s="16" t="str">
        <f>IF(C641="","",IFERROR(INDEX(Settings!$L$4:$L$56,MATCH(C641,Settings!$K$4:$K$56,0)),"Unknown"))</f>
        <v/>
      </c>
      <c r="I641" s="8" t="str">
        <f t="shared" si="27"/>
        <v/>
      </c>
      <c r="J641" s="8" t="str">
        <f t="shared" si="28"/>
        <v/>
      </c>
      <c r="K641" s="24"/>
      <c r="L641" s="7" t="str">
        <f t="shared" si="29"/>
        <v/>
      </c>
    </row>
    <row r="642" spans="1:12" x14ac:dyDescent="0.25">
      <c r="A642" s="23"/>
      <c r="B642" s="24"/>
      <c r="C642" s="24"/>
      <c r="D642" s="24"/>
      <c r="E642" s="24"/>
      <c r="F642" s="24"/>
      <c r="G642" s="25"/>
      <c r="H642" s="16" t="str">
        <f>IF(C642="","",IFERROR(INDEX(Settings!$L$4:$L$56,MATCH(C642,Settings!$K$4:$K$56,0)),"Unknown"))</f>
        <v/>
      </c>
      <c r="I642" s="8" t="str">
        <f t="shared" si="27"/>
        <v/>
      </c>
      <c r="J642" s="8" t="str">
        <f t="shared" si="28"/>
        <v/>
      </c>
      <c r="K642" s="24"/>
      <c r="L642" s="7" t="str">
        <f t="shared" si="29"/>
        <v/>
      </c>
    </row>
    <row r="643" spans="1:12" x14ac:dyDescent="0.25">
      <c r="A643" s="23"/>
      <c r="B643" s="24"/>
      <c r="C643" s="24"/>
      <c r="D643" s="24"/>
      <c r="E643" s="24"/>
      <c r="F643" s="24"/>
      <c r="G643" s="25"/>
      <c r="H643" s="16" t="str">
        <f>IF(C643="","",IFERROR(INDEX(Settings!$L$4:$L$56,MATCH(C643,Settings!$K$4:$K$56,0)),"Unknown"))</f>
        <v/>
      </c>
      <c r="I643" s="8" t="str">
        <f t="shared" si="27"/>
        <v/>
      </c>
      <c r="J643" s="8" t="str">
        <f t="shared" si="28"/>
        <v/>
      </c>
      <c r="K643" s="24"/>
      <c r="L643" s="7" t="str">
        <f t="shared" si="29"/>
        <v/>
      </c>
    </row>
    <row r="644" spans="1:12" x14ac:dyDescent="0.25">
      <c r="A644" s="23"/>
      <c r="B644" s="24"/>
      <c r="C644" s="24"/>
      <c r="D644" s="24"/>
      <c r="E644" s="24"/>
      <c r="F644" s="24"/>
      <c r="G644" s="25"/>
      <c r="H644" s="16" t="str">
        <f>IF(C644="","",IFERROR(INDEX(Settings!$L$4:$L$56,MATCH(C644,Settings!$K$4:$K$56,0)),"Unknown"))</f>
        <v/>
      </c>
      <c r="I644" s="8" t="str">
        <f t="shared" si="27"/>
        <v/>
      </c>
      <c r="J644" s="8" t="str">
        <f t="shared" si="28"/>
        <v/>
      </c>
      <c r="K644" s="24"/>
      <c r="L644" s="7" t="str">
        <f t="shared" si="29"/>
        <v/>
      </c>
    </row>
    <row r="645" spans="1:12" x14ac:dyDescent="0.25">
      <c r="A645" s="23"/>
      <c r="B645" s="24"/>
      <c r="C645" s="24"/>
      <c r="D645" s="24"/>
      <c r="E645" s="24"/>
      <c r="F645" s="24"/>
      <c r="G645" s="25"/>
      <c r="H645" s="16" t="str">
        <f>IF(C645="","",IFERROR(INDEX(Settings!$L$4:$L$56,MATCH(C645,Settings!$K$4:$K$56,0)),"Unknown"))</f>
        <v/>
      </c>
      <c r="I645" s="8" t="str">
        <f t="shared" si="27"/>
        <v/>
      </c>
      <c r="J645" s="8" t="str">
        <f t="shared" si="28"/>
        <v/>
      </c>
      <c r="K645" s="24"/>
      <c r="L645" s="7" t="str">
        <f t="shared" si="29"/>
        <v/>
      </c>
    </row>
    <row r="646" spans="1:12" x14ac:dyDescent="0.25">
      <c r="A646" s="23"/>
      <c r="B646" s="24"/>
      <c r="C646" s="24"/>
      <c r="D646" s="24"/>
      <c r="E646" s="24"/>
      <c r="F646" s="24"/>
      <c r="G646" s="25"/>
      <c r="H646" s="16" t="str">
        <f>IF(C646="","",IFERROR(INDEX(Settings!$L$4:$L$56,MATCH(C646,Settings!$K$4:$K$56,0)),"Unknown"))</f>
        <v/>
      </c>
      <c r="I646" s="8" t="str">
        <f t="shared" ref="I646:I709" si="30">IF(A646="","",MONTH(A646))</f>
        <v/>
      </c>
      <c r="J646" s="8" t="str">
        <f t="shared" ref="J646:J709" si="31">IF(A646="","",YEAR(A646))</f>
        <v/>
      </c>
      <c r="K646" s="24"/>
      <c r="L646" s="7" t="str">
        <f t="shared" ref="L646:L709" si="32">IF(OR(B646="",C646=""),"",IF(AND(B646="Income",H646&lt;&gt;"Income"),"Category is not an Income category",IF(AND(B646="Expense",H646="Income"),"Category is an Income category","OK")))</f>
        <v/>
      </c>
    </row>
    <row r="647" spans="1:12" x14ac:dyDescent="0.25">
      <c r="A647" s="23"/>
      <c r="B647" s="24"/>
      <c r="C647" s="24"/>
      <c r="D647" s="24"/>
      <c r="E647" s="24"/>
      <c r="F647" s="24"/>
      <c r="G647" s="25"/>
      <c r="H647" s="16" t="str">
        <f>IF(C647="","",IFERROR(INDEX(Settings!$L$4:$L$56,MATCH(C647,Settings!$K$4:$K$56,0)),"Unknown"))</f>
        <v/>
      </c>
      <c r="I647" s="8" t="str">
        <f t="shared" si="30"/>
        <v/>
      </c>
      <c r="J647" s="8" t="str">
        <f t="shared" si="31"/>
        <v/>
      </c>
      <c r="K647" s="24"/>
      <c r="L647" s="7" t="str">
        <f t="shared" si="32"/>
        <v/>
      </c>
    </row>
    <row r="648" spans="1:12" x14ac:dyDescent="0.25">
      <c r="A648" s="23"/>
      <c r="B648" s="24"/>
      <c r="C648" s="24"/>
      <c r="D648" s="24"/>
      <c r="E648" s="24"/>
      <c r="F648" s="24"/>
      <c r="G648" s="25"/>
      <c r="H648" s="16" t="str">
        <f>IF(C648="","",IFERROR(INDEX(Settings!$L$4:$L$56,MATCH(C648,Settings!$K$4:$K$56,0)),"Unknown"))</f>
        <v/>
      </c>
      <c r="I648" s="8" t="str">
        <f t="shared" si="30"/>
        <v/>
      </c>
      <c r="J648" s="8" t="str">
        <f t="shared" si="31"/>
        <v/>
      </c>
      <c r="K648" s="24"/>
      <c r="L648" s="7" t="str">
        <f t="shared" si="32"/>
        <v/>
      </c>
    </row>
    <row r="649" spans="1:12" x14ac:dyDescent="0.25">
      <c r="A649" s="23"/>
      <c r="B649" s="24"/>
      <c r="C649" s="24"/>
      <c r="D649" s="24"/>
      <c r="E649" s="24"/>
      <c r="F649" s="24"/>
      <c r="G649" s="25"/>
      <c r="H649" s="16" t="str">
        <f>IF(C649="","",IFERROR(INDEX(Settings!$L$4:$L$56,MATCH(C649,Settings!$K$4:$K$56,0)),"Unknown"))</f>
        <v/>
      </c>
      <c r="I649" s="8" t="str">
        <f t="shared" si="30"/>
        <v/>
      </c>
      <c r="J649" s="8" t="str">
        <f t="shared" si="31"/>
        <v/>
      </c>
      <c r="K649" s="24"/>
      <c r="L649" s="7" t="str">
        <f t="shared" si="32"/>
        <v/>
      </c>
    </row>
    <row r="650" spans="1:12" x14ac:dyDescent="0.25">
      <c r="A650" s="23"/>
      <c r="B650" s="24"/>
      <c r="C650" s="24"/>
      <c r="D650" s="24"/>
      <c r="E650" s="24"/>
      <c r="F650" s="24"/>
      <c r="G650" s="25"/>
      <c r="H650" s="16" t="str">
        <f>IF(C650="","",IFERROR(INDEX(Settings!$L$4:$L$56,MATCH(C650,Settings!$K$4:$K$56,0)),"Unknown"))</f>
        <v/>
      </c>
      <c r="I650" s="8" t="str">
        <f t="shared" si="30"/>
        <v/>
      </c>
      <c r="J650" s="8" t="str">
        <f t="shared" si="31"/>
        <v/>
      </c>
      <c r="K650" s="24"/>
      <c r="L650" s="7" t="str">
        <f t="shared" si="32"/>
        <v/>
      </c>
    </row>
    <row r="651" spans="1:12" x14ac:dyDescent="0.25">
      <c r="A651" s="23"/>
      <c r="B651" s="24"/>
      <c r="C651" s="24"/>
      <c r="D651" s="24"/>
      <c r="E651" s="24"/>
      <c r="F651" s="24"/>
      <c r="G651" s="25"/>
      <c r="H651" s="16" t="str">
        <f>IF(C651="","",IFERROR(INDEX(Settings!$L$4:$L$56,MATCH(C651,Settings!$K$4:$K$56,0)),"Unknown"))</f>
        <v/>
      </c>
      <c r="I651" s="8" t="str">
        <f t="shared" si="30"/>
        <v/>
      </c>
      <c r="J651" s="8" t="str">
        <f t="shared" si="31"/>
        <v/>
      </c>
      <c r="K651" s="24"/>
      <c r="L651" s="7" t="str">
        <f t="shared" si="32"/>
        <v/>
      </c>
    </row>
    <row r="652" spans="1:12" x14ac:dyDescent="0.25">
      <c r="A652" s="23"/>
      <c r="B652" s="24"/>
      <c r="C652" s="24"/>
      <c r="D652" s="24"/>
      <c r="E652" s="24"/>
      <c r="F652" s="24"/>
      <c r="G652" s="25"/>
      <c r="H652" s="16" t="str">
        <f>IF(C652="","",IFERROR(INDEX(Settings!$L$4:$L$56,MATCH(C652,Settings!$K$4:$K$56,0)),"Unknown"))</f>
        <v/>
      </c>
      <c r="I652" s="8" t="str">
        <f t="shared" si="30"/>
        <v/>
      </c>
      <c r="J652" s="8" t="str">
        <f t="shared" si="31"/>
        <v/>
      </c>
      <c r="K652" s="24"/>
      <c r="L652" s="7" t="str">
        <f t="shared" si="32"/>
        <v/>
      </c>
    </row>
    <row r="653" spans="1:12" x14ac:dyDescent="0.25">
      <c r="A653" s="23"/>
      <c r="B653" s="24"/>
      <c r="C653" s="24"/>
      <c r="D653" s="24"/>
      <c r="E653" s="24"/>
      <c r="F653" s="24"/>
      <c r="G653" s="25"/>
      <c r="H653" s="16" t="str">
        <f>IF(C653="","",IFERROR(INDEX(Settings!$L$4:$L$56,MATCH(C653,Settings!$K$4:$K$56,0)),"Unknown"))</f>
        <v/>
      </c>
      <c r="I653" s="8" t="str">
        <f t="shared" si="30"/>
        <v/>
      </c>
      <c r="J653" s="8" t="str">
        <f t="shared" si="31"/>
        <v/>
      </c>
      <c r="K653" s="24"/>
      <c r="L653" s="7" t="str">
        <f t="shared" si="32"/>
        <v/>
      </c>
    </row>
    <row r="654" spans="1:12" x14ac:dyDescent="0.25">
      <c r="A654" s="23"/>
      <c r="B654" s="24"/>
      <c r="C654" s="24"/>
      <c r="D654" s="24"/>
      <c r="E654" s="24"/>
      <c r="F654" s="24"/>
      <c r="G654" s="25"/>
      <c r="H654" s="16" t="str">
        <f>IF(C654="","",IFERROR(INDEX(Settings!$L$4:$L$56,MATCH(C654,Settings!$K$4:$K$56,0)),"Unknown"))</f>
        <v/>
      </c>
      <c r="I654" s="8" t="str">
        <f t="shared" si="30"/>
        <v/>
      </c>
      <c r="J654" s="8" t="str">
        <f t="shared" si="31"/>
        <v/>
      </c>
      <c r="K654" s="24"/>
      <c r="L654" s="7" t="str">
        <f t="shared" si="32"/>
        <v/>
      </c>
    </row>
    <row r="655" spans="1:12" x14ac:dyDescent="0.25">
      <c r="A655" s="23"/>
      <c r="B655" s="24"/>
      <c r="C655" s="24"/>
      <c r="D655" s="24"/>
      <c r="E655" s="24"/>
      <c r="F655" s="24"/>
      <c r="G655" s="25"/>
      <c r="H655" s="16" t="str">
        <f>IF(C655="","",IFERROR(INDEX(Settings!$L$4:$L$56,MATCH(C655,Settings!$K$4:$K$56,0)),"Unknown"))</f>
        <v/>
      </c>
      <c r="I655" s="8" t="str">
        <f t="shared" si="30"/>
        <v/>
      </c>
      <c r="J655" s="8" t="str">
        <f t="shared" si="31"/>
        <v/>
      </c>
      <c r="K655" s="24"/>
      <c r="L655" s="7" t="str">
        <f t="shared" si="32"/>
        <v/>
      </c>
    </row>
    <row r="656" spans="1:12" x14ac:dyDescent="0.25">
      <c r="A656" s="23"/>
      <c r="B656" s="24"/>
      <c r="C656" s="24"/>
      <c r="D656" s="24"/>
      <c r="E656" s="24"/>
      <c r="F656" s="24"/>
      <c r="G656" s="25"/>
      <c r="H656" s="16" t="str">
        <f>IF(C656="","",IFERROR(INDEX(Settings!$L$4:$L$56,MATCH(C656,Settings!$K$4:$K$56,0)),"Unknown"))</f>
        <v/>
      </c>
      <c r="I656" s="8" t="str">
        <f t="shared" si="30"/>
        <v/>
      </c>
      <c r="J656" s="8" t="str">
        <f t="shared" si="31"/>
        <v/>
      </c>
      <c r="K656" s="24"/>
      <c r="L656" s="7" t="str">
        <f t="shared" si="32"/>
        <v/>
      </c>
    </row>
    <row r="657" spans="1:12" x14ac:dyDescent="0.25">
      <c r="A657" s="23"/>
      <c r="B657" s="24"/>
      <c r="C657" s="24"/>
      <c r="D657" s="24"/>
      <c r="E657" s="24"/>
      <c r="F657" s="24"/>
      <c r="G657" s="25"/>
      <c r="H657" s="16" t="str">
        <f>IF(C657="","",IFERROR(INDEX(Settings!$L$4:$L$56,MATCH(C657,Settings!$K$4:$K$56,0)),"Unknown"))</f>
        <v/>
      </c>
      <c r="I657" s="8" t="str">
        <f t="shared" si="30"/>
        <v/>
      </c>
      <c r="J657" s="8" t="str">
        <f t="shared" si="31"/>
        <v/>
      </c>
      <c r="K657" s="24"/>
      <c r="L657" s="7" t="str">
        <f t="shared" si="32"/>
        <v/>
      </c>
    </row>
    <row r="658" spans="1:12" x14ac:dyDescent="0.25">
      <c r="A658" s="23"/>
      <c r="B658" s="24"/>
      <c r="C658" s="24"/>
      <c r="D658" s="24"/>
      <c r="E658" s="24"/>
      <c r="F658" s="24"/>
      <c r="G658" s="25"/>
      <c r="H658" s="16" t="str">
        <f>IF(C658="","",IFERROR(INDEX(Settings!$L$4:$L$56,MATCH(C658,Settings!$K$4:$K$56,0)),"Unknown"))</f>
        <v/>
      </c>
      <c r="I658" s="8" t="str">
        <f t="shared" si="30"/>
        <v/>
      </c>
      <c r="J658" s="8" t="str">
        <f t="shared" si="31"/>
        <v/>
      </c>
      <c r="K658" s="24"/>
      <c r="L658" s="7" t="str">
        <f t="shared" si="32"/>
        <v/>
      </c>
    </row>
    <row r="659" spans="1:12" x14ac:dyDescent="0.25">
      <c r="A659" s="23"/>
      <c r="B659" s="24"/>
      <c r="C659" s="24"/>
      <c r="D659" s="24"/>
      <c r="E659" s="24"/>
      <c r="F659" s="24"/>
      <c r="G659" s="25"/>
      <c r="H659" s="16" t="str">
        <f>IF(C659="","",IFERROR(INDEX(Settings!$L$4:$L$56,MATCH(C659,Settings!$K$4:$K$56,0)),"Unknown"))</f>
        <v/>
      </c>
      <c r="I659" s="8" t="str">
        <f t="shared" si="30"/>
        <v/>
      </c>
      <c r="J659" s="8" t="str">
        <f t="shared" si="31"/>
        <v/>
      </c>
      <c r="K659" s="24"/>
      <c r="L659" s="7" t="str">
        <f t="shared" si="32"/>
        <v/>
      </c>
    </row>
    <row r="660" spans="1:12" x14ac:dyDescent="0.25">
      <c r="A660" s="23"/>
      <c r="B660" s="24"/>
      <c r="C660" s="24"/>
      <c r="D660" s="24"/>
      <c r="E660" s="24"/>
      <c r="F660" s="24"/>
      <c r="G660" s="25"/>
      <c r="H660" s="16" t="str">
        <f>IF(C660="","",IFERROR(INDEX(Settings!$L$4:$L$56,MATCH(C660,Settings!$K$4:$K$56,0)),"Unknown"))</f>
        <v/>
      </c>
      <c r="I660" s="8" t="str">
        <f t="shared" si="30"/>
        <v/>
      </c>
      <c r="J660" s="8" t="str">
        <f t="shared" si="31"/>
        <v/>
      </c>
      <c r="K660" s="24"/>
      <c r="L660" s="7" t="str">
        <f t="shared" si="32"/>
        <v/>
      </c>
    </row>
    <row r="661" spans="1:12" x14ac:dyDescent="0.25">
      <c r="A661" s="23"/>
      <c r="B661" s="24"/>
      <c r="C661" s="24"/>
      <c r="D661" s="24"/>
      <c r="E661" s="24"/>
      <c r="F661" s="24"/>
      <c r="G661" s="25"/>
      <c r="H661" s="16" t="str">
        <f>IF(C661="","",IFERROR(INDEX(Settings!$L$4:$L$56,MATCH(C661,Settings!$K$4:$K$56,0)),"Unknown"))</f>
        <v/>
      </c>
      <c r="I661" s="8" t="str">
        <f t="shared" si="30"/>
        <v/>
      </c>
      <c r="J661" s="8" t="str">
        <f t="shared" si="31"/>
        <v/>
      </c>
      <c r="K661" s="24"/>
      <c r="L661" s="7" t="str">
        <f t="shared" si="32"/>
        <v/>
      </c>
    </row>
    <row r="662" spans="1:12" x14ac:dyDescent="0.25">
      <c r="A662" s="23"/>
      <c r="B662" s="24"/>
      <c r="C662" s="24"/>
      <c r="D662" s="24"/>
      <c r="E662" s="24"/>
      <c r="F662" s="24"/>
      <c r="G662" s="25"/>
      <c r="H662" s="16" t="str">
        <f>IF(C662="","",IFERROR(INDEX(Settings!$L$4:$L$56,MATCH(C662,Settings!$K$4:$K$56,0)),"Unknown"))</f>
        <v/>
      </c>
      <c r="I662" s="8" t="str">
        <f t="shared" si="30"/>
        <v/>
      </c>
      <c r="J662" s="8" t="str">
        <f t="shared" si="31"/>
        <v/>
      </c>
      <c r="K662" s="24"/>
      <c r="L662" s="7" t="str">
        <f t="shared" si="32"/>
        <v/>
      </c>
    </row>
    <row r="663" spans="1:12" x14ac:dyDescent="0.25">
      <c r="A663" s="23"/>
      <c r="B663" s="24"/>
      <c r="C663" s="24"/>
      <c r="D663" s="24"/>
      <c r="E663" s="24"/>
      <c r="F663" s="24"/>
      <c r="G663" s="25"/>
      <c r="H663" s="16" t="str">
        <f>IF(C663="","",IFERROR(INDEX(Settings!$L$4:$L$56,MATCH(C663,Settings!$K$4:$K$56,0)),"Unknown"))</f>
        <v/>
      </c>
      <c r="I663" s="8" t="str">
        <f t="shared" si="30"/>
        <v/>
      </c>
      <c r="J663" s="8" t="str">
        <f t="shared" si="31"/>
        <v/>
      </c>
      <c r="K663" s="24"/>
      <c r="L663" s="7" t="str">
        <f t="shared" si="32"/>
        <v/>
      </c>
    </row>
    <row r="664" spans="1:12" x14ac:dyDescent="0.25">
      <c r="A664" s="23"/>
      <c r="B664" s="24"/>
      <c r="C664" s="24"/>
      <c r="D664" s="24"/>
      <c r="E664" s="24"/>
      <c r="F664" s="24"/>
      <c r="G664" s="25"/>
      <c r="H664" s="16" t="str">
        <f>IF(C664="","",IFERROR(INDEX(Settings!$L$4:$L$56,MATCH(C664,Settings!$K$4:$K$56,0)),"Unknown"))</f>
        <v/>
      </c>
      <c r="I664" s="8" t="str">
        <f t="shared" si="30"/>
        <v/>
      </c>
      <c r="J664" s="8" t="str">
        <f t="shared" si="31"/>
        <v/>
      </c>
      <c r="K664" s="24"/>
      <c r="L664" s="7" t="str">
        <f t="shared" si="32"/>
        <v/>
      </c>
    </row>
    <row r="665" spans="1:12" x14ac:dyDescent="0.25">
      <c r="A665" s="23"/>
      <c r="B665" s="24"/>
      <c r="C665" s="24"/>
      <c r="D665" s="24"/>
      <c r="E665" s="24"/>
      <c r="F665" s="24"/>
      <c r="G665" s="25"/>
      <c r="H665" s="16" t="str">
        <f>IF(C665="","",IFERROR(INDEX(Settings!$L$4:$L$56,MATCH(C665,Settings!$K$4:$K$56,0)),"Unknown"))</f>
        <v/>
      </c>
      <c r="I665" s="8" t="str">
        <f t="shared" si="30"/>
        <v/>
      </c>
      <c r="J665" s="8" t="str">
        <f t="shared" si="31"/>
        <v/>
      </c>
      <c r="K665" s="24"/>
      <c r="L665" s="7" t="str">
        <f t="shared" si="32"/>
        <v/>
      </c>
    </row>
    <row r="666" spans="1:12" x14ac:dyDescent="0.25">
      <c r="A666" s="23"/>
      <c r="B666" s="24"/>
      <c r="C666" s="24"/>
      <c r="D666" s="24"/>
      <c r="E666" s="24"/>
      <c r="F666" s="24"/>
      <c r="G666" s="25"/>
      <c r="H666" s="16" t="str">
        <f>IF(C666="","",IFERROR(INDEX(Settings!$L$4:$L$56,MATCH(C666,Settings!$K$4:$K$56,0)),"Unknown"))</f>
        <v/>
      </c>
      <c r="I666" s="8" t="str">
        <f t="shared" si="30"/>
        <v/>
      </c>
      <c r="J666" s="8" t="str">
        <f t="shared" si="31"/>
        <v/>
      </c>
      <c r="K666" s="24"/>
      <c r="L666" s="7" t="str">
        <f t="shared" si="32"/>
        <v/>
      </c>
    </row>
    <row r="667" spans="1:12" x14ac:dyDescent="0.25">
      <c r="A667" s="23"/>
      <c r="B667" s="24"/>
      <c r="C667" s="24"/>
      <c r="D667" s="24"/>
      <c r="E667" s="24"/>
      <c r="F667" s="24"/>
      <c r="G667" s="25"/>
      <c r="H667" s="16" t="str">
        <f>IF(C667="","",IFERROR(INDEX(Settings!$L$4:$L$56,MATCH(C667,Settings!$K$4:$K$56,0)),"Unknown"))</f>
        <v/>
      </c>
      <c r="I667" s="8" t="str">
        <f t="shared" si="30"/>
        <v/>
      </c>
      <c r="J667" s="8" t="str">
        <f t="shared" si="31"/>
        <v/>
      </c>
      <c r="K667" s="24"/>
      <c r="L667" s="7" t="str">
        <f t="shared" si="32"/>
        <v/>
      </c>
    </row>
    <row r="668" spans="1:12" x14ac:dyDescent="0.25">
      <c r="A668" s="23"/>
      <c r="B668" s="24"/>
      <c r="C668" s="24"/>
      <c r="D668" s="24"/>
      <c r="E668" s="24"/>
      <c r="F668" s="24"/>
      <c r="G668" s="25"/>
      <c r="H668" s="16" t="str">
        <f>IF(C668="","",IFERROR(INDEX(Settings!$L$4:$L$56,MATCH(C668,Settings!$K$4:$K$56,0)),"Unknown"))</f>
        <v/>
      </c>
      <c r="I668" s="8" t="str">
        <f t="shared" si="30"/>
        <v/>
      </c>
      <c r="J668" s="8" t="str">
        <f t="shared" si="31"/>
        <v/>
      </c>
      <c r="K668" s="24"/>
      <c r="L668" s="7" t="str">
        <f t="shared" si="32"/>
        <v/>
      </c>
    </row>
    <row r="669" spans="1:12" x14ac:dyDescent="0.25">
      <c r="A669" s="23"/>
      <c r="B669" s="24"/>
      <c r="C669" s="24"/>
      <c r="D669" s="24"/>
      <c r="E669" s="24"/>
      <c r="F669" s="24"/>
      <c r="G669" s="25"/>
      <c r="H669" s="16" t="str">
        <f>IF(C669="","",IFERROR(INDEX(Settings!$L$4:$L$56,MATCH(C669,Settings!$K$4:$K$56,0)),"Unknown"))</f>
        <v/>
      </c>
      <c r="I669" s="8" t="str">
        <f t="shared" si="30"/>
        <v/>
      </c>
      <c r="J669" s="8" t="str">
        <f t="shared" si="31"/>
        <v/>
      </c>
      <c r="K669" s="24"/>
      <c r="L669" s="7" t="str">
        <f t="shared" si="32"/>
        <v/>
      </c>
    </row>
    <row r="670" spans="1:12" x14ac:dyDescent="0.25">
      <c r="A670" s="23"/>
      <c r="B670" s="24"/>
      <c r="C670" s="24"/>
      <c r="D670" s="24"/>
      <c r="E670" s="24"/>
      <c r="F670" s="24"/>
      <c r="G670" s="25"/>
      <c r="H670" s="16" t="str">
        <f>IF(C670="","",IFERROR(INDEX(Settings!$L$4:$L$56,MATCH(C670,Settings!$K$4:$K$56,0)),"Unknown"))</f>
        <v/>
      </c>
      <c r="I670" s="8" t="str">
        <f t="shared" si="30"/>
        <v/>
      </c>
      <c r="J670" s="8" t="str">
        <f t="shared" si="31"/>
        <v/>
      </c>
      <c r="K670" s="24"/>
      <c r="L670" s="7" t="str">
        <f t="shared" si="32"/>
        <v/>
      </c>
    </row>
    <row r="671" spans="1:12" x14ac:dyDescent="0.25">
      <c r="A671" s="23"/>
      <c r="B671" s="24"/>
      <c r="C671" s="24"/>
      <c r="D671" s="24"/>
      <c r="E671" s="24"/>
      <c r="F671" s="24"/>
      <c r="G671" s="25"/>
      <c r="H671" s="16" t="str">
        <f>IF(C671="","",IFERROR(INDEX(Settings!$L$4:$L$56,MATCH(C671,Settings!$K$4:$K$56,0)),"Unknown"))</f>
        <v/>
      </c>
      <c r="I671" s="8" t="str">
        <f t="shared" si="30"/>
        <v/>
      </c>
      <c r="J671" s="8" t="str">
        <f t="shared" si="31"/>
        <v/>
      </c>
      <c r="K671" s="24"/>
      <c r="L671" s="7" t="str">
        <f t="shared" si="32"/>
        <v/>
      </c>
    </row>
    <row r="672" spans="1:12" x14ac:dyDescent="0.25">
      <c r="A672" s="23"/>
      <c r="B672" s="24"/>
      <c r="C672" s="24"/>
      <c r="D672" s="24"/>
      <c r="E672" s="24"/>
      <c r="F672" s="24"/>
      <c r="G672" s="25"/>
      <c r="H672" s="16" t="str">
        <f>IF(C672="","",IFERROR(INDEX(Settings!$L$4:$L$56,MATCH(C672,Settings!$K$4:$K$56,0)),"Unknown"))</f>
        <v/>
      </c>
      <c r="I672" s="8" t="str">
        <f t="shared" si="30"/>
        <v/>
      </c>
      <c r="J672" s="8" t="str">
        <f t="shared" si="31"/>
        <v/>
      </c>
      <c r="K672" s="24"/>
      <c r="L672" s="7" t="str">
        <f t="shared" si="32"/>
        <v/>
      </c>
    </row>
    <row r="673" spans="1:12" x14ac:dyDescent="0.25">
      <c r="A673" s="23"/>
      <c r="B673" s="24"/>
      <c r="C673" s="24"/>
      <c r="D673" s="24"/>
      <c r="E673" s="24"/>
      <c r="F673" s="24"/>
      <c r="G673" s="25"/>
      <c r="H673" s="16" t="str">
        <f>IF(C673="","",IFERROR(INDEX(Settings!$L$4:$L$56,MATCH(C673,Settings!$K$4:$K$56,0)),"Unknown"))</f>
        <v/>
      </c>
      <c r="I673" s="8" t="str">
        <f t="shared" si="30"/>
        <v/>
      </c>
      <c r="J673" s="8" t="str">
        <f t="shared" si="31"/>
        <v/>
      </c>
      <c r="K673" s="24"/>
      <c r="L673" s="7" t="str">
        <f t="shared" si="32"/>
        <v/>
      </c>
    </row>
    <row r="674" spans="1:12" x14ac:dyDescent="0.25">
      <c r="A674" s="23"/>
      <c r="B674" s="24"/>
      <c r="C674" s="24"/>
      <c r="D674" s="24"/>
      <c r="E674" s="24"/>
      <c r="F674" s="24"/>
      <c r="G674" s="25"/>
      <c r="H674" s="16" t="str">
        <f>IF(C674="","",IFERROR(INDEX(Settings!$L$4:$L$56,MATCH(C674,Settings!$K$4:$K$56,0)),"Unknown"))</f>
        <v/>
      </c>
      <c r="I674" s="8" t="str">
        <f t="shared" si="30"/>
        <v/>
      </c>
      <c r="J674" s="8" t="str">
        <f t="shared" si="31"/>
        <v/>
      </c>
      <c r="K674" s="24"/>
      <c r="L674" s="7" t="str">
        <f t="shared" si="32"/>
        <v/>
      </c>
    </row>
    <row r="675" spans="1:12" x14ac:dyDescent="0.25">
      <c r="A675" s="23"/>
      <c r="B675" s="24"/>
      <c r="C675" s="24"/>
      <c r="D675" s="24"/>
      <c r="E675" s="24"/>
      <c r="F675" s="24"/>
      <c r="G675" s="25"/>
      <c r="H675" s="16" t="str">
        <f>IF(C675="","",IFERROR(INDEX(Settings!$L$4:$L$56,MATCH(C675,Settings!$K$4:$K$56,0)),"Unknown"))</f>
        <v/>
      </c>
      <c r="I675" s="8" t="str">
        <f t="shared" si="30"/>
        <v/>
      </c>
      <c r="J675" s="8" t="str">
        <f t="shared" si="31"/>
        <v/>
      </c>
      <c r="K675" s="24"/>
      <c r="L675" s="7" t="str">
        <f t="shared" si="32"/>
        <v/>
      </c>
    </row>
    <row r="676" spans="1:12" x14ac:dyDescent="0.25">
      <c r="A676" s="23"/>
      <c r="B676" s="24"/>
      <c r="C676" s="24"/>
      <c r="D676" s="24"/>
      <c r="E676" s="24"/>
      <c r="F676" s="24"/>
      <c r="G676" s="25"/>
      <c r="H676" s="16" t="str">
        <f>IF(C676="","",IFERROR(INDEX(Settings!$L$4:$L$56,MATCH(C676,Settings!$K$4:$K$56,0)),"Unknown"))</f>
        <v/>
      </c>
      <c r="I676" s="8" t="str">
        <f t="shared" si="30"/>
        <v/>
      </c>
      <c r="J676" s="8" t="str">
        <f t="shared" si="31"/>
        <v/>
      </c>
      <c r="K676" s="24"/>
      <c r="L676" s="7" t="str">
        <f t="shared" si="32"/>
        <v/>
      </c>
    </row>
    <row r="677" spans="1:12" x14ac:dyDescent="0.25">
      <c r="A677" s="23"/>
      <c r="B677" s="24"/>
      <c r="C677" s="24"/>
      <c r="D677" s="24"/>
      <c r="E677" s="24"/>
      <c r="F677" s="24"/>
      <c r="G677" s="25"/>
      <c r="H677" s="16" t="str">
        <f>IF(C677="","",IFERROR(INDEX(Settings!$L$4:$L$56,MATCH(C677,Settings!$K$4:$K$56,0)),"Unknown"))</f>
        <v/>
      </c>
      <c r="I677" s="8" t="str">
        <f t="shared" si="30"/>
        <v/>
      </c>
      <c r="J677" s="8" t="str">
        <f t="shared" si="31"/>
        <v/>
      </c>
      <c r="K677" s="24"/>
      <c r="L677" s="7" t="str">
        <f t="shared" si="32"/>
        <v/>
      </c>
    </row>
    <row r="678" spans="1:12" x14ac:dyDescent="0.25">
      <c r="A678" s="23"/>
      <c r="B678" s="24"/>
      <c r="C678" s="24"/>
      <c r="D678" s="24"/>
      <c r="E678" s="24"/>
      <c r="F678" s="24"/>
      <c r="G678" s="25"/>
      <c r="H678" s="16" t="str">
        <f>IF(C678="","",IFERROR(INDEX(Settings!$L$4:$L$56,MATCH(C678,Settings!$K$4:$K$56,0)),"Unknown"))</f>
        <v/>
      </c>
      <c r="I678" s="8" t="str">
        <f t="shared" si="30"/>
        <v/>
      </c>
      <c r="J678" s="8" t="str">
        <f t="shared" si="31"/>
        <v/>
      </c>
      <c r="K678" s="24"/>
      <c r="L678" s="7" t="str">
        <f t="shared" si="32"/>
        <v/>
      </c>
    </row>
    <row r="679" spans="1:12" x14ac:dyDescent="0.25">
      <c r="A679" s="23"/>
      <c r="B679" s="24"/>
      <c r="C679" s="24"/>
      <c r="D679" s="24"/>
      <c r="E679" s="24"/>
      <c r="F679" s="24"/>
      <c r="G679" s="25"/>
      <c r="H679" s="16" t="str">
        <f>IF(C679="","",IFERROR(INDEX(Settings!$L$4:$L$56,MATCH(C679,Settings!$K$4:$K$56,0)),"Unknown"))</f>
        <v/>
      </c>
      <c r="I679" s="8" t="str">
        <f t="shared" si="30"/>
        <v/>
      </c>
      <c r="J679" s="8" t="str">
        <f t="shared" si="31"/>
        <v/>
      </c>
      <c r="K679" s="24"/>
      <c r="L679" s="7" t="str">
        <f t="shared" si="32"/>
        <v/>
      </c>
    </row>
    <row r="680" spans="1:12" x14ac:dyDescent="0.25">
      <c r="A680" s="23"/>
      <c r="B680" s="24"/>
      <c r="C680" s="24"/>
      <c r="D680" s="24"/>
      <c r="E680" s="24"/>
      <c r="F680" s="24"/>
      <c r="G680" s="25"/>
      <c r="H680" s="16" t="str">
        <f>IF(C680="","",IFERROR(INDEX(Settings!$L$4:$L$56,MATCH(C680,Settings!$K$4:$K$56,0)),"Unknown"))</f>
        <v/>
      </c>
      <c r="I680" s="8" t="str">
        <f t="shared" si="30"/>
        <v/>
      </c>
      <c r="J680" s="8" t="str">
        <f t="shared" si="31"/>
        <v/>
      </c>
      <c r="K680" s="24"/>
      <c r="L680" s="7" t="str">
        <f t="shared" si="32"/>
        <v/>
      </c>
    </row>
    <row r="681" spans="1:12" x14ac:dyDescent="0.25">
      <c r="A681" s="23"/>
      <c r="B681" s="24"/>
      <c r="C681" s="24"/>
      <c r="D681" s="24"/>
      <c r="E681" s="24"/>
      <c r="F681" s="24"/>
      <c r="G681" s="25"/>
      <c r="H681" s="16" t="str">
        <f>IF(C681="","",IFERROR(INDEX(Settings!$L$4:$L$56,MATCH(C681,Settings!$K$4:$K$56,0)),"Unknown"))</f>
        <v/>
      </c>
      <c r="I681" s="8" t="str">
        <f t="shared" si="30"/>
        <v/>
      </c>
      <c r="J681" s="8" t="str">
        <f t="shared" si="31"/>
        <v/>
      </c>
      <c r="K681" s="24"/>
      <c r="L681" s="7" t="str">
        <f t="shared" si="32"/>
        <v/>
      </c>
    </row>
    <row r="682" spans="1:12" x14ac:dyDescent="0.25">
      <c r="A682" s="23"/>
      <c r="B682" s="24"/>
      <c r="C682" s="24"/>
      <c r="D682" s="24"/>
      <c r="E682" s="24"/>
      <c r="F682" s="24"/>
      <c r="G682" s="25"/>
      <c r="H682" s="16" t="str">
        <f>IF(C682="","",IFERROR(INDEX(Settings!$L$4:$L$56,MATCH(C682,Settings!$K$4:$K$56,0)),"Unknown"))</f>
        <v/>
      </c>
      <c r="I682" s="8" t="str">
        <f t="shared" si="30"/>
        <v/>
      </c>
      <c r="J682" s="8" t="str">
        <f t="shared" si="31"/>
        <v/>
      </c>
      <c r="K682" s="24"/>
      <c r="L682" s="7" t="str">
        <f t="shared" si="32"/>
        <v/>
      </c>
    </row>
    <row r="683" spans="1:12" x14ac:dyDescent="0.25">
      <c r="A683" s="23"/>
      <c r="B683" s="24"/>
      <c r="C683" s="24"/>
      <c r="D683" s="24"/>
      <c r="E683" s="24"/>
      <c r="F683" s="24"/>
      <c r="G683" s="25"/>
      <c r="H683" s="16" t="str">
        <f>IF(C683="","",IFERROR(INDEX(Settings!$L$4:$L$56,MATCH(C683,Settings!$K$4:$K$56,0)),"Unknown"))</f>
        <v/>
      </c>
      <c r="I683" s="8" t="str">
        <f t="shared" si="30"/>
        <v/>
      </c>
      <c r="J683" s="8" t="str">
        <f t="shared" si="31"/>
        <v/>
      </c>
      <c r="K683" s="24"/>
      <c r="L683" s="7" t="str">
        <f t="shared" si="32"/>
        <v/>
      </c>
    </row>
    <row r="684" spans="1:12" x14ac:dyDescent="0.25">
      <c r="A684" s="23"/>
      <c r="B684" s="24"/>
      <c r="C684" s="24"/>
      <c r="D684" s="24"/>
      <c r="E684" s="24"/>
      <c r="F684" s="24"/>
      <c r="G684" s="25"/>
      <c r="H684" s="16" t="str">
        <f>IF(C684="","",IFERROR(INDEX(Settings!$L$4:$L$56,MATCH(C684,Settings!$K$4:$K$56,0)),"Unknown"))</f>
        <v/>
      </c>
      <c r="I684" s="8" t="str">
        <f t="shared" si="30"/>
        <v/>
      </c>
      <c r="J684" s="8" t="str">
        <f t="shared" si="31"/>
        <v/>
      </c>
      <c r="K684" s="24"/>
      <c r="L684" s="7" t="str">
        <f t="shared" si="32"/>
        <v/>
      </c>
    </row>
    <row r="685" spans="1:12" x14ac:dyDescent="0.25">
      <c r="A685" s="23"/>
      <c r="B685" s="24"/>
      <c r="C685" s="24"/>
      <c r="D685" s="24"/>
      <c r="E685" s="24"/>
      <c r="F685" s="24"/>
      <c r="G685" s="25"/>
      <c r="H685" s="16" t="str">
        <f>IF(C685="","",IFERROR(INDEX(Settings!$L$4:$L$56,MATCH(C685,Settings!$K$4:$K$56,0)),"Unknown"))</f>
        <v/>
      </c>
      <c r="I685" s="8" t="str">
        <f t="shared" si="30"/>
        <v/>
      </c>
      <c r="J685" s="8" t="str">
        <f t="shared" si="31"/>
        <v/>
      </c>
      <c r="K685" s="24"/>
      <c r="L685" s="7" t="str">
        <f t="shared" si="32"/>
        <v/>
      </c>
    </row>
    <row r="686" spans="1:12" x14ac:dyDescent="0.25">
      <c r="A686" s="23"/>
      <c r="B686" s="24"/>
      <c r="C686" s="24"/>
      <c r="D686" s="24"/>
      <c r="E686" s="24"/>
      <c r="F686" s="24"/>
      <c r="G686" s="25"/>
      <c r="H686" s="16" t="str">
        <f>IF(C686="","",IFERROR(INDEX(Settings!$L$4:$L$56,MATCH(C686,Settings!$K$4:$K$56,0)),"Unknown"))</f>
        <v/>
      </c>
      <c r="I686" s="8" t="str">
        <f t="shared" si="30"/>
        <v/>
      </c>
      <c r="J686" s="8" t="str">
        <f t="shared" si="31"/>
        <v/>
      </c>
      <c r="K686" s="24"/>
      <c r="L686" s="7" t="str">
        <f t="shared" si="32"/>
        <v/>
      </c>
    </row>
    <row r="687" spans="1:12" x14ac:dyDescent="0.25">
      <c r="A687" s="23"/>
      <c r="B687" s="24"/>
      <c r="C687" s="24"/>
      <c r="D687" s="24"/>
      <c r="E687" s="24"/>
      <c r="F687" s="24"/>
      <c r="G687" s="25"/>
      <c r="H687" s="16" t="str">
        <f>IF(C687="","",IFERROR(INDEX(Settings!$L$4:$L$56,MATCH(C687,Settings!$K$4:$K$56,0)),"Unknown"))</f>
        <v/>
      </c>
      <c r="I687" s="8" t="str">
        <f t="shared" si="30"/>
        <v/>
      </c>
      <c r="J687" s="8" t="str">
        <f t="shared" si="31"/>
        <v/>
      </c>
      <c r="K687" s="24"/>
      <c r="L687" s="7" t="str">
        <f t="shared" si="32"/>
        <v/>
      </c>
    </row>
    <row r="688" spans="1:12" x14ac:dyDescent="0.25">
      <c r="A688" s="23"/>
      <c r="B688" s="24"/>
      <c r="C688" s="24"/>
      <c r="D688" s="24"/>
      <c r="E688" s="24"/>
      <c r="F688" s="24"/>
      <c r="G688" s="25"/>
      <c r="H688" s="16" t="str">
        <f>IF(C688="","",IFERROR(INDEX(Settings!$L$4:$L$56,MATCH(C688,Settings!$K$4:$K$56,0)),"Unknown"))</f>
        <v/>
      </c>
      <c r="I688" s="8" t="str">
        <f t="shared" si="30"/>
        <v/>
      </c>
      <c r="J688" s="8" t="str">
        <f t="shared" si="31"/>
        <v/>
      </c>
      <c r="K688" s="24"/>
      <c r="L688" s="7" t="str">
        <f t="shared" si="32"/>
        <v/>
      </c>
    </row>
    <row r="689" spans="1:12" x14ac:dyDescent="0.25">
      <c r="A689" s="23"/>
      <c r="B689" s="24"/>
      <c r="C689" s="24"/>
      <c r="D689" s="24"/>
      <c r="E689" s="24"/>
      <c r="F689" s="24"/>
      <c r="G689" s="25"/>
      <c r="H689" s="16" t="str">
        <f>IF(C689="","",IFERROR(INDEX(Settings!$L$4:$L$56,MATCH(C689,Settings!$K$4:$K$56,0)),"Unknown"))</f>
        <v/>
      </c>
      <c r="I689" s="8" t="str">
        <f t="shared" si="30"/>
        <v/>
      </c>
      <c r="J689" s="8" t="str">
        <f t="shared" si="31"/>
        <v/>
      </c>
      <c r="K689" s="24"/>
      <c r="L689" s="7" t="str">
        <f t="shared" si="32"/>
        <v/>
      </c>
    </row>
    <row r="690" spans="1:12" x14ac:dyDescent="0.25">
      <c r="A690" s="23"/>
      <c r="B690" s="24"/>
      <c r="C690" s="24"/>
      <c r="D690" s="24"/>
      <c r="E690" s="24"/>
      <c r="F690" s="24"/>
      <c r="G690" s="25"/>
      <c r="H690" s="16" t="str">
        <f>IF(C690="","",IFERROR(INDEX(Settings!$L$4:$L$56,MATCH(C690,Settings!$K$4:$K$56,0)),"Unknown"))</f>
        <v/>
      </c>
      <c r="I690" s="8" t="str">
        <f t="shared" si="30"/>
        <v/>
      </c>
      <c r="J690" s="8" t="str">
        <f t="shared" si="31"/>
        <v/>
      </c>
      <c r="K690" s="24"/>
      <c r="L690" s="7" t="str">
        <f t="shared" si="32"/>
        <v/>
      </c>
    </row>
    <row r="691" spans="1:12" x14ac:dyDescent="0.25">
      <c r="A691" s="23"/>
      <c r="B691" s="24"/>
      <c r="C691" s="24"/>
      <c r="D691" s="24"/>
      <c r="E691" s="24"/>
      <c r="F691" s="24"/>
      <c r="G691" s="25"/>
      <c r="H691" s="16" t="str">
        <f>IF(C691="","",IFERROR(INDEX(Settings!$L$4:$L$56,MATCH(C691,Settings!$K$4:$K$56,0)),"Unknown"))</f>
        <v/>
      </c>
      <c r="I691" s="8" t="str">
        <f t="shared" si="30"/>
        <v/>
      </c>
      <c r="J691" s="8" t="str">
        <f t="shared" si="31"/>
        <v/>
      </c>
      <c r="K691" s="24"/>
      <c r="L691" s="7" t="str">
        <f t="shared" si="32"/>
        <v/>
      </c>
    </row>
    <row r="692" spans="1:12" x14ac:dyDescent="0.25">
      <c r="A692" s="23"/>
      <c r="B692" s="24"/>
      <c r="C692" s="24"/>
      <c r="D692" s="24"/>
      <c r="E692" s="24"/>
      <c r="F692" s="24"/>
      <c r="G692" s="25"/>
      <c r="H692" s="16" t="str">
        <f>IF(C692="","",IFERROR(INDEX(Settings!$L$4:$L$56,MATCH(C692,Settings!$K$4:$K$56,0)),"Unknown"))</f>
        <v/>
      </c>
      <c r="I692" s="8" t="str">
        <f t="shared" si="30"/>
        <v/>
      </c>
      <c r="J692" s="8" t="str">
        <f t="shared" si="31"/>
        <v/>
      </c>
      <c r="K692" s="24"/>
      <c r="L692" s="7" t="str">
        <f t="shared" si="32"/>
        <v/>
      </c>
    </row>
    <row r="693" spans="1:12" x14ac:dyDescent="0.25">
      <c r="A693" s="23"/>
      <c r="B693" s="24"/>
      <c r="C693" s="24"/>
      <c r="D693" s="24"/>
      <c r="E693" s="24"/>
      <c r="F693" s="24"/>
      <c r="G693" s="25"/>
      <c r="H693" s="16" t="str">
        <f>IF(C693="","",IFERROR(INDEX(Settings!$L$4:$L$56,MATCH(C693,Settings!$K$4:$K$56,0)),"Unknown"))</f>
        <v/>
      </c>
      <c r="I693" s="8" t="str">
        <f t="shared" si="30"/>
        <v/>
      </c>
      <c r="J693" s="8" t="str">
        <f t="shared" si="31"/>
        <v/>
      </c>
      <c r="K693" s="24"/>
      <c r="L693" s="7" t="str">
        <f t="shared" si="32"/>
        <v/>
      </c>
    </row>
    <row r="694" spans="1:12" x14ac:dyDescent="0.25">
      <c r="A694" s="23"/>
      <c r="B694" s="24"/>
      <c r="C694" s="24"/>
      <c r="D694" s="24"/>
      <c r="E694" s="24"/>
      <c r="F694" s="24"/>
      <c r="G694" s="25"/>
      <c r="H694" s="16" t="str">
        <f>IF(C694="","",IFERROR(INDEX(Settings!$L$4:$L$56,MATCH(C694,Settings!$K$4:$K$56,0)),"Unknown"))</f>
        <v/>
      </c>
      <c r="I694" s="8" t="str">
        <f t="shared" si="30"/>
        <v/>
      </c>
      <c r="J694" s="8" t="str">
        <f t="shared" si="31"/>
        <v/>
      </c>
      <c r="K694" s="24"/>
      <c r="L694" s="7" t="str">
        <f t="shared" si="32"/>
        <v/>
      </c>
    </row>
    <row r="695" spans="1:12" x14ac:dyDescent="0.25">
      <c r="A695" s="23"/>
      <c r="B695" s="24"/>
      <c r="C695" s="24"/>
      <c r="D695" s="24"/>
      <c r="E695" s="24"/>
      <c r="F695" s="24"/>
      <c r="G695" s="25"/>
      <c r="H695" s="16" t="str">
        <f>IF(C695="","",IFERROR(INDEX(Settings!$L$4:$L$56,MATCH(C695,Settings!$K$4:$K$56,0)),"Unknown"))</f>
        <v/>
      </c>
      <c r="I695" s="8" t="str">
        <f t="shared" si="30"/>
        <v/>
      </c>
      <c r="J695" s="8" t="str">
        <f t="shared" si="31"/>
        <v/>
      </c>
      <c r="K695" s="24"/>
      <c r="L695" s="7" t="str">
        <f t="shared" si="32"/>
        <v/>
      </c>
    </row>
    <row r="696" spans="1:12" x14ac:dyDescent="0.25">
      <c r="A696" s="23"/>
      <c r="B696" s="24"/>
      <c r="C696" s="24"/>
      <c r="D696" s="24"/>
      <c r="E696" s="24"/>
      <c r="F696" s="24"/>
      <c r="G696" s="25"/>
      <c r="H696" s="16" t="str">
        <f>IF(C696="","",IFERROR(INDEX(Settings!$L$4:$L$56,MATCH(C696,Settings!$K$4:$K$56,0)),"Unknown"))</f>
        <v/>
      </c>
      <c r="I696" s="8" t="str">
        <f t="shared" si="30"/>
        <v/>
      </c>
      <c r="J696" s="8" t="str">
        <f t="shared" si="31"/>
        <v/>
      </c>
      <c r="K696" s="24"/>
      <c r="L696" s="7" t="str">
        <f t="shared" si="32"/>
        <v/>
      </c>
    </row>
    <row r="697" spans="1:12" x14ac:dyDescent="0.25">
      <c r="A697" s="23"/>
      <c r="B697" s="24"/>
      <c r="C697" s="24"/>
      <c r="D697" s="24"/>
      <c r="E697" s="24"/>
      <c r="F697" s="24"/>
      <c r="G697" s="25"/>
      <c r="H697" s="16" t="str">
        <f>IF(C697="","",IFERROR(INDEX(Settings!$L$4:$L$56,MATCH(C697,Settings!$K$4:$K$56,0)),"Unknown"))</f>
        <v/>
      </c>
      <c r="I697" s="8" t="str">
        <f t="shared" si="30"/>
        <v/>
      </c>
      <c r="J697" s="8" t="str">
        <f t="shared" si="31"/>
        <v/>
      </c>
      <c r="K697" s="24"/>
      <c r="L697" s="7" t="str">
        <f t="shared" si="32"/>
        <v/>
      </c>
    </row>
    <row r="698" spans="1:12" x14ac:dyDescent="0.25">
      <c r="A698" s="23"/>
      <c r="B698" s="24"/>
      <c r="C698" s="24"/>
      <c r="D698" s="24"/>
      <c r="E698" s="24"/>
      <c r="F698" s="24"/>
      <c r="G698" s="25"/>
      <c r="H698" s="16" t="str">
        <f>IF(C698="","",IFERROR(INDEX(Settings!$L$4:$L$56,MATCH(C698,Settings!$K$4:$K$56,0)),"Unknown"))</f>
        <v/>
      </c>
      <c r="I698" s="8" t="str">
        <f t="shared" si="30"/>
        <v/>
      </c>
      <c r="J698" s="8" t="str">
        <f t="shared" si="31"/>
        <v/>
      </c>
      <c r="K698" s="24"/>
      <c r="L698" s="7" t="str">
        <f t="shared" si="32"/>
        <v/>
      </c>
    </row>
    <row r="699" spans="1:12" x14ac:dyDescent="0.25">
      <c r="A699" s="23"/>
      <c r="B699" s="24"/>
      <c r="C699" s="24"/>
      <c r="D699" s="24"/>
      <c r="E699" s="24"/>
      <c r="F699" s="24"/>
      <c r="G699" s="25"/>
      <c r="H699" s="16" t="str">
        <f>IF(C699="","",IFERROR(INDEX(Settings!$L$4:$L$56,MATCH(C699,Settings!$K$4:$K$56,0)),"Unknown"))</f>
        <v/>
      </c>
      <c r="I699" s="8" t="str">
        <f t="shared" si="30"/>
        <v/>
      </c>
      <c r="J699" s="8" t="str">
        <f t="shared" si="31"/>
        <v/>
      </c>
      <c r="K699" s="24"/>
      <c r="L699" s="7" t="str">
        <f t="shared" si="32"/>
        <v/>
      </c>
    </row>
    <row r="700" spans="1:12" x14ac:dyDescent="0.25">
      <c r="A700" s="23"/>
      <c r="B700" s="24"/>
      <c r="C700" s="24"/>
      <c r="D700" s="24"/>
      <c r="E700" s="24"/>
      <c r="F700" s="24"/>
      <c r="G700" s="25"/>
      <c r="H700" s="16" t="str">
        <f>IF(C700="","",IFERROR(INDEX(Settings!$L$4:$L$56,MATCH(C700,Settings!$K$4:$K$56,0)),"Unknown"))</f>
        <v/>
      </c>
      <c r="I700" s="8" t="str">
        <f t="shared" si="30"/>
        <v/>
      </c>
      <c r="J700" s="8" t="str">
        <f t="shared" si="31"/>
        <v/>
      </c>
      <c r="K700" s="24"/>
      <c r="L700" s="7" t="str">
        <f t="shared" si="32"/>
        <v/>
      </c>
    </row>
    <row r="701" spans="1:12" x14ac:dyDescent="0.25">
      <c r="A701" s="23"/>
      <c r="B701" s="24"/>
      <c r="C701" s="24"/>
      <c r="D701" s="24"/>
      <c r="E701" s="24"/>
      <c r="F701" s="24"/>
      <c r="G701" s="25"/>
      <c r="H701" s="16" t="str">
        <f>IF(C701="","",IFERROR(INDEX(Settings!$L$4:$L$56,MATCH(C701,Settings!$K$4:$K$56,0)),"Unknown"))</f>
        <v/>
      </c>
      <c r="I701" s="8" t="str">
        <f t="shared" si="30"/>
        <v/>
      </c>
      <c r="J701" s="8" t="str">
        <f t="shared" si="31"/>
        <v/>
      </c>
      <c r="K701" s="24"/>
      <c r="L701" s="7" t="str">
        <f t="shared" si="32"/>
        <v/>
      </c>
    </row>
    <row r="702" spans="1:12" x14ac:dyDescent="0.25">
      <c r="A702" s="23"/>
      <c r="B702" s="24"/>
      <c r="C702" s="24"/>
      <c r="D702" s="24"/>
      <c r="E702" s="24"/>
      <c r="F702" s="24"/>
      <c r="G702" s="25"/>
      <c r="H702" s="16" t="str">
        <f>IF(C702="","",IFERROR(INDEX(Settings!$L$4:$L$56,MATCH(C702,Settings!$K$4:$K$56,0)),"Unknown"))</f>
        <v/>
      </c>
      <c r="I702" s="8" t="str">
        <f t="shared" si="30"/>
        <v/>
      </c>
      <c r="J702" s="8" t="str">
        <f t="shared" si="31"/>
        <v/>
      </c>
      <c r="K702" s="24"/>
      <c r="L702" s="7" t="str">
        <f t="shared" si="32"/>
        <v/>
      </c>
    </row>
    <row r="703" spans="1:12" x14ac:dyDescent="0.25">
      <c r="A703" s="23"/>
      <c r="B703" s="24"/>
      <c r="C703" s="24"/>
      <c r="D703" s="24"/>
      <c r="E703" s="24"/>
      <c r="F703" s="24"/>
      <c r="G703" s="25"/>
      <c r="H703" s="16" t="str">
        <f>IF(C703="","",IFERROR(INDEX(Settings!$L$4:$L$56,MATCH(C703,Settings!$K$4:$K$56,0)),"Unknown"))</f>
        <v/>
      </c>
      <c r="I703" s="8" t="str">
        <f t="shared" si="30"/>
        <v/>
      </c>
      <c r="J703" s="8" t="str">
        <f t="shared" si="31"/>
        <v/>
      </c>
      <c r="K703" s="24"/>
      <c r="L703" s="7" t="str">
        <f t="shared" si="32"/>
        <v/>
      </c>
    </row>
    <row r="704" spans="1:12" x14ac:dyDescent="0.25">
      <c r="A704" s="23"/>
      <c r="B704" s="24"/>
      <c r="C704" s="24"/>
      <c r="D704" s="24"/>
      <c r="E704" s="24"/>
      <c r="F704" s="24"/>
      <c r="G704" s="25"/>
      <c r="H704" s="16" t="str">
        <f>IF(C704="","",IFERROR(INDEX(Settings!$L$4:$L$56,MATCH(C704,Settings!$K$4:$K$56,0)),"Unknown"))</f>
        <v/>
      </c>
      <c r="I704" s="8" t="str">
        <f t="shared" si="30"/>
        <v/>
      </c>
      <c r="J704" s="8" t="str">
        <f t="shared" si="31"/>
        <v/>
      </c>
      <c r="K704" s="24"/>
      <c r="L704" s="7" t="str">
        <f t="shared" si="32"/>
        <v/>
      </c>
    </row>
    <row r="705" spans="1:12" x14ac:dyDescent="0.25">
      <c r="A705" s="23"/>
      <c r="B705" s="24"/>
      <c r="C705" s="24"/>
      <c r="D705" s="24"/>
      <c r="E705" s="24"/>
      <c r="F705" s="24"/>
      <c r="G705" s="25"/>
      <c r="H705" s="16" t="str">
        <f>IF(C705="","",IFERROR(INDEX(Settings!$L$4:$L$56,MATCH(C705,Settings!$K$4:$K$56,0)),"Unknown"))</f>
        <v/>
      </c>
      <c r="I705" s="8" t="str">
        <f t="shared" si="30"/>
        <v/>
      </c>
      <c r="J705" s="8" t="str">
        <f t="shared" si="31"/>
        <v/>
      </c>
      <c r="K705" s="24"/>
      <c r="L705" s="7" t="str">
        <f t="shared" si="32"/>
        <v/>
      </c>
    </row>
    <row r="706" spans="1:12" x14ac:dyDescent="0.25">
      <c r="A706" s="23"/>
      <c r="B706" s="24"/>
      <c r="C706" s="24"/>
      <c r="D706" s="24"/>
      <c r="E706" s="24"/>
      <c r="F706" s="24"/>
      <c r="G706" s="25"/>
      <c r="H706" s="16" t="str">
        <f>IF(C706="","",IFERROR(INDEX(Settings!$L$4:$L$56,MATCH(C706,Settings!$K$4:$K$56,0)),"Unknown"))</f>
        <v/>
      </c>
      <c r="I706" s="8" t="str">
        <f t="shared" si="30"/>
        <v/>
      </c>
      <c r="J706" s="8" t="str">
        <f t="shared" si="31"/>
        <v/>
      </c>
      <c r="K706" s="24"/>
      <c r="L706" s="7" t="str">
        <f t="shared" si="32"/>
        <v/>
      </c>
    </row>
    <row r="707" spans="1:12" x14ac:dyDescent="0.25">
      <c r="A707" s="23"/>
      <c r="B707" s="24"/>
      <c r="C707" s="24"/>
      <c r="D707" s="24"/>
      <c r="E707" s="24"/>
      <c r="F707" s="24"/>
      <c r="G707" s="25"/>
      <c r="H707" s="16" t="str">
        <f>IF(C707="","",IFERROR(INDEX(Settings!$L$4:$L$56,MATCH(C707,Settings!$K$4:$K$56,0)),"Unknown"))</f>
        <v/>
      </c>
      <c r="I707" s="8" t="str">
        <f t="shared" si="30"/>
        <v/>
      </c>
      <c r="J707" s="8" t="str">
        <f t="shared" si="31"/>
        <v/>
      </c>
      <c r="K707" s="24"/>
      <c r="L707" s="7" t="str">
        <f t="shared" si="32"/>
        <v/>
      </c>
    </row>
    <row r="708" spans="1:12" x14ac:dyDescent="0.25">
      <c r="A708" s="23"/>
      <c r="B708" s="24"/>
      <c r="C708" s="24"/>
      <c r="D708" s="24"/>
      <c r="E708" s="24"/>
      <c r="F708" s="24"/>
      <c r="G708" s="25"/>
      <c r="H708" s="16" t="str">
        <f>IF(C708="","",IFERROR(INDEX(Settings!$L$4:$L$56,MATCH(C708,Settings!$K$4:$K$56,0)),"Unknown"))</f>
        <v/>
      </c>
      <c r="I708" s="8" t="str">
        <f t="shared" si="30"/>
        <v/>
      </c>
      <c r="J708" s="8" t="str">
        <f t="shared" si="31"/>
        <v/>
      </c>
      <c r="K708" s="24"/>
      <c r="L708" s="7" t="str">
        <f t="shared" si="32"/>
        <v/>
      </c>
    </row>
    <row r="709" spans="1:12" x14ac:dyDescent="0.25">
      <c r="A709" s="23"/>
      <c r="B709" s="24"/>
      <c r="C709" s="24"/>
      <c r="D709" s="24"/>
      <c r="E709" s="24"/>
      <c r="F709" s="24"/>
      <c r="G709" s="25"/>
      <c r="H709" s="16" t="str">
        <f>IF(C709="","",IFERROR(INDEX(Settings!$L$4:$L$56,MATCH(C709,Settings!$K$4:$K$56,0)),"Unknown"))</f>
        <v/>
      </c>
      <c r="I709" s="8" t="str">
        <f t="shared" si="30"/>
        <v/>
      </c>
      <c r="J709" s="8" t="str">
        <f t="shared" si="31"/>
        <v/>
      </c>
      <c r="K709" s="24"/>
      <c r="L709" s="7" t="str">
        <f t="shared" si="32"/>
        <v/>
      </c>
    </row>
    <row r="710" spans="1:12" x14ac:dyDescent="0.25">
      <c r="A710" s="23"/>
      <c r="B710" s="24"/>
      <c r="C710" s="24"/>
      <c r="D710" s="24"/>
      <c r="E710" s="24"/>
      <c r="F710" s="24"/>
      <c r="G710" s="25"/>
      <c r="H710" s="16" t="str">
        <f>IF(C710="","",IFERROR(INDEX(Settings!$L$4:$L$56,MATCH(C710,Settings!$K$4:$K$56,0)),"Unknown"))</f>
        <v/>
      </c>
      <c r="I710" s="8" t="str">
        <f t="shared" ref="I710:I773" si="33">IF(A710="","",MONTH(A710))</f>
        <v/>
      </c>
      <c r="J710" s="8" t="str">
        <f t="shared" ref="J710:J773" si="34">IF(A710="","",YEAR(A710))</f>
        <v/>
      </c>
      <c r="K710" s="24"/>
      <c r="L710" s="7" t="str">
        <f t="shared" ref="L710:L773" si="35">IF(OR(B710="",C710=""),"",IF(AND(B710="Income",H710&lt;&gt;"Income"),"Category is not an Income category",IF(AND(B710="Expense",H710="Income"),"Category is an Income category","OK")))</f>
        <v/>
      </c>
    </row>
    <row r="711" spans="1:12" x14ac:dyDescent="0.25">
      <c r="A711" s="23"/>
      <c r="B711" s="24"/>
      <c r="C711" s="24"/>
      <c r="D711" s="24"/>
      <c r="E711" s="24"/>
      <c r="F711" s="24"/>
      <c r="G711" s="25"/>
      <c r="H711" s="16" t="str">
        <f>IF(C711="","",IFERROR(INDEX(Settings!$L$4:$L$56,MATCH(C711,Settings!$K$4:$K$56,0)),"Unknown"))</f>
        <v/>
      </c>
      <c r="I711" s="8" t="str">
        <f t="shared" si="33"/>
        <v/>
      </c>
      <c r="J711" s="8" t="str">
        <f t="shared" si="34"/>
        <v/>
      </c>
      <c r="K711" s="24"/>
      <c r="L711" s="7" t="str">
        <f t="shared" si="35"/>
        <v/>
      </c>
    </row>
    <row r="712" spans="1:12" x14ac:dyDescent="0.25">
      <c r="A712" s="23"/>
      <c r="B712" s="24"/>
      <c r="C712" s="24"/>
      <c r="D712" s="24"/>
      <c r="E712" s="24"/>
      <c r="F712" s="24"/>
      <c r="G712" s="25"/>
      <c r="H712" s="16" t="str">
        <f>IF(C712="","",IFERROR(INDEX(Settings!$L$4:$L$56,MATCH(C712,Settings!$K$4:$K$56,0)),"Unknown"))</f>
        <v/>
      </c>
      <c r="I712" s="8" t="str">
        <f t="shared" si="33"/>
        <v/>
      </c>
      <c r="J712" s="8" t="str">
        <f t="shared" si="34"/>
        <v/>
      </c>
      <c r="K712" s="24"/>
      <c r="L712" s="7" t="str">
        <f t="shared" si="35"/>
        <v/>
      </c>
    </row>
    <row r="713" spans="1:12" x14ac:dyDescent="0.25">
      <c r="A713" s="23"/>
      <c r="B713" s="24"/>
      <c r="C713" s="24"/>
      <c r="D713" s="24"/>
      <c r="E713" s="24"/>
      <c r="F713" s="24"/>
      <c r="G713" s="25"/>
      <c r="H713" s="16" t="str">
        <f>IF(C713="","",IFERROR(INDEX(Settings!$L$4:$L$56,MATCH(C713,Settings!$K$4:$K$56,0)),"Unknown"))</f>
        <v/>
      </c>
      <c r="I713" s="8" t="str">
        <f t="shared" si="33"/>
        <v/>
      </c>
      <c r="J713" s="8" t="str">
        <f t="shared" si="34"/>
        <v/>
      </c>
      <c r="K713" s="24"/>
      <c r="L713" s="7" t="str">
        <f t="shared" si="35"/>
        <v/>
      </c>
    </row>
    <row r="714" spans="1:12" x14ac:dyDescent="0.25">
      <c r="A714" s="23"/>
      <c r="B714" s="24"/>
      <c r="C714" s="24"/>
      <c r="D714" s="24"/>
      <c r="E714" s="24"/>
      <c r="F714" s="24"/>
      <c r="G714" s="25"/>
      <c r="H714" s="16" t="str">
        <f>IF(C714="","",IFERROR(INDEX(Settings!$L$4:$L$56,MATCH(C714,Settings!$K$4:$K$56,0)),"Unknown"))</f>
        <v/>
      </c>
      <c r="I714" s="8" t="str">
        <f t="shared" si="33"/>
        <v/>
      </c>
      <c r="J714" s="8" t="str">
        <f t="shared" si="34"/>
        <v/>
      </c>
      <c r="K714" s="24"/>
      <c r="L714" s="7" t="str">
        <f t="shared" si="35"/>
        <v/>
      </c>
    </row>
    <row r="715" spans="1:12" x14ac:dyDescent="0.25">
      <c r="A715" s="23"/>
      <c r="B715" s="24"/>
      <c r="C715" s="24"/>
      <c r="D715" s="24"/>
      <c r="E715" s="24"/>
      <c r="F715" s="24"/>
      <c r="G715" s="25"/>
      <c r="H715" s="16" t="str">
        <f>IF(C715="","",IFERROR(INDEX(Settings!$L$4:$L$56,MATCH(C715,Settings!$K$4:$K$56,0)),"Unknown"))</f>
        <v/>
      </c>
      <c r="I715" s="8" t="str">
        <f t="shared" si="33"/>
        <v/>
      </c>
      <c r="J715" s="8" t="str">
        <f t="shared" si="34"/>
        <v/>
      </c>
      <c r="K715" s="24"/>
      <c r="L715" s="7" t="str">
        <f t="shared" si="35"/>
        <v/>
      </c>
    </row>
    <row r="716" spans="1:12" x14ac:dyDescent="0.25">
      <c r="A716" s="23"/>
      <c r="B716" s="24"/>
      <c r="C716" s="24"/>
      <c r="D716" s="24"/>
      <c r="E716" s="24"/>
      <c r="F716" s="24"/>
      <c r="G716" s="25"/>
      <c r="H716" s="16" t="str">
        <f>IF(C716="","",IFERROR(INDEX(Settings!$L$4:$L$56,MATCH(C716,Settings!$K$4:$K$56,0)),"Unknown"))</f>
        <v/>
      </c>
      <c r="I716" s="8" t="str">
        <f t="shared" si="33"/>
        <v/>
      </c>
      <c r="J716" s="8" t="str">
        <f t="shared" si="34"/>
        <v/>
      </c>
      <c r="K716" s="24"/>
      <c r="L716" s="7" t="str">
        <f t="shared" si="35"/>
        <v/>
      </c>
    </row>
    <row r="717" spans="1:12" x14ac:dyDescent="0.25">
      <c r="A717" s="23"/>
      <c r="B717" s="24"/>
      <c r="C717" s="24"/>
      <c r="D717" s="24"/>
      <c r="E717" s="24"/>
      <c r="F717" s="24"/>
      <c r="G717" s="25"/>
      <c r="H717" s="16" t="str">
        <f>IF(C717="","",IFERROR(INDEX(Settings!$L$4:$L$56,MATCH(C717,Settings!$K$4:$K$56,0)),"Unknown"))</f>
        <v/>
      </c>
      <c r="I717" s="8" t="str">
        <f t="shared" si="33"/>
        <v/>
      </c>
      <c r="J717" s="8" t="str">
        <f t="shared" si="34"/>
        <v/>
      </c>
      <c r="K717" s="24"/>
      <c r="L717" s="7" t="str">
        <f t="shared" si="35"/>
        <v/>
      </c>
    </row>
    <row r="718" spans="1:12" x14ac:dyDescent="0.25">
      <c r="A718" s="23"/>
      <c r="B718" s="24"/>
      <c r="C718" s="24"/>
      <c r="D718" s="24"/>
      <c r="E718" s="24"/>
      <c r="F718" s="24"/>
      <c r="G718" s="25"/>
      <c r="H718" s="16" t="str">
        <f>IF(C718="","",IFERROR(INDEX(Settings!$L$4:$L$56,MATCH(C718,Settings!$K$4:$K$56,0)),"Unknown"))</f>
        <v/>
      </c>
      <c r="I718" s="8" t="str">
        <f t="shared" si="33"/>
        <v/>
      </c>
      <c r="J718" s="8" t="str">
        <f t="shared" si="34"/>
        <v/>
      </c>
      <c r="K718" s="24"/>
      <c r="L718" s="7" t="str">
        <f t="shared" si="35"/>
        <v/>
      </c>
    </row>
    <row r="719" spans="1:12" x14ac:dyDescent="0.25">
      <c r="A719" s="23"/>
      <c r="B719" s="24"/>
      <c r="C719" s="24"/>
      <c r="D719" s="24"/>
      <c r="E719" s="24"/>
      <c r="F719" s="24"/>
      <c r="G719" s="25"/>
      <c r="H719" s="16" t="str">
        <f>IF(C719="","",IFERROR(INDEX(Settings!$L$4:$L$56,MATCH(C719,Settings!$K$4:$K$56,0)),"Unknown"))</f>
        <v/>
      </c>
      <c r="I719" s="8" t="str">
        <f t="shared" si="33"/>
        <v/>
      </c>
      <c r="J719" s="8" t="str">
        <f t="shared" si="34"/>
        <v/>
      </c>
      <c r="K719" s="24"/>
      <c r="L719" s="7" t="str">
        <f t="shared" si="35"/>
        <v/>
      </c>
    </row>
    <row r="720" spans="1:12" x14ac:dyDescent="0.25">
      <c r="A720" s="23"/>
      <c r="B720" s="24"/>
      <c r="C720" s="24"/>
      <c r="D720" s="24"/>
      <c r="E720" s="24"/>
      <c r="F720" s="24"/>
      <c r="G720" s="25"/>
      <c r="H720" s="16" t="str">
        <f>IF(C720="","",IFERROR(INDEX(Settings!$L$4:$L$56,MATCH(C720,Settings!$K$4:$K$56,0)),"Unknown"))</f>
        <v/>
      </c>
      <c r="I720" s="8" t="str">
        <f t="shared" si="33"/>
        <v/>
      </c>
      <c r="J720" s="8" t="str">
        <f t="shared" si="34"/>
        <v/>
      </c>
      <c r="K720" s="24"/>
      <c r="L720" s="7" t="str">
        <f t="shared" si="35"/>
        <v/>
      </c>
    </row>
    <row r="721" spans="1:12" x14ac:dyDescent="0.25">
      <c r="A721" s="23"/>
      <c r="B721" s="24"/>
      <c r="C721" s="24"/>
      <c r="D721" s="24"/>
      <c r="E721" s="24"/>
      <c r="F721" s="24"/>
      <c r="G721" s="25"/>
      <c r="H721" s="16" t="str">
        <f>IF(C721="","",IFERROR(INDEX(Settings!$L$4:$L$56,MATCH(C721,Settings!$K$4:$K$56,0)),"Unknown"))</f>
        <v/>
      </c>
      <c r="I721" s="8" t="str">
        <f t="shared" si="33"/>
        <v/>
      </c>
      <c r="J721" s="8" t="str">
        <f t="shared" si="34"/>
        <v/>
      </c>
      <c r="K721" s="24"/>
      <c r="L721" s="7" t="str">
        <f t="shared" si="35"/>
        <v/>
      </c>
    </row>
    <row r="722" spans="1:12" x14ac:dyDescent="0.25">
      <c r="A722" s="23"/>
      <c r="B722" s="24"/>
      <c r="C722" s="24"/>
      <c r="D722" s="24"/>
      <c r="E722" s="24"/>
      <c r="F722" s="24"/>
      <c r="G722" s="25"/>
      <c r="H722" s="16" t="str">
        <f>IF(C722="","",IFERROR(INDEX(Settings!$L$4:$L$56,MATCH(C722,Settings!$K$4:$K$56,0)),"Unknown"))</f>
        <v/>
      </c>
      <c r="I722" s="8" t="str">
        <f t="shared" si="33"/>
        <v/>
      </c>
      <c r="J722" s="8" t="str">
        <f t="shared" si="34"/>
        <v/>
      </c>
      <c r="K722" s="24"/>
      <c r="L722" s="7" t="str">
        <f t="shared" si="35"/>
        <v/>
      </c>
    </row>
    <row r="723" spans="1:12" x14ac:dyDescent="0.25">
      <c r="A723" s="23"/>
      <c r="B723" s="24"/>
      <c r="C723" s="24"/>
      <c r="D723" s="24"/>
      <c r="E723" s="24"/>
      <c r="F723" s="24"/>
      <c r="G723" s="25"/>
      <c r="H723" s="16" t="str">
        <f>IF(C723="","",IFERROR(INDEX(Settings!$L$4:$L$56,MATCH(C723,Settings!$K$4:$K$56,0)),"Unknown"))</f>
        <v/>
      </c>
      <c r="I723" s="8" t="str">
        <f t="shared" si="33"/>
        <v/>
      </c>
      <c r="J723" s="8" t="str">
        <f t="shared" si="34"/>
        <v/>
      </c>
      <c r="K723" s="24"/>
      <c r="L723" s="7" t="str">
        <f t="shared" si="35"/>
        <v/>
      </c>
    </row>
    <row r="724" spans="1:12" x14ac:dyDescent="0.25">
      <c r="A724" s="23"/>
      <c r="B724" s="24"/>
      <c r="C724" s="24"/>
      <c r="D724" s="24"/>
      <c r="E724" s="24"/>
      <c r="F724" s="24"/>
      <c r="G724" s="25"/>
      <c r="H724" s="16" t="str">
        <f>IF(C724="","",IFERROR(INDEX(Settings!$L$4:$L$56,MATCH(C724,Settings!$K$4:$K$56,0)),"Unknown"))</f>
        <v/>
      </c>
      <c r="I724" s="8" t="str">
        <f t="shared" si="33"/>
        <v/>
      </c>
      <c r="J724" s="8" t="str">
        <f t="shared" si="34"/>
        <v/>
      </c>
      <c r="K724" s="24"/>
      <c r="L724" s="7" t="str">
        <f t="shared" si="35"/>
        <v/>
      </c>
    </row>
    <row r="725" spans="1:12" x14ac:dyDescent="0.25">
      <c r="A725" s="23"/>
      <c r="B725" s="24"/>
      <c r="C725" s="24"/>
      <c r="D725" s="24"/>
      <c r="E725" s="24"/>
      <c r="F725" s="24"/>
      <c r="G725" s="25"/>
      <c r="H725" s="16" t="str">
        <f>IF(C725="","",IFERROR(INDEX(Settings!$L$4:$L$56,MATCH(C725,Settings!$K$4:$K$56,0)),"Unknown"))</f>
        <v/>
      </c>
      <c r="I725" s="8" t="str">
        <f t="shared" si="33"/>
        <v/>
      </c>
      <c r="J725" s="8" t="str">
        <f t="shared" si="34"/>
        <v/>
      </c>
      <c r="K725" s="24"/>
      <c r="L725" s="7" t="str">
        <f t="shared" si="35"/>
        <v/>
      </c>
    </row>
    <row r="726" spans="1:12" x14ac:dyDescent="0.25">
      <c r="A726" s="23"/>
      <c r="B726" s="24"/>
      <c r="C726" s="24"/>
      <c r="D726" s="24"/>
      <c r="E726" s="24"/>
      <c r="F726" s="24"/>
      <c r="G726" s="25"/>
      <c r="H726" s="16" t="str">
        <f>IF(C726="","",IFERROR(INDEX(Settings!$L$4:$L$56,MATCH(C726,Settings!$K$4:$K$56,0)),"Unknown"))</f>
        <v/>
      </c>
      <c r="I726" s="8" t="str">
        <f t="shared" si="33"/>
        <v/>
      </c>
      <c r="J726" s="8" t="str">
        <f t="shared" si="34"/>
        <v/>
      </c>
      <c r="K726" s="24"/>
      <c r="L726" s="7" t="str">
        <f t="shared" si="35"/>
        <v/>
      </c>
    </row>
    <row r="727" spans="1:12" x14ac:dyDescent="0.25">
      <c r="A727" s="23"/>
      <c r="B727" s="24"/>
      <c r="C727" s="24"/>
      <c r="D727" s="24"/>
      <c r="E727" s="24"/>
      <c r="F727" s="24"/>
      <c r="G727" s="25"/>
      <c r="H727" s="16" t="str">
        <f>IF(C727="","",IFERROR(INDEX(Settings!$L$4:$L$56,MATCH(C727,Settings!$K$4:$K$56,0)),"Unknown"))</f>
        <v/>
      </c>
      <c r="I727" s="8" t="str">
        <f t="shared" si="33"/>
        <v/>
      </c>
      <c r="J727" s="8" t="str">
        <f t="shared" si="34"/>
        <v/>
      </c>
      <c r="K727" s="24"/>
      <c r="L727" s="7" t="str">
        <f t="shared" si="35"/>
        <v/>
      </c>
    </row>
    <row r="728" spans="1:12" x14ac:dyDescent="0.25">
      <c r="A728" s="23"/>
      <c r="B728" s="24"/>
      <c r="C728" s="24"/>
      <c r="D728" s="24"/>
      <c r="E728" s="24"/>
      <c r="F728" s="24"/>
      <c r="G728" s="25"/>
      <c r="H728" s="16" t="str">
        <f>IF(C728="","",IFERROR(INDEX(Settings!$L$4:$L$56,MATCH(C728,Settings!$K$4:$K$56,0)),"Unknown"))</f>
        <v/>
      </c>
      <c r="I728" s="8" t="str">
        <f t="shared" si="33"/>
        <v/>
      </c>
      <c r="J728" s="8" t="str">
        <f t="shared" si="34"/>
        <v/>
      </c>
      <c r="K728" s="24"/>
      <c r="L728" s="7" t="str">
        <f t="shared" si="35"/>
        <v/>
      </c>
    </row>
    <row r="729" spans="1:12" x14ac:dyDescent="0.25">
      <c r="A729" s="23"/>
      <c r="B729" s="24"/>
      <c r="C729" s="24"/>
      <c r="D729" s="24"/>
      <c r="E729" s="24"/>
      <c r="F729" s="24"/>
      <c r="G729" s="25"/>
      <c r="H729" s="16" t="str">
        <f>IF(C729="","",IFERROR(INDEX(Settings!$L$4:$L$56,MATCH(C729,Settings!$K$4:$K$56,0)),"Unknown"))</f>
        <v/>
      </c>
      <c r="I729" s="8" t="str">
        <f t="shared" si="33"/>
        <v/>
      </c>
      <c r="J729" s="8" t="str">
        <f t="shared" si="34"/>
        <v/>
      </c>
      <c r="K729" s="24"/>
      <c r="L729" s="7" t="str">
        <f t="shared" si="35"/>
        <v/>
      </c>
    </row>
    <row r="730" spans="1:12" x14ac:dyDescent="0.25">
      <c r="A730" s="23"/>
      <c r="B730" s="24"/>
      <c r="C730" s="24"/>
      <c r="D730" s="24"/>
      <c r="E730" s="24"/>
      <c r="F730" s="24"/>
      <c r="G730" s="25"/>
      <c r="H730" s="16" t="str">
        <f>IF(C730="","",IFERROR(INDEX(Settings!$L$4:$L$56,MATCH(C730,Settings!$K$4:$K$56,0)),"Unknown"))</f>
        <v/>
      </c>
      <c r="I730" s="8" t="str">
        <f t="shared" si="33"/>
        <v/>
      </c>
      <c r="J730" s="8" t="str">
        <f t="shared" si="34"/>
        <v/>
      </c>
      <c r="K730" s="24"/>
      <c r="L730" s="7" t="str">
        <f t="shared" si="35"/>
        <v/>
      </c>
    </row>
    <row r="731" spans="1:12" x14ac:dyDescent="0.25">
      <c r="A731" s="23"/>
      <c r="B731" s="24"/>
      <c r="C731" s="24"/>
      <c r="D731" s="24"/>
      <c r="E731" s="24"/>
      <c r="F731" s="24"/>
      <c r="G731" s="25"/>
      <c r="H731" s="16" t="str">
        <f>IF(C731="","",IFERROR(INDEX(Settings!$L$4:$L$56,MATCH(C731,Settings!$K$4:$K$56,0)),"Unknown"))</f>
        <v/>
      </c>
      <c r="I731" s="8" t="str">
        <f t="shared" si="33"/>
        <v/>
      </c>
      <c r="J731" s="8" t="str">
        <f t="shared" si="34"/>
        <v/>
      </c>
      <c r="K731" s="24"/>
      <c r="L731" s="7" t="str">
        <f t="shared" si="35"/>
        <v/>
      </c>
    </row>
    <row r="732" spans="1:12" x14ac:dyDescent="0.25">
      <c r="A732" s="23"/>
      <c r="B732" s="24"/>
      <c r="C732" s="24"/>
      <c r="D732" s="24"/>
      <c r="E732" s="24"/>
      <c r="F732" s="24"/>
      <c r="G732" s="25"/>
      <c r="H732" s="16" t="str">
        <f>IF(C732="","",IFERROR(INDEX(Settings!$L$4:$L$56,MATCH(C732,Settings!$K$4:$K$56,0)),"Unknown"))</f>
        <v/>
      </c>
      <c r="I732" s="8" t="str">
        <f t="shared" si="33"/>
        <v/>
      </c>
      <c r="J732" s="8" t="str">
        <f t="shared" si="34"/>
        <v/>
      </c>
      <c r="K732" s="24"/>
      <c r="L732" s="7" t="str">
        <f t="shared" si="35"/>
        <v/>
      </c>
    </row>
    <row r="733" spans="1:12" x14ac:dyDescent="0.25">
      <c r="A733" s="23"/>
      <c r="B733" s="24"/>
      <c r="C733" s="24"/>
      <c r="D733" s="24"/>
      <c r="E733" s="24"/>
      <c r="F733" s="24"/>
      <c r="G733" s="25"/>
      <c r="H733" s="16" t="str">
        <f>IF(C733="","",IFERROR(INDEX(Settings!$L$4:$L$56,MATCH(C733,Settings!$K$4:$K$56,0)),"Unknown"))</f>
        <v/>
      </c>
      <c r="I733" s="8" t="str">
        <f t="shared" si="33"/>
        <v/>
      </c>
      <c r="J733" s="8" t="str">
        <f t="shared" si="34"/>
        <v/>
      </c>
      <c r="K733" s="24"/>
      <c r="L733" s="7" t="str">
        <f t="shared" si="35"/>
        <v/>
      </c>
    </row>
    <row r="734" spans="1:12" x14ac:dyDescent="0.25">
      <c r="A734" s="23"/>
      <c r="B734" s="24"/>
      <c r="C734" s="24"/>
      <c r="D734" s="24"/>
      <c r="E734" s="24"/>
      <c r="F734" s="24"/>
      <c r="G734" s="25"/>
      <c r="H734" s="16" t="str">
        <f>IF(C734="","",IFERROR(INDEX(Settings!$L$4:$L$56,MATCH(C734,Settings!$K$4:$K$56,0)),"Unknown"))</f>
        <v/>
      </c>
      <c r="I734" s="8" t="str">
        <f t="shared" si="33"/>
        <v/>
      </c>
      <c r="J734" s="8" t="str">
        <f t="shared" si="34"/>
        <v/>
      </c>
      <c r="K734" s="24"/>
      <c r="L734" s="7" t="str">
        <f t="shared" si="35"/>
        <v/>
      </c>
    </row>
    <row r="735" spans="1:12" x14ac:dyDescent="0.25">
      <c r="A735" s="23"/>
      <c r="B735" s="24"/>
      <c r="C735" s="24"/>
      <c r="D735" s="24"/>
      <c r="E735" s="24"/>
      <c r="F735" s="24"/>
      <c r="G735" s="25"/>
      <c r="H735" s="16" t="str">
        <f>IF(C735="","",IFERROR(INDEX(Settings!$L$4:$L$56,MATCH(C735,Settings!$K$4:$K$56,0)),"Unknown"))</f>
        <v/>
      </c>
      <c r="I735" s="8" t="str">
        <f t="shared" si="33"/>
        <v/>
      </c>
      <c r="J735" s="8" t="str">
        <f t="shared" si="34"/>
        <v/>
      </c>
      <c r="K735" s="24"/>
      <c r="L735" s="7" t="str">
        <f t="shared" si="35"/>
        <v/>
      </c>
    </row>
    <row r="736" spans="1:12" x14ac:dyDescent="0.25">
      <c r="A736" s="23"/>
      <c r="B736" s="24"/>
      <c r="C736" s="24"/>
      <c r="D736" s="24"/>
      <c r="E736" s="24"/>
      <c r="F736" s="24"/>
      <c r="G736" s="25"/>
      <c r="H736" s="16" t="str">
        <f>IF(C736="","",IFERROR(INDEX(Settings!$L$4:$L$56,MATCH(C736,Settings!$K$4:$K$56,0)),"Unknown"))</f>
        <v/>
      </c>
      <c r="I736" s="8" t="str">
        <f t="shared" si="33"/>
        <v/>
      </c>
      <c r="J736" s="8" t="str">
        <f t="shared" si="34"/>
        <v/>
      </c>
      <c r="K736" s="24"/>
      <c r="L736" s="7" t="str">
        <f t="shared" si="35"/>
        <v/>
      </c>
    </row>
    <row r="737" spans="1:12" x14ac:dyDescent="0.25">
      <c r="A737" s="23"/>
      <c r="B737" s="24"/>
      <c r="C737" s="24"/>
      <c r="D737" s="24"/>
      <c r="E737" s="24"/>
      <c r="F737" s="24"/>
      <c r="G737" s="25"/>
      <c r="H737" s="16" t="str">
        <f>IF(C737="","",IFERROR(INDEX(Settings!$L$4:$L$56,MATCH(C737,Settings!$K$4:$K$56,0)),"Unknown"))</f>
        <v/>
      </c>
      <c r="I737" s="8" t="str">
        <f t="shared" si="33"/>
        <v/>
      </c>
      <c r="J737" s="8" t="str">
        <f t="shared" si="34"/>
        <v/>
      </c>
      <c r="K737" s="24"/>
      <c r="L737" s="7" t="str">
        <f t="shared" si="35"/>
        <v/>
      </c>
    </row>
    <row r="738" spans="1:12" x14ac:dyDescent="0.25">
      <c r="A738" s="23"/>
      <c r="B738" s="24"/>
      <c r="C738" s="24"/>
      <c r="D738" s="24"/>
      <c r="E738" s="24"/>
      <c r="F738" s="24"/>
      <c r="G738" s="25"/>
      <c r="H738" s="16" t="str">
        <f>IF(C738="","",IFERROR(INDEX(Settings!$L$4:$L$56,MATCH(C738,Settings!$K$4:$K$56,0)),"Unknown"))</f>
        <v/>
      </c>
      <c r="I738" s="8" t="str">
        <f t="shared" si="33"/>
        <v/>
      </c>
      <c r="J738" s="8" t="str">
        <f t="shared" si="34"/>
        <v/>
      </c>
      <c r="K738" s="24"/>
      <c r="L738" s="7" t="str">
        <f t="shared" si="35"/>
        <v/>
      </c>
    </row>
    <row r="739" spans="1:12" x14ac:dyDescent="0.25">
      <c r="A739" s="23"/>
      <c r="B739" s="24"/>
      <c r="C739" s="24"/>
      <c r="D739" s="24"/>
      <c r="E739" s="24"/>
      <c r="F739" s="24"/>
      <c r="G739" s="25"/>
      <c r="H739" s="16" t="str">
        <f>IF(C739="","",IFERROR(INDEX(Settings!$L$4:$L$56,MATCH(C739,Settings!$K$4:$K$56,0)),"Unknown"))</f>
        <v/>
      </c>
      <c r="I739" s="8" t="str">
        <f t="shared" si="33"/>
        <v/>
      </c>
      <c r="J739" s="8" t="str">
        <f t="shared" si="34"/>
        <v/>
      </c>
      <c r="K739" s="24"/>
      <c r="L739" s="7" t="str">
        <f t="shared" si="35"/>
        <v/>
      </c>
    </row>
    <row r="740" spans="1:12" x14ac:dyDescent="0.25">
      <c r="A740" s="23"/>
      <c r="B740" s="24"/>
      <c r="C740" s="24"/>
      <c r="D740" s="24"/>
      <c r="E740" s="24"/>
      <c r="F740" s="24"/>
      <c r="G740" s="25"/>
      <c r="H740" s="16" t="str">
        <f>IF(C740="","",IFERROR(INDEX(Settings!$L$4:$L$56,MATCH(C740,Settings!$K$4:$K$56,0)),"Unknown"))</f>
        <v/>
      </c>
      <c r="I740" s="8" t="str">
        <f t="shared" si="33"/>
        <v/>
      </c>
      <c r="J740" s="8" t="str">
        <f t="shared" si="34"/>
        <v/>
      </c>
      <c r="K740" s="24"/>
      <c r="L740" s="7" t="str">
        <f t="shared" si="35"/>
        <v/>
      </c>
    </row>
    <row r="741" spans="1:12" x14ac:dyDescent="0.25">
      <c r="A741" s="23"/>
      <c r="B741" s="24"/>
      <c r="C741" s="24"/>
      <c r="D741" s="24"/>
      <c r="E741" s="24"/>
      <c r="F741" s="24"/>
      <c r="G741" s="25"/>
      <c r="H741" s="16" t="str">
        <f>IF(C741="","",IFERROR(INDEX(Settings!$L$4:$L$56,MATCH(C741,Settings!$K$4:$K$56,0)),"Unknown"))</f>
        <v/>
      </c>
      <c r="I741" s="8" t="str">
        <f t="shared" si="33"/>
        <v/>
      </c>
      <c r="J741" s="8" t="str">
        <f t="shared" si="34"/>
        <v/>
      </c>
      <c r="K741" s="24"/>
      <c r="L741" s="7" t="str">
        <f t="shared" si="35"/>
        <v/>
      </c>
    </row>
    <row r="742" spans="1:12" x14ac:dyDescent="0.25">
      <c r="A742" s="23"/>
      <c r="B742" s="24"/>
      <c r="C742" s="24"/>
      <c r="D742" s="24"/>
      <c r="E742" s="24"/>
      <c r="F742" s="24"/>
      <c r="G742" s="25"/>
      <c r="H742" s="16" t="str">
        <f>IF(C742="","",IFERROR(INDEX(Settings!$L$4:$L$56,MATCH(C742,Settings!$K$4:$K$56,0)),"Unknown"))</f>
        <v/>
      </c>
      <c r="I742" s="8" t="str">
        <f t="shared" si="33"/>
        <v/>
      </c>
      <c r="J742" s="8" t="str">
        <f t="shared" si="34"/>
        <v/>
      </c>
      <c r="K742" s="24"/>
      <c r="L742" s="7" t="str">
        <f t="shared" si="35"/>
        <v/>
      </c>
    </row>
    <row r="743" spans="1:12" x14ac:dyDescent="0.25">
      <c r="A743" s="23"/>
      <c r="B743" s="24"/>
      <c r="C743" s="24"/>
      <c r="D743" s="24"/>
      <c r="E743" s="24"/>
      <c r="F743" s="24"/>
      <c r="G743" s="25"/>
      <c r="H743" s="16" t="str">
        <f>IF(C743="","",IFERROR(INDEX(Settings!$L$4:$L$56,MATCH(C743,Settings!$K$4:$K$56,0)),"Unknown"))</f>
        <v/>
      </c>
      <c r="I743" s="8" t="str">
        <f t="shared" si="33"/>
        <v/>
      </c>
      <c r="J743" s="8" t="str">
        <f t="shared" si="34"/>
        <v/>
      </c>
      <c r="K743" s="24"/>
      <c r="L743" s="7" t="str">
        <f t="shared" si="35"/>
        <v/>
      </c>
    </row>
    <row r="744" spans="1:12" x14ac:dyDescent="0.25">
      <c r="A744" s="23"/>
      <c r="B744" s="24"/>
      <c r="C744" s="24"/>
      <c r="D744" s="24"/>
      <c r="E744" s="24"/>
      <c r="F744" s="24"/>
      <c r="G744" s="25"/>
      <c r="H744" s="16" t="str">
        <f>IF(C744="","",IFERROR(INDEX(Settings!$L$4:$L$56,MATCH(C744,Settings!$K$4:$K$56,0)),"Unknown"))</f>
        <v/>
      </c>
      <c r="I744" s="8" t="str">
        <f t="shared" si="33"/>
        <v/>
      </c>
      <c r="J744" s="8" t="str">
        <f t="shared" si="34"/>
        <v/>
      </c>
      <c r="K744" s="24"/>
      <c r="L744" s="7" t="str">
        <f t="shared" si="35"/>
        <v/>
      </c>
    </row>
    <row r="745" spans="1:12" x14ac:dyDescent="0.25">
      <c r="A745" s="23"/>
      <c r="B745" s="24"/>
      <c r="C745" s="24"/>
      <c r="D745" s="24"/>
      <c r="E745" s="24"/>
      <c r="F745" s="24"/>
      <c r="G745" s="25"/>
      <c r="H745" s="16" t="str">
        <f>IF(C745="","",IFERROR(INDEX(Settings!$L$4:$L$56,MATCH(C745,Settings!$K$4:$K$56,0)),"Unknown"))</f>
        <v/>
      </c>
      <c r="I745" s="8" t="str">
        <f t="shared" si="33"/>
        <v/>
      </c>
      <c r="J745" s="8" t="str">
        <f t="shared" si="34"/>
        <v/>
      </c>
      <c r="K745" s="24"/>
      <c r="L745" s="7" t="str">
        <f t="shared" si="35"/>
        <v/>
      </c>
    </row>
    <row r="746" spans="1:12" x14ac:dyDescent="0.25">
      <c r="A746" s="23"/>
      <c r="B746" s="24"/>
      <c r="C746" s="24"/>
      <c r="D746" s="24"/>
      <c r="E746" s="24"/>
      <c r="F746" s="24"/>
      <c r="G746" s="25"/>
      <c r="H746" s="16" t="str">
        <f>IF(C746="","",IFERROR(INDEX(Settings!$L$4:$L$56,MATCH(C746,Settings!$K$4:$K$56,0)),"Unknown"))</f>
        <v/>
      </c>
      <c r="I746" s="8" t="str">
        <f t="shared" si="33"/>
        <v/>
      </c>
      <c r="J746" s="8" t="str">
        <f t="shared" si="34"/>
        <v/>
      </c>
      <c r="K746" s="24"/>
      <c r="L746" s="7" t="str">
        <f t="shared" si="35"/>
        <v/>
      </c>
    </row>
    <row r="747" spans="1:12" x14ac:dyDescent="0.25">
      <c r="A747" s="23"/>
      <c r="B747" s="24"/>
      <c r="C747" s="24"/>
      <c r="D747" s="24"/>
      <c r="E747" s="24"/>
      <c r="F747" s="24"/>
      <c r="G747" s="25"/>
      <c r="H747" s="16" t="str">
        <f>IF(C747="","",IFERROR(INDEX(Settings!$L$4:$L$56,MATCH(C747,Settings!$K$4:$K$56,0)),"Unknown"))</f>
        <v/>
      </c>
      <c r="I747" s="8" t="str">
        <f t="shared" si="33"/>
        <v/>
      </c>
      <c r="J747" s="8" t="str">
        <f t="shared" si="34"/>
        <v/>
      </c>
      <c r="K747" s="24"/>
      <c r="L747" s="7" t="str">
        <f t="shared" si="35"/>
        <v/>
      </c>
    </row>
    <row r="748" spans="1:12" x14ac:dyDescent="0.25">
      <c r="A748" s="23"/>
      <c r="B748" s="24"/>
      <c r="C748" s="24"/>
      <c r="D748" s="24"/>
      <c r="E748" s="24"/>
      <c r="F748" s="24"/>
      <c r="G748" s="25"/>
      <c r="H748" s="16" t="str">
        <f>IF(C748="","",IFERROR(INDEX(Settings!$L$4:$L$56,MATCH(C748,Settings!$K$4:$K$56,0)),"Unknown"))</f>
        <v/>
      </c>
      <c r="I748" s="8" t="str">
        <f t="shared" si="33"/>
        <v/>
      </c>
      <c r="J748" s="8" t="str">
        <f t="shared" si="34"/>
        <v/>
      </c>
      <c r="K748" s="24"/>
      <c r="L748" s="7" t="str">
        <f t="shared" si="35"/>
        <v/>
      </c>
    </row>
    <row r="749" spans="1:12" x14ac:dyDescent="0.25">
      <c r="A749" s="23"/>
      <c r="B749" s="24"/>
      <c r="C749" s="24"/>
      <c r="D749" s="24"/>
      <c r="E749" s="24"/>
      <c r="F749" s="24"/>
      <c r="G749" s="25"/>
      <c r="H749" s="16" t="str">
        <f>IF(C749="","",IFERROR(INDEX(Settings!$L$4:$L$56,MATCH(C749,Settings!$K$4:$K$56,0)),"Unknown"))</f>
        <v/>
      </c>
      <c r="I749" s="8" t="str">
        <f t="shared" si="33"/>
        <v/>
      </c>
      <c r="J749" s="8" t="str">
        <f t="shared" si="34"/>
        <v/>
      </c>
      <c r="K749" s="24"/>
      <c r="L749" s="7" t="str">
        <f t="shared" si="35"/>
        <v/>
      </c>
    </row>
    <row r="750" spans="1:12" x14ac:dyDescent="0.25">
      <c r="A750" s="23"/>
      <c r="B750" s="24"/>
      <c r="C750" s="24"/>
      <c r="D750" s="24"/>
      <c r="E750" s="24"/>
      <c r="F750" s="24"/>
      <c r="G750" s="25"/>
      <c r="H750" s="16" t="str">
        <f>IF(C750="","",IFERROR(INDEX(Settings!$L$4:$L$56,MATCH(C750,Settings!$K$4:$K$56,0)),"Unknown"))</f>
        <v/>
      </c>
      <c r="I750" s="8" t="str">
        <f t="shared" si="33"/>
        <v/>
      </c>
      <c r="J750" s="8" t="str">
        <f t="shared" si="34"/>
        <v/>
      </c>
      <c r="K750" s="24"/>
      <c r="L750" s="7" t="str">
        <f t="shared" si="35"/>
        <v/>
      </c>
    </row>
    <row r="751" spans="1:12" x14ac:dyDescent="0.25">
      <c r="A751" s="23"/>
      <c r="B751" s="24"/>
      <c r="C751" s="24"/>
      <c r="D751" s="24"/>
      <c r="E751" s="24"/>
      <c r="F751" s="24"/>
      <c r="G751" s="25"/>
      <c r="H751" s="16" t="str">
        <f>IF(C751="","",IFERROR(INDEX(Settings!$L$4:$L$56,MATCH(C751,Settings!$K$4:$K$56,0)),"Unknown"))</f>
        <v/>
      </c>
      <c r="I751" s="8" t="str">
        <f t="shared" si="33"/>
        <v/>
      </c>
      <c r="J751" s="8" t="str">
        <f t="shared" si="34"/>
        <v/>
      </c>
      <c r="K751" s="24"/>
      <c r="L751" s="7" t="str">
        <f t="shared" si="35"/>
        <v/>
      </c>
    </row>
    <row r="752" spans="1:12" x14ac:dyDescent="0.25">
      <c r="A752" s="23"/>
      <c r="B752" s="24"/>
      <c r="C752" s="24"/>
      <c r="D752" s="24"/>
      <c r="E752" s="24"/>
      <c r="F752" s="24"/>
      <c r="G752" s="25"/>
      <c r="H752" s="16" t="str">
        <f>IF(C752="","",IFERROR(INDEX(Settings!$L$4:$L$56,MATCH(C752,Settings!$K$4:$K$56,0)),"Unknown"))</f>
        <v/>
      </c>
      <c r="I752" s="8" t="str">
        <f t="shared" si="33"/>
        <v/>
      </c>
      <c r="J752" s="8" t="str">
        <f t="shared" si="34"/>
        <v/>
      </c>
      <c r="K752" s="24"/>
      <c r="L752" s="7" t="str">
        <f t="shared" si="35"/>
        <v/>
      </c>
    </row>
    <row r="753" spans="1:12" x14ac:dyDescent="0.25">
      <c r="A753" s="23"/>
      <c r="B753" s="24"/>
      <c r="C753" s="24"/>
      <c r="D753" s="24"/>
      <c r="E753" s="24"/>
      <c r="F753" s="24"/>
      <c r="G753" s="25"/>
      <c r="H753" s="16" t="str">
        <f>IF(C753="","",IFERROR(INDEX(Settings!$L$4:$L$56,MATCH(C753,Settings!$K$4:$K$56,0)),"Unknown"))</f>
        <v/>
      </c>
      <c r="I753" s="8" t="str">
        <f t="shared" si="33"/>
        <v/>
      </c>
      <c r="J753" s="8" t="str">
        <f t="shared" si="34"/>
        <v/>
      </c>
      <c r="K753" s="24"/>
      <c r="L753" s="7" t="str">
        <f t="shared" si="35"/>
        <v/>
      </c>
    </row>
    <row r="754" spans="1:12" x14ac:dyDescent="0.25">
      <c r="A754" s="23"/>
      <c r="B754" s="24"/>
      <c r="C754" s="24"/>
      <c r="D754" s="24"/>
      <c r="E754" s="24"/>
      <c r="F754" s="24"/>
      <c r="G754" s="25"/>
      <c r="H754" s="16" t="str">
        <f>IF(C754="","",IFERROR(INDEX(Settings!$L$4:$L$56,MATCH(C754,Settings!$K$4:$K$56,0)),"Unknown"))</f>
        <v/>
      </c>
      <c r="I754" s="8" t="str">
        <f t="shared" si="33"/>
        <v/>
      </c>
      <c r="J754" s="8" t="str">
        <f t="shared" si="34"/>
        <v/>
      </c>
      <c r="K754" s="24"/>
      <c r="L754" s="7" t="str">
        <f t="shared" si="35"/>
        <v/>
      </c>
    </row>
    <row r="755" spans="1:12" x14ac:dyDescent="0.25">
      <c r="A755" s="23"/>
      <c r="B755" s="24"/>
      <c r="C755" s="24"/>
      <c r="D755" s="24"/>
      <c r="E755" s="24"/>
      <c r="F755" s="24"/>
      <c r="G755" s="25"/>
      <c r="H755" s="16" t="str">
        <f>IF(C755="","",IFERROR(INDEX(Settings!$L$4:$L$56,MATCH(C755,Settings!$K$4:$K$56,0)),"Unknown"))</f>
        <v/>
      </c>
      <c r="I755" s="8" t="str">
        <f t="shared" si="33"/>
        <v/>
      </c>
      <c r="J755" s="8" t="str">
        <f t="shared" si="34"/>
        <v/>
      </c>
      <c r="K755" s="24"/>
      <c r="L755" s="7" t="str">
        <f t="shared" si="35"/>
        <v/>
      </c>
    </row>
    <row r="756" spans="1:12" x14ac:dyDescent="0.25">
      <c r="A756" s="23"/>
      <c r="B756" s="24"/>
      <c r="C756" s="24"/>
      <c r="D756" s="24"/>
      <c r="E756" s="24"/>
      <c r="F756" s="24"/>
      <c r="G756" s="25"/>
      <c r="H756" s="16" t="str">
        <f>IF(C756="","",IFERROR(INDEX(Settings!$L$4:$L$56,MATCH(C756,Settings!$K$4:$K$56,0)),"Unknown"))</f>
        <v/>
      </c>
      <c r="I756" s="8" t="str">
        <f t="shared" si="33"/>
        <v/>
      </c>
      <c r="J756" s="8" t="str">
        <f t="shared" si="34"/>
        <v/>
      </c>
      <c r="K756" s="24"/>
      <c r="L756" s="7" t="str">
        <f t="shared" si="35"/>
        <v/>
      </c>
    </row>
    <row r="757" spans="1:12" x14ac:dyDescent="0.25">
      <c r="A757" s="23"/>
      <c r="B757" s="24"/>
      <c r="C757" s="24"/>
      <c r="D757" s="24"/>
      <c r="E757" s="24"/>
      <c r="F757" s="24"/>
      <c r="G757" s="25"/>
      <c r="H757" s="16" t="str">
        <f>IF(C757="","",IFERROR(INDEX(Settings!$L$4:$L$56,MATCH(C757,Settings!$K$4:$K$56,0)),"Unknown"))</f>
        <v/>
      </c>
      <c r="I757" s="8" t="str">
        <f t="shared" si="33"/>
        <v/>
      </c>
      <c r="J757" s="8" t="str">
        <f t="shared" si="34"/>
        <v/>
      </c>
      <c r="K757" s="24"/>
      <c r="L757" s="7" t="str">
        <f t="shared" si="35"/>
        <v/>
      </c>
    </row>
    <row r="758" spans="1:12" x14ac:dyDescent="0.25">
      <c r="A758" s="23"/>
      <c r="B758" s="24"/>
      <c r="C758" s="24"/>
      <c r="D758" s="24"/>
      <c r="E758" s="24"/>
      <c r="F758" s="24"/>
      <c r="G758" s="25"/>
      <c r="H758" s="16" t="str">
        <f>IF(C758="","",IFERROR(INDEX(Settings!$L$4:$L$56,MATCH(C758,Settings!$K$4:$K$56,0)),"Unknown"))</f>
        <v/>
      </c>
      <c r="I758" s="8" t="str">
        <f t="shared" si="33"/>
        <v/>
      </c>
      <c r="J758" s="8" t="str">
        <f t="shared" si="34"/>
        <v/>
      </c>
      <c r="K758" s="24"/>
      <c r="L758" s="7" t="str">
        <f t="shared" si="35"/>
        <v/>
      </c>
    </row>
    <row r="759" spans="1:12" x14ac:dyDescent="0.25">
      <c r="A759" s="23"/>
      <c r="B759" s="24"/>
      <c r="C759" s="24"/>
      <c r="D759" s="24"/>
      <c r="E759" s="24"/>
      <c r="F759" s="24"/>
      <c r="G759" s="25"/>
      <c r="H759" s="16" t="str">
        <f>IF(C759="","",IFERROR(INDEX(Settings!$L$4:$L$56,MATCH(C759,Settings!$K$4:$K$56,0)),"Unknown"))</f>
        <v/>
      </c>
      <c r="I759" s="8" t="str">
        <f t="shared" si="33"/>
        <v/>
      </c>
      <c r="J759" s="8" t="str">
        <f t="shared" si="34"/>
        <v/>
      </c>
      <c r="K759" s="24"/>
      <c r="L759" s="7" t="str">
        <f t="shared" si="35"/>
        <v/>
      </c>
    </row>
    <row r="760" spans="1:12" x14ac:dyDescent="0.25">
      <c r="A760" s="23"/>
      <c r="B760" s="24"/>
      <c r="C760" s="24"/>
      <c r="D760" s="24"/>
      <c r="E760" s="24"/>
      <c r="F760" s="24"/>
      <c r="G760" s="25"/>
      <c r="H760" s="16" t="str">
        <f>IF(C760="","",IFERROR(INDEX(Settings!$L$4:$L$56,MATCH(C760,Settings!$K$4:$K$56,0)),"Unknown"))</f>
        <v/>
      </c>
      <c r="I760" s="8" t="str">
        <f t="shared" si="33"/>
        <v/>
      </c>
      <c r="J760" s="8" t="str">
        <f t="shared" si="34"/>
        <v/>
      </c>
      <c r="K760" s="24"/>
      <c r="L760" s="7" t="str">
        <f t="shared" si="35"/>
        <v/>
      </c>
    </row>
    <row r="761" spans="1:12" x14ac:dyDescent="0.25">
      <c r="A761" s="23"/>
      <c r="B761" s="24"/>
      <c r="C761" s="24"/>
      <c r="D761" s="24"/>
      <c r="E761" s="24"/>
      <c r="F761" s="24"/>
      <c r="G761" s="25"/>
      <c r="H761" s="16" t="str">
        <f>IF(C761="","",IFERROR(INDEX(Settings!$L$4:$L$56,MATCH(C761,Settings!$K$4:$K$56,0)),"Unknown"))</f>
        <v/>
      </c>
      <c r="I761" s="8" t="str">
        <f t="shared" si="33"/>
        <v/>
      </c>
      <c r="J761" s="8" t="str">
        <f t="shared" si="34"/>
        <v/>
      </c>
      <c r="K761" s="24"/>
      <c r="L761" s="7" t="str">
        <f t="shared" si="35"/>
        <v/>
      </c>
    </row>
    <row r="762" spans="1:12" x14ac:dyDescent="0.25">
      <c r="A762" s="23"/>
      <c r="B762" s="24"/>
      <c r="C762" s="24"/>
      <c r="D762" s="24"/>
      <c r="E762" s="24"/>
      <c r="F762" s="24"/>
      <c r="G762" s="25"/>
      <c r="H762" s="16" t="str">
        <f>IF(C762="","",IFERROR(INDEX(Settings!$L$4:$L$56,MATCH(C762,Settings!$K$4:$K$56,0)),"Unknown"))</f>
        <v/>
      </c>
      <c r="I762" s="8" t="str">
        <f t="shared" si="33"/>
        <v/>
      </c>
      <c r="J762" s="8" t="str">
        <f t="shared" si="34"/>
        <v/>
      </c>
      <c r="K762" s="24"/>
      <c r="L762" s="7" t="str">
        <f t="shared" si="35"/>
        <v/>
      </c>
    </row>
    <row r="763" spans="1:12" x14ac:dyDescent="0.25">
      <c r="A763" s="23"/>
      <c r="B763" s="24"/>
      <c r="C763" s="24"/>
      <c r="D763" s="24"/>
      <c r="E763" s="24"/>
      <c r="F763" s="24"/>
      <c r="G763" s="25"/>
      <c r="H763" s="16" t="str">
        <f>IF(C763="","",IFERROR(INDEX(Settings!$L$4:$L$56,MATCH(C763,Settings!$K$4:$K$56,0)),"Unknown"))</f>
        <v/>
      </c>
      <c r="I763" s="8" t="str">
        <f t="shared" si="33"/>
        <v/>
      </c>
      <c r="J763" s="8" t="str">
        <f t="shared" si="34"/>
        <v/>
      </c>
      <c r="K763" s="24"/>
      <c r="L763" s="7" t="str">
        <f t="shared" si="35"/>
        <v/>
      </c>
    </row>
    <row r="764" spans="1:12" x14ac:dyDescent="0.25">
      <c r="A764" s="23"/>
      <c r="B764" s="24"/>
      <c r="C764" s="24"/>
      <c r="D764" s="24"/>
      <c r="E764" s="24"/>
      <c r="F764" s="24"/>
      <c r="G764" s="25"/>
      <c r="H764" s="16" t="str">
        <f>IF(C764="","",IFERROR(INDEX(Settings!$L$4:$L$56,MATCH(C764,Settings!$K$4:$K$56,0)),"Unknown"))</f>
        <v/>
      </c>
      <c r="I764" s="8" t="str">
        <f t="shared" si="33"/>
        <v/>
      </c>
      <c r="J764" s="8" t="str">
        <f t="shared" si="34"/>
        <v/>
      </c>
      <c r="K764" s="24"/>
      <c r="L764" s="7" t="str">
        <f t="shared" si="35"/>
        <v/>
      </c>
    </row>
    <row r="765" spans="1:12" x14ac:dyDescent="0.25">
      <c r="A765" s="23"/>
      <c r="B765" s="24"/>
      <c r="C765" s="24"/>
      <c r="D765" s="24"/>
      <c r="E765" s="24"/>
      <c r="F765" s="24"/>
      <c r="G765" s="25"/>
      <c r="H765" s="16" t="str">
        <f>IF(C765="","",IFERROR(INDEX(Settings!$L$4:$L$56,MATCH(C765,Settings!$K$4:$K$56,0)),"Unknown"))</f>
        <v/>
      </c>
      <c r="I765" s="8" t="str">
        <f t="shared" si="33"/>
        <v/>
      </c>
      <c r="J765" s="8" t="str">
        <f t="shared" si="34"/>
        <v/>
      </c>
      <c r="K765" s="24"/>
      <c r="L765" s="7" t="str">
        <f t="shared" si="35"/>
        <v/>
      </c>
    </row>
    <row r="766" spans="1:12" x14ac:dyDescent="0.25">
      <c r="A766" s="23"/>
      <c r="B766" s="24"/>
      <c r="C766" s="24"/>
      <c r="D766" s="24"/>
      <c r="E766" s="24"/>
      <c r="F766" s="24"/>
      <c r="G766" s="25"/>
      <c r="H766" s="16" t="str">
        <f>IF(C766="","",IFERROR(INDEX(Settings!$L$4:$L$56,MATCH(C766,Settings!$K$4:$K$56,0)),"Unknown"))</f>
        <v/>
      </c>
      <c r="I766" s="8" t="str">
        <f t="shared" si="33"/>
        <v/>
      </c>
      <c r="J766" s="8" t="str">
        <f t="shared" si="34"/>
        <v/>
      </c>
      <c r="K766" s="24"/>
      <c r="L766" s="7" t="str">
        <f t="shared" si="35"/>
        <v/>
      </c>
    </row>
    <row r="767" spans="1:12" x14ac:dyDescent="0.25">
      <c r="A767" s="23"/>
      <c r="B767" s="24"/>
      <c r="C767" s="24"/>
      <c r="D767" s="24"/>
      <c r="E767" s="24"/>
      <c r="F767" s="24"/>
      <c r="G767" s="25"/>
      <c r="H767" s="16" t="str">
        <f>IF(C767="","",IFERROR(INDEX(Settings!$L$4:$L$56,MATCH(C767,Settings!$K$4:$K$56,0)),"Unknown"))</f>
        <v/>
      </c>
      <c r="I767" s="8" t="str">
        <f t="shared" si="33"/>
        <v/>
      </c>
      <c r="J767" s="8" t="str">
        <f t="shared" si="34"/>
        <v/>
      </c>
      <c r="K767" s="24"/>
      <c r="L767" s="7" t="str">
        <f t="shared" si="35"/>
        <v/>
      </c>
    </row>
    <row r="768" spans="1:12" x14ac:dyDescent="0.25">
      <c r="A768" s="23"/>
      <c r="B768" s="24"/>
      <c r="C768" s="24"/>
      <c r="D768" s="24"/>
      <c r="E768" s="24"/>
      <c r="F768" s="24"/>
      <c r="G768" s="25"/>
      <c r="H768" s="16" t="str">
        <f>IF(C768="","",IFERROR(INDEX(Settings!$L$4:$L$56,MATCH(C768,Settings!$K$4:$K$56,0)),"Unknown"))</f>
        <v/>
      </c>
      <c r="I768" s="8" t="str">
        <f t="shared" si="33"/>
        <v/>
      </c>
      <c r="J768" s="8" t="str">
        <f t="shared" si="34"/>
        <v/>
      </c>
      <c r="K768" s="24"/>
      <c r="L768" s="7" t="str">
        <f t="shared" si="35"/>
        <v/>
      </c>
    </row>
    <row r="769" spans="1:12" x14ac:dyDescent="0.25">
      <c r="A769" s="23"/>
      <c r="B769" s="24"/>
      <c r="C769" s="24"/>
      <c r="D769" s="24"/>
      <c r="E769" s="24"/>
      <c r="F769" s="24"/>
      <c r="G769" s="25"/>
      <c r="H769" s="16" t="str">
        <f>IF(C769="","",IFERROR(INDEX(Settings!$L$4:$L$56,MATCH(C769,Settings!$K$4:$K$56,0)),"Unknown"))</f>
        <v/>
      </c>
      <c r="I769" s="8" t="str">
        <f t="shared" si="33"/>
        <v/>
      </c>
      <c r="J769" s="8" t="str">
        <f t="shared" si="34"/>
        <v/>
      </c>
      <c r="K769" s="24"/>
      <c r="L769" s="7" t="str">
        <f t="shared" si="35"/>
        <v/>
      </c>
    </row>
    <row r="770" spans="1:12" x14ac:dyDescent="0.25">
      <c r="A770" s="23"/>
      <c r="B770" s="24"/>
      <c r="C770" s="24"/>
      <c r="D770" s="24"/>
      <c r="E770" s="24"/>
      <c r="F770" s="24"/>
      <c r="G770" s="25"/>
      <c r="H770" s="16" t="str">
        <f>IF(C770="","",IFERROR(INDEX(Settings!$L$4:$L$56,MATCH(C770,Settings!$K$4:$K$56,0)),"Unknown"))</f>
        <v/>
      </c>
      <c r="I770" s="8" t="str">
        <f t="shared" si="33"/>
        <v/>
      </c>
      <c r="J770" s="8" t="str">
        <f t="shared" si="34"/>
        <v/>
      </c>
      <c r="K770" s="24"/>
      <c r="L770" s="7" t="str">
        <f t="shared" si="35"/>
        <v/>
      </c>
    </row>
    <row r="771" spans="1:12" x14ac:dyDescent="0.25">
      <c r="A771" s="23"/>
      <c r="B771" s="24"/>
      <c r="C771" s="24"/>
      <c r="D771" s="24"/>
      <c r="E771" s="24"/>
      <c r="F771" s="24"/>
      <c r="G771" s="25"/>
      <c r="H771" s="16" t="str">
        <f>IF(C771="","",IFERROR(INDEX(Settings!$L$4:$L$56,MATCH(C771,Settings!$K$4:$K$56,0)),"Unknown"))</f>
        <v/>
      </c>
      <c r="I771" s="8" t="str">
        <f t="shared" si="33"/>
        <v/>
      </c>
      <c r="J771" s="8" t="str">
        <f t="shared" si="34"/>
        <v/>
      </c>
      <c r="K771" s="24"/>
      <c r="L771" s="7" t="str">
        <f t="shared" si="35"/>
        <v/>
      </c>
    </row>
    <row r="772" spans="1:12" x14ac:dyDescent="0.25">
      <c r="A772" s="23"/>
      <c r="B772" s="24"/>
      <c r="C772" s="24"/>
      <c r="D772" s="24"/>
      <c r="E772" s="24"/>
      <c r="F772" s="24"/>
      <c r="G772" s="25"/>
      <c r="H772" s="16" t="str">
        <f>IF(C772="","",IFERROR(INDEX(Settings!$L$4:$L$56,MATCH(C772,Settings!$K$4:$K$56,0)),"Unknown"))</f>
        <v/>
      </c>
      <c r="I772" s="8" t="str">
        <f t="shared" si="33"/>
        <v/>
      </c>
      <c r="J772" s="8" t="str">
        <f t="shared" si="34"/>
        <v/>
      </c>
      <c r="K772" s="24"/>
      <c r="L772" s="7" t="str">
        <f t="shared" si="35"/>
        <v/>
      </c>
    </row>
    <row r="773" spans="1:12" x14ac:dyDescent="0.25">
      <c r="A773" s="23"/>
      <c r="B773" s="24"/>
      <c r="C773" s="24"/>
      <c r="D773" s="24"/>
      <c r="E773" s="24"/>
      <c r="F773" s="24"/>
      <c r="G773" s="25"/>
      <c r="H773" s="16" t="str">
        <f>IF(C773="","",IFERROR(INDEX(Settings!$L$4:$L$56,MATCH(C773,Settings!$K$4:$K$56,0)),"Unknown"))</f>
        <v/>
      </c>
      <c r="I773" s="8" t="str">
        <f t="shared" si="33"/>
        <v/>
      </c>
      <c r="J773" s="8" t="str">
        <f t="shared" si="34"/>
        <v/>
      </c>
      <c r="K773" s="24"/>
      <c r="L773" s="7" t="str">
        <f t="shared" si="35"/>
        <v/>
      </c>
    </row>
    <row r="774" spans="1:12" x14ac:dyDescent="0.25">
      <c r="A774" s="23"/>
      <c r="B774" s="24"/>
      <c r="C774" s="24"/>
      <c r="D774" s="24"/>
      <c r="E774" s="24"/>
      <c r="F774" s="24"/>
      <c r="G774" s="25"/>
      <c r="H774" s="16" t="str">
        <f>IF(C774="","",IFERROR(INDEX(Settings!$L$4:$L$56,MATCH(C774,Settings!$K$4:$K$56,0)),"Unknown"))</f>
        <v/>
      </c>
      <c r="I774" s="8" t="str">
        <f t="shared" ref="I774:I837" si="36">IF(A774="","",MONTH(A774))</f>
        <v/>
      </c>
      <c r="J774" s="8" t="str">
        <f t="shared" ref="J774:J837" si="37">IF(A774="","",YEAR(A774))</f>
        <v/>
      </c>
      <c r="K774" s="24"/>
      <c r="L774" s="7" t="str">
        <f t="shared" ref="L774:L837" si="38">IF(OR(B774="",C774=""),"",IF(AND(B774="Income",H774&lt;&gt;"Income"),"Category is not an Income category",IF(AND(B774="Expense",H774="Income"),"Category is an Income category","OK")))</f>
        <v/>
      </c>
    </row>
    <row r="775" spans="1:12" x14ac:dyDescent="0.25">
      <c r="A775" s="23"/>
      <c r="B775" s="24"/>
      <c r="C775" s="24"/>
      <c r="D775" s="24"/>
      <c r="E775" s="24"/>
      <c r="F775" s="24"/>
      <c r="G775" s="25"/>
      <c r="H775" s="16" t="str">
        <f>IF(C775="","",IFERROR(INDEX(Settings!$L$4:$L$56,MATCH(C775,Settings!$K$4:$K$56,0)),"Unknown"))</f>
        <v/>
      </c>
      <c r="I775" s="8" t="str">
        <f t="shared" si="36"/>
        <v/>
      </c>
      <c r="J775" s="8" t="str">
        <f t="shared" si="37"/>
        <v/>
      </c>
      <c r="K775" s="24"/>
      <c r="L775" s="7" t="str">
        <f t="shared" si="38"/>
        <v/>
      </c>
    </row>
    <row r="776" spans="1:12" x14ac:dyDescent="0.25">
      <c r="A776" s="23"/>
      <c r="B776" s="24"/>
      <c r="C776" s="24"/>
      <c r="D776" s="24"/>
      <c r="E776" s="24"/>
      <c r="F776" s="24"/>
      <c r="G776" s="25"/>
      <c r="H776" s="16" t="str">
        <f>IF(C776="","",IFERROR(INDEX(Settings!$L$4:$L$56,MATCH(C776,Settings!$K$4:$K$56,0)),"Unknown"))</f>
        <v/>
      </c>
      <c r="I776" s="8" t="str">
        <f t="shared" si="36"/>
        <v/>
      </c>
      <c r="J776" s="8" t="str">
        <f t="shared" si="37"/>
        <v/>
      </c>
      <c r="K776" s="24"/>
      <c r="L776" s="7" t="str">
        <f t="shared" si="38"/>
        <v/>
      </c>
    </row>
    <row r="777" spans="1:12" x14ac:dyDescent="0.25">
      <c r="A777" s="23"/>
      <c r="B777" s="24"/>
      <c r="C777" s="24"/>
      <c r="D777" s="24"/>
      <c r="E777" s="24"/>
      <c r="F777" s="24"/>
      <c r="G777" s="25"/>
      <c r="H777" s="16" t="str">
        <f>IF(C777="","",IFERROR(INDEX(Settings!$L$4:$L$56,MATCH(C777,Settings!$K$4:$K$56,0)),"Unknown"))</f>
        <v/>
      </c>
      <c r="I777" s="8" t="str">
        <f t="shared" si="36"/>
        <v/>
      </c>
      <c r="J777" s="8" t="str">
        <f t="shared" si="37"/>
        <v/>
      </c>
      <c r="K777" s="24"/>
      <c r="L777" s="7" t="str">
        <f t="shared" si="38"/>
        <v/>
      </c>
    </row>
    <row r="778" spans="1:12" x14ac:dyDescent="0.25">
      <c r="A778" s="23"/>
      <c r="B778" s="24"/>
      <c r="C778" s="24"/>
      <c r="D778" s="24"/>
      <c r="E778" s="24"/>
      <c r="F778" s="24"/>
      <c r="G778" s="25"/>
      <c r="H778" s="16" t="str">
        <f>IF(C778="","",IFERROR(INDEX(Settings!$L$4:$L$56,MATCH(C778,Settings!$K$4:$K$56,0)),"Unknown"))</f>
        <v/>
      </c>
      <c r="I778" s="8" t="str">
        <f t="shared" si="36"/>
        <v/>
      </c>
      <c r="J778" s="8" t="str">
        <f t="shared" si="37"/>
        <v/>
      </c>
      <c r="K778" s="24"/>
      <c r="L778" s="7" t="str">
        <f t="shared" si="38"/>
        <v/>
      </c>
    </row>
    <row r="779" spans="1:12" x14ac:dyDescent="0.25">
      <c r="A779" s="23"/>
      <c r="B779" s="24"/>
      <c r="C779" s="24"/>
      <c r="D779" s="24"/>
      <c r="E779" s="24"/>
      <c r="F779" s="24"/>
      <c r="G779" s="25"/>
      <c r="H779" s="16" t="str">
        <f>IF(C779="","",IFERROR(INDEX(Settings!$L$4:$L$56,MATCH(C779,Settings!$K$4:$K$56,0)),"Unknown"))</f>
        <v/>
      </c>
      <c r="I779" s="8" t="str">
        <f t="shared" si="36"/>
        <v/>
      </c>
      <c r="J779" s="8" t="str">
        <f t="shared" si="37"/>
        <v/>
      </c>
      <c r="K779" s="24"/>
      <c r="L779" s="7" t="str">
        <f t="shared" si="38"/>
        <v/>
      </c>
    </row>
    <row r="780" spans="1:12" x14ac:dyDescent="0.25">
      <c r="A780" s="23"/>
      <c r="B780" s="24"/>
      <c r="C780" s="24"/>
      <c r="D780" s="24"/>
      <c r="E780" s="24"/>
      <c r="F780" s="24"/>
      <c r="G780" s="25"/>
      <c r="H780" s="16" t="str">
        <f>IF(C780="","",IFERROR(INDEX(Settings!$L$4:$L$56,MATCH(C780,Settings!$K$4:$K$56,0)),"Unknown"))</f>
        <v/>
      </c>
      <c r="I780" s="8" t="str">
        <f t="shared" si="36"/>
        <v/>
      </c>
      <c r="J780" s="8" t="str">
        <f t="shared" si="37"/>
        <v/>
      </c>
      <c r="K780" s="24"/>
      <c r="L780" s="7" t="str">
        <f t="shared" si="38"/>
        <v/>
      </c>
    </row>
    <row r="781" spans="1:12" x14ac:dyDescent="0.25">
      <c r="A781" s="23"/>
      <c r="B781" s="24"/>
      <c r="C781" s="24"/>
      <c r="D781" s="24"/>
      <c r="E781" s="24"/>
      <c r="F781" s="24"/>
      <c r="G781" s="25"/>
      <c r="H781" s="16" t="str">
        <f>IF(C781="","",IFERROR(INDEX(Settings!$L$4:$L$56,MATCH(C781,Settings!$K$4:$K$56,0)),"Unknown"))</f>
        <v/>
      </c>
      <c r="I781" s="8" t="str">
        <f t="shared" si="36"/>
        <v/>
      </c>
      <c r="J781" s="8" t="str">
        <f t="shared" si="37"/>
        <v/>
      </c>
      <c r="K781" s="24"/>
      <c r="L781" s="7" t="str">
        <f t="shared" si="38"/>
        <v/>
      </c>
    </row>
    <row r="782" spans="1:12" x14ac:dyDescent="0.25">
      <c r="A782" s="23"/>
      <c r="B782" s="24"/>
      <c r="C782" s="24"/>
      <c r="D782" s="24"/>
      <c r="E782" s="24"/>
      <c r="F782" s="24"/>
      <c r="G782" s="25"/>
      <c r="H782" s="16" t="str">
        <f>IF(C782="","",IFERROR(INDEX(Settings!$L$4:$L$56,MATCH(C782,Settings!$K$4:$K$56,0)),"Unknown"))</f>
        <v/>
      </c>
      <c r="I782" s="8" t="str">
        <f t="shared" si="36"/>
        <v/>
      </c>
      <c r="J782" s="8" t="str">
        <f t="shared" si="37"/>
        <v/>
      </c>
      <c r="K782" s="24"/>
      <c r="L782" s="7" t="str">
        <f t="shared" si="38"/>
        <v/>
      </c>
    </row>
    <row r="783" spans="1:12" x14ac:dyDescent="0.25">
      <c r="A783" s="23"/>
      <c r="B783" s="24"/>
      <c r="C783" s="24"/>
      <c r="D783" s="24"/>
      <c r="E783" s="24"/>
      <c r="F783" s="24"/>
      <c r="G783" s="25"/>
      <c r="H783" s="16" t="str">
        <f>IF(C783="","",IFERROR(INDEX(Settings!$L$4:$L$56,MATCH(C783,Settings!$K$4:$K$56,0)),"Unknown"))</f>
        <v/>
      </c>
      <c r="I783" s="8" t="str">
        <f t="shared" si="36"/>
        <v/>
      </c>
      <c r="J783" s="8" t="str">
        <f t="shared" si="37"/>
        <v/>
      </c>
      <c r="K783" s="24"/>
      <c r="L783" s="7" t="str">
        <f t="shared" si="38"/>
        <v/>
      </c>
    </row>
    <row r="784" spans="1:12" x14ac:dyDescent="0.25">
      <c r="A784" s="23"/>
      <c r="B784" s="24"/>
      <c r="C784" s="24"/>
      <c r="D784" s="24"/>
      <c r="E784" s="24"/>
      <c r="F784" s="24"/>
      <c r="G784" s="25"/>
      <c r="H784" s="16" t="str">
        <f>IF(C784="","",IFERROR(INDEX(Settings!$L$4:$L$56,MATCH(C784,Settings!$K$4:$K$56,0)),"Unknown"))</f>
        <v/>
      </c>
      <c r="I784" s="8" t="str">
        <f t="shared" si="36"/>
        <v/>
      </c>
      <c r="J784" s="8" t="str">
        <f t="shared" si="37"/>
        <v/>
      </c>
      <c r="K784" s="24"/>
      <c r="L784" s="7" t="str">
        <f t="shared" si="38"/>
        <v/>
      </c>
    </row>
    <row r="785" spans="1:12" x14ac:dyDescent="0.25">
      <c r="A785" s="23"/>
      <c r="B785" s="24"/>
      <c r="C785" s="24"/>
      <c r="D785" s="24"/>
      <c r="E785" s="24"/>
      <c r="F785" s="24"/>
      <c r="G785" s="25"/>
      <c r="H785" s="16" t="str">
        <f>IF(C785="","",IFERROR(INDEX(Settings!$L$4:$L$56,MATCH(C785,Settings!$K$4:$K$56,0)),"Unknown"))</f>
        <v/>
      </c>
      <c r="I785" s="8" t="str">
        <f t="shared" si="36"/>
        <v/>
      </c>
      <c r="J785" s="8" t="str">
        <f t="shared" si="37"/>
        <v/>
      </c>
      <c r="K785" s="24"/>
      <c r="L785" s="7" t="str">
        <f t="shared" si="38"/>
        <v/>
      </c>
    </row>
    <row r="786" spans="1:12" x14ac:dyDescent="0.25">
      <c r="A786" s="23"/>
      <c r="B786" s="24"/>
      <c r="C786" s="24"/>
      <c r="D786" s="24"/>
      <c r="E786" s="24"/>
      <c r="F786" s="24"/>
      <c r="G786" s="25"/>
      <c r="H786" s="16" t="str">
        <f>IF(C786="","",IFERROR(INDEX(Settings!$L$4:$L$56,MATCH(C786,Settings!$K$4:$K$56,0)),"Unknown"))</f>
        <v/>
      </c>
      <c r="I786" s="8" t="str">
        <f t="shared" si="36"/>
        <v/>
      </c>
      <c r="J786" s="8" t="str">
        <f t="shared" si="37"/>
        <v/>
      </c>
      <c r="K786" s="24"/>
      <c r="L786" s="7" t="str">
        <f t="shared" si="38"/>
        <v/>
      </c>
    </row>
    <row r="787" spans="1:12" x14ac:dyDescent="0.25">
      <c r="A787" s="23"/>
      <c r="B787" s="24"/>
      <c r="C787" s="24"/>
      <c r="D787" s="24"/>
      <c r="E787" s="24"/>
      <c r="F787" s="24"/>
      <c r="G787" s="25"/>
      <c r="H787" s="16" t="str">
        <f>IF(C787="","",IFERROR(INDEX(Settings!$L$4:$L$56,MATCH(C787,Settings!$K$4:$K$56,0)),"Unknown"))</f>
        <v/>
      </c>
      <c r="I787" s="8" t="str">
        <f t="shared" si="36"/>
        <v/>
      </c>
      <c r="J787" s="8" t="str">
        <f t="shared" si="37"/>
        <v/>
      </c>
      <c r="K787" s="24"/>
      <c r="L787" s="7" t="str">
        <f t="shared" si="38"/>
        <v/>
      </c>
    </row>
    <row r="788" spans="1:12" x14ac:dyDescent="0.25">
      <c r="A788" s="23"/>
      <c r="B788" s="24"/>
      <c r="C788" s="24"/>
      <c r="D788" s="24"/>
      <c r="E788" s="24"/>
      <c r="F788" s="24"/>
      <c r="G788" s="25"/>
      <c r="H788" s="16" t="str">
        <f>IF(C788="","",IFERROR(INDEX(Settings!$L$4:$L$56,MATCH(C788,Settings!$K$4:$K$56,0)),"Unknown"))</f>
        <v/>
      </c>
      <c r="I788" s="8" t="str">
        <f t="shared" si="36"/>
        <v/>
      </c>
      <c r="J788" s="8" t="str">
        <f t="shared" si="37"/>
        <v/>
      </c>
      <c r="K788" s="24"/>
      <c r="L788" s="7" t="str">
        <f t="shared" si="38"/>
        <v/>
      </c>
    </row>
    <row r="789" spans="1:12" x14ac:dyDescent="0.25">
      <c r="A789" s="23"/>
      <c r="B789" s="24"/>
      <c r="C789" s="24"/>
      <c r="D789" s="24"/>
      <c r="E789" s="24"/>
      <c r="F789" s="24"/>
      <c r="G789" s="25"/>
      <c r="H789" s="16" t="str">
        <f>IF(C789="","",IFERROR(INDEX(Settings!$L$4:$L$56,MATCH(C789,Settings!$K$4:$K$56,0)),"Unknown"))</f>
        <v/>
      </c>
      <c r="I789" s="8" t="str">
        <f t="shared" si="36"/>
        <v/>
      </c>
      <c r="J789" s="8" t="str">
        <f t="shared" si="37"/>
        <v/>
      </c>
      <c r="K789" s="24"/>
      <c r="L789" s="7" t="str">
        <f t="shared" si="38"/>
        <v/>
      </c>
    </row>
    <row r="790" spans="1:12" x14ac:dyDescent="0.25">
      <c r="A790" s="23"/>
      <c r="B790" s="24"/>
      <c r="C790" s="24"/>
      <c r="D790" s="24"/>
      <c r="E790" s="24"/>
      <c r="F790" s="24"/>
      <c r="G790" s="25"/>
      <c r="H790" s="16" t="str">
        <f>IF(C790="","",IFERROR(INDEX(Settings!$L$4:$L$56,MATCH(C790,Settings!$K$4:$K$56,0)),"Unknown"))</f>
        <v/>
      </c>
      <c r="I790" s="8" t="str">
        <f t="shared" si="36"/>
        <v/>
      </c>
      <c r="J790" s="8" t="str">
        <f t="shared" si="37"/>
        <v/>
      </c>
      <c r="K790" s="24"/>
      <c r="L790" s="7" t="str">
        <f t="shared" si="38"/>
        <v/>
      </c>
    </row>
    <row r="791" spans="1:12" x14ac:dyDescent="0.25">
      <c r="A791" s="23"/>
      <c r="B791" s="24"/>
      <c r="C791" s="24"/>
      <c r="D791" s="24"/>
      <c r="E791" s="24"/>
      <c r="F791" s="24"/>
      <c r="G791" s="25"/>
      <c r="H791" s="16" t="str">
        <f>IF(C791="","",IFERROR(INDEX(Settings!$L$4:$L$56,MATCH(C791,Settings!$K$4:$K$56,0)),"Unknown"))</f>
        <v/>
      </c>
      <c r="I791" s="8" t="str">
        <f t="shared" si="36"/>
        <v/>
      </c>
      <c r="J791" s="8" t="str">
        <f t="shared" si="37"/>
        <v/>
      </c>
      <c r="K791" s="24"/>
      <c r="L791" s="7" t="str">
        <f t="shared" si="38"/>
        <v/>
      </c>
    </row>
    <row r="792" spans="1:12" x14ac:dyDescent="0.25">
      <c r="A792" s="23"/>
      <c r="B792" s="24"/>
      <c r="C792" s="24"/>
      <c r="D792" s="24"/>
      <c r="E792" s="24"/>
      <c r="F792" s="24"/>
      <c r="G792" s="25"/>
      <c r="H792" s="16" t="str">
        <f>IF(C792="","",IFERROR(INDEX(Settings!$L$4:$L$56,MATCH(C792,Settings!$K$4:$K$56,0)),"Unknown"))</f>
        <v/>
      </c>
      <c r="I792" s="8" t="str">
        <f t="shared" si="36"/>
        <v/>
      </c>
      <c r="J792" s="8" t="str">
        <f t="shared" si="37"/>
        <v/>
      </c>
      <c r="K792" s="24"/>
      <c r="L792" s="7" t="str">
        <f t="shared" si="38"/>
        <v/>
      </c>
    </row>
    <row r="793" spans="1:12" x14ac:dyDescent="0.25">
      <c r="A793" s="23"/>
      <c r="B793" s="24"/>
      <c r="C793" s="24"/>
      <c r="D793" s="24"/>
      <c r="E793" s="24"/>
      <c r="F793" s="24"/>
      <c r="G793" s="25"/>
      <c r="H793" s="16" t="str">
        <f>IF(C793="","",IFERROR(INDEX(Settings!$L$4:$L$56,MATCH(C793,Settings!$K$4:$K$56,0)),"Unknown"))</f>
        <v/>
      </c>
      <c r="I793" s="8" t="str">
        <f t="shared" si="36"/>
        <v/>
      </c>
      <c r="J793" s="8" t="str">
        <f t="shared" si="37"/>
        <v/>
      </c>
      <c r="K793" s="24"/>
      <c r="L793" s="7" t="str">
        <f t="shared" si="38"/>
        <v/>
      </c>
    </row>
    <row r="794" spans="1:12" x14ac:dyDescent="0.25">
      <c r="A794" s="23"/>
      <c r="B794" s="24"/>
      <c r="C794" s="24"/>
      <c r="D794" s="24"/>
      <c r="E794" s="24"/>
      <c r="F794" s="24"/>
      <c r="G794" s="25"/>
      <c r="H794" s="16" t="str">
        <f>IF(C794="","",IFERROR(INDEX(Settings!$L$4:$L$56,MATCH(C794,Settings!$K$4:$K$56,0)),"Unknown"))</f>
        <v/>
      </c>
      <c r="I794" s="8" t="str">
        <f t="shared" si="36"/>
        <v/>
      </c>
      <c r="J794" s="8" t="str">
        <f t="shared" si="37"/>
        <v/>
      </c>
      <c r="K794" s="24"/>
      <c r="L794" s="7" t="str">
        <f t="shared" si="38"/>
        <v/>
      </c>
    </row>
    <row r="795" spans="1:12" x14ac:dyDescent="0.25">
      <c r="A795" s="23"/>
      <c r="B795" s="24"/>
      <c r="C795" s="24"/>
      <c r="D795" s="24"/>
      <c r="E795" s="24"/>
      <c r="F795" s="24"/>
      <c r="G795" s="25"/>
      <c r="H795" s="16" t="str">
        <f>IF(C795="","",IFERROR(INDEX(Settings!$L$4:$L$56,MATCH(C795,Settings!$K$4:$K$56,0)),"Unknown"))</f>
        <v/>
      </c>
      <c r="I795" s="8" t="str">
        <f t="shared" si="36"/>
        <v/>
      </c>
      <c r="J795" s="8" t="str">
        <f t="shared" si="37"/>
        <v/>
      </c>
      <c r="K795" s="24"/>
      <c r="L795" s="7" t="str">
        <f t="shared" si="38"/>
        <v/>
      </c>
    </row>
    <row r="796" spans="1:12" x14ac:dyDescent="0.25">
      <c r="A796" s="23"/>
      <c r="B796" s="24"/>
      <c r="C796" s="24"/>
      <c r="D796" s="24"/>
      <c r="E796" s="24"/>
      <c r="F796" s="24"/>
      <c r="G796" s="25"/>
      <c r="H796" s="16" t="str">
        <f>IF(C796="","",IFERROR(INDEX(Settings!$L$4:$L$56,MATCH(C796,Settings!$K$4:$K$56,0)),"Unknown"))</f>
        <v/>
      </c>
      <c r="I796" s="8" t="str">
        <f t="shared" si="36"/>
        <v/>
      </c>
      <c r="J796" s="8" t="str">
        <f t="shared" si="37"/>
        <v/>
      </c>
      <c r="K796" s="24"/>
      <c r="L796" s="7" t="str">
        <f t="shared" si="38"/>
        <v/>
      </c>
    </row>
    <row r="797" spans="1:12" x14ac:dyDescent="0.25">
      <c r="A797" s="23"/>
      <c r="B797" s="24"/>
      <c r="C797" s="24"/>
      <c r="D797" s="24"/>
      <c r="E797" s="24"/>
      <c r="F797" s="24"/>
      <c r="G797" s="25"/>
      <c r="H797" s="16" t="str">
        <f>IF(C797="","",IFERROR(INDEX(Settings!$L$4:$L$56,MATCH(C797,Settings!$K$4:$K$56,0)),"Unknown"))</f>
        <v/>
      </c>
      <c r="I797" s="8" t="str">
        <f t="shared" si="36"/>
        <v/>
      </c>
      <c r="J797" s="8" t="str">
        <f t="shared" si="37"/>
        <v/>
      </c>
      <c r="K797" s="24"/>
      <c r="L797" s="7" t="str">
        <f t="shared" si="38"/>
        <v/>
      </c>
    </row>
    <row r="798" spans="1:12" x14ac:dyDescent="0.25">
      <c r="A798" s="23"/>
      <c r="B798" s="24"/>
      <c r="C798" s="24"/>
      <c r="D798" s="24"/>
      <c r="E798" s="24"/>
      <c r="F798" s="24"/>
      <c r="G798" s="25"/>
      <c r="H798" s="16" t="str">
        <f>IF(C798="","",IFERROR(INDEX(Settings!$L$4:$L$56,MATCH(C798,Settings!$K$4:$K$56,0)),"Unknown"))</f>
        <v/>
      </c>
      <c r="I798" s="8" t="str">
        <f t="shared" si="36"/>
        <v/>
      </c>
      <c r="J798" s="8" t="str">
        <f t="shared" si="37"/>
        <v/>
      </c>
      <c r="K798" s="24"/>
      <c r="L798" s="7" t="str">
        <f t="shared" si="38"/>
        <v/>
      </c>
    </row>
    <row r="799" spans="1:12" x14ac:dyDescent="0.25">
      <c r="A799" s="23"/>
      <c r="B799" s="24"/>
      <c r="C799" s="24"/>
      <c r="D799" s="24"/>
      <c r="E799" s="24"/>
      <c r="F799" s="24"/>
      <c r="G799" s="25"/>
      <c r="H799" s="16" t="str">
        <f>IF(C799="","",IFERROR(INDEX(Settings!$L$4:$L$56,MATCH(C799,Settings!$K$4:$K$56,0)),"Unknown"))</f>
        <v/>
      </c>
      <c r="I799" s="8" t="str">
        <f t="shared" si="36"/>
        <v/>
      </c>
      <c r="J799" s="8" t="str">
        <f t="shared" si="37"/>
        <v/>
      </c>
      <c r="K799" s="24"/>
      <c r="L799" s="7" t="str">
        <f t="shared" si="38"/>
        <v/>
      </c>
    </row>
    <row r="800" spans="1:12" x14ac:dyDescent="0.25">
      <c r="A800" s="23"/>
      <c r="B800" s="24"/>
      <c r="C800" s="24"/>
      <c r="D800" s="24"/>
      <c r="E800" s="24"/>
      <c r="F800" s="24"/>
      <c r="G800" s="25"/>
      <c r="H800" s="16" t="str">
        <f>IF(C800="","",IFERROR(INDEX(Settings!$L$4:$L$56,MATCH(C800,Settings!$K$4:$K$56,0)),"Unknown"))</f>
        <v/>
      </c>
      <c r="I800" s="8" t="str">
        <f t="shared" si="36"/>
        <v/>
      </c>
      <c r="J800" s="8" t="str">
        <f t="shared" si="37"/>
        <v/>
      </c>
      <c r="K800" s="24"/>
      <c r="L800" s="7" t="str">
        <f t="shared" si="38"/>
        <v/>
      </c>
    </row>
    <row r="801" spans="1:12" x14ac:dyDescent="0.25">
      <c r="A801" s="23"/>
      <c r="B801" s="24"/>
      <c r="C801" s="24"/>
      <c r="D801" s="24"/>
      <c r="E801" s="24"/>
      <c r="F801" s="24"/>
      <c r="G801" s="25"/>
      <c r="H801" s="16" t="str">
        <f>IF(C801="","",IFERROR(INDEX(Settings!$L$4:$L$56,MATCH(C801,Settings!$K$4:$K$56,0)),"Unknown"))</f>
        <v/>
      </c>
      <c r="I801" s="8" t="str">
        <f t="shared" si="36"/>
        <v/>
      </c>
      <c r="J801" s="8" t="str">
        <f t="shared" si="37"/>
        <v/>
      </c>
      <c r="K801" s="24"/>
      <c r="L801" s="7" t="str">
        <f t="shared" si="38"/>
        <v/>
      </c>
    </row>
    <row r="802" spans="1:12" x14ac:dyDescent="0.25">
      <c r="A802" s="23"/>
      <c r="B802" s="24"/>
      <c r="C802" s="24"/>
      <c r="D802" s="24"/>
      <c r="E802" s="24"/>
      <c r="F802" s="24"/>
      <c r="G802" s="25"/>
      <c r="H802" s="16" t="str">
        <f>IF(C802="","",IFERROR(INDEX(Settings!$L$4:$L$56,MATCH(C802,Settings!$K$4:$K$56,0)),"Unknown"))</f>
        <v/>
      </c>
      <c r="I802" s="8" t="str">
        <f t="shared" si="36"/>
        <v/>
      </c>
      <c r="J802" s="8" t="str">
        <f t="shared" si="37"/>
        <v/>
      </c>
      <c r="K802" s="24"/>
      <c r="L802" s="7" t="str">
        <f t="shared" si="38"/>
        <v/>
      </c>
    </row>
    <row r="803" spans="1:12" x14ac:dyDescent="0.25">
      <c r="A803" s="23"/>
      <c r="B803" s="24"/>
      <c r="C803" s="24"/>
      <c r="D803" s="24"/>
      <c r="E803" s="24"/>
      <c r="F803" s="24"/>
      <c r="G803" s="25"/>
      <c r="H803" s="16" t="str">
        <f>IF(C803="","",IFERROR(INDEX(Settings!$L$4:$L$56,MATCH(C803,Settings!$K$4:$K$56,0)),"Unknown"))</f>
        <v/>
      </c>
      <c r="I803" s="8" t="str">
        <f t="shared" si="36"/>
        <v/>
      </c>
      <c r="J803" s="8" t="str">
        <f t="shared" si="37"/>
        <v/>
      </c>
      <c r="K803" s="24"/>
      <c r="L803" s="7" t="str">
        <f t="shared" si="38"/>
        <v/>
      </c>
    </row>
    <row r="804" spans="1:12" x14ac:dyDescent="0.25">
      <c r="A804" s="23"/>
      <c r="B804" s="24"/>
      <c r="C804" s="24"/>
      <c r="D804" s="24"/>
      <c r="E804" s="24"/>
      <c r="F804" s="24"/>
      <c r="G804" s="25"/>
      <c r="H804" s="16" t="str">
        <f>IF(C804="","",IFERROR(INDEX(Settings!$L$4:$L$56,MATCH(C804,Settings!$K$4:$K$56,0)),"Unknown"))</f>
        <v/>
      </c>
      <c r="I804" s="8" t="str">
        <f t="shared" si="36"/>
        <v/>
      </c>
      <c r="J804" s="8" t="str">
        <f t="shared" si="37"/>
        <v/>
      </c>
      <c r="K804" s="24"/>
      <c r="L804" s="7" t="str">
        <f t="shared" si="38"/>
        <v/>
      </c>
    </row>
    <row r="805" spans="1:12" x14ac:dyDescent="0.25">
      <c r="A805" s="23"/>
      <c r="B805" s="24"/>
      <c r="C805" s="24"/>
      <c r="D805" s="24"/>
      <c r="E805" s="24"/>
      <c r="F805" s="24"/>
      <c r="G805" s="25"/>
      <c r="H805" s="16" t="str">
        <f>IF(C805="","",IFERROR(INDEX(Settings!$L$4:$L$56,MATCH(C805,Settings!$K$4:$K$56,0)),"Unknown"))</f>
        <v/>
      </c>
      <c r="I805" s="8" t="str">
        <f t="shared" si="36"/>
        <v/>
      </c>
      <c r="J805" s="8" t="str">
        <f t="shared" si="37"/>
        <v/>
      </c>
      <c r="K805" s="24"/>
      <c r="L805" s="7" t="str">
        <f t="shared" si="38"/>
        <v/>
      </c>
    </row>
    <row r="806" spans="1:12" x14ac:dyDescent="0.25">
      <c r="A806" s="23"/>
      <c r="B806" s="24"/>
      <c r="C806" s="24"/>
      <c r="D806" s="24"/>
      <c r="E806" s="24"/>
      <c r="F806" s="24"/>
      <c r="G806" s="25"/>
      <c r="H806" s="16" t="str">
        <f>IF(C806="","",IFERROR(INDEX(Settings!$L$4:$L$56,MATCH(C806,Settings!$K$4:$K$56,0)),"Unknown"))</f>
        <v/>
      </c>
      <c r="I806" s="8" t="str">
        <f t="shared" si="36"/>
        <v/>
      </c>
      <c r="J806" s="8" t="str">
        <f t="shared" si="37"/>
        <v/>
      </c>
      <c r="K806" s="24"/>
      <c r="L806" s="7" t="str">
        <f t="shared" si="38"/>
        <v/>
      </c>
    </row>
    <row r="807" spans="1:12" x14ac:dyDescent="0.25">
      <c r="A807" s="23"/>
      <c r="B807" s="24"/>
      <c r="C807" s="24"/>
      <c r="D807" s="24"/>
      <c r="E807" s="24"/>
      <c r="F807" s="24"/>
      <c r="G807" s="25"/>
      <c r="H807" s="16" t="str">
        <f>IF(C807="","",IFERROR(INDEX(Settings!$L$4:$L$56,MATCH(C807,Settings!$K$4:$K$56,0)),"Unknown"))</f>
        <v/>
      </c>
      <c r="I807" s="8" t="str">
        <f t="shared" si="36"/>
        <v/>
      </c>
      <c r="J807" s="8" t="str">
        <f t="shared" si="37"/>
        <v/>
      </c>
      <c r="K807" s="24"/>
      <c r="L807" s="7" t="str">
        <f t="shared" si="38"/>
        <v/>
      </c>
    </row>
    <row r="808" spans="1:12" x14ac:dyDescent="0.25">
      <c r="A808" s="23"/>
      <c r="B808" s="24"/>
      <c r="C808" s="24"/>
      <c r="D808" s="24"/>
      <c r="E808" s="24"/>
      <c r="F808" s="24"/>
      <c r="G808" s="25"/>
      <c r="H808" s="16" t="str">
        <f>IF(C808="","",IFERROR(INDEX(Settings!$L$4:$L$56,MATCH(C808,Settings!$K$4:$K$56,0)),"Unknown"))</f>
        <v/>
      </c>
      <c r="I808" s="8" t="str">
        <f t="shared" si="36"/>
        <v/>
      </c>
      <c r="J808" s="8" t="str">
        <f t="shared" si="37"/>
        <v/>
      </c>
      <c r="K808" s="24"/>
      <c r="L808" s="7" t="str">
        <f t="shared" si="38"/>
        <v/>
      </c>
    </row>
    <row r="809" spans="1:12" x14ac:dyDescent="0.25">
      <c r="A809" s="23"/>
      <c r="B809" s="24"/>
      <c r="C809" s="24"/>
      <c r="D809" s="24"/>
      <c r="E809" s="24"/>
      <c r="F809" s="24"/>
      <c r="G809" s="25"/>
      <c r="H809" s="16" t="str">
        <f>IF(C809="","",IFERROR(INDEX(Settings!$L$4:$L$56,MATCH(C809,Settings!$K$4:$K$56,0)),"Unknown"))</f>
        <v/>
      </c>
      <c r="I809" s="8" t="str">
        <f t="shared" si="36"/>
        <v/>
      </c>
      <c r="J809" s="8" t="str">
        <f t="shared" si="37"/>
        <v/>
      </c>
      <c r="K809" s="24"/>
      <c r="L809" s="7" t="str">
        <f t="shared" si="38"/>
        <v/>
      </c>
    </row>
    <row r="810" spans="1:12" x14ac:dyDescent="0.25">
      <c r="A810" s="23"/>
      <c r="B810" s="24"/>
      <c r="C810" s="24"/>
      <c r="D810" s="24"/>
      <c r="E810" s="24"/>
      <c r="F810" s="24"/>
      <c r="G810" s="25"/>
      <c r="H810" s="16" t="str">
        <f>IF(C810="","",IFERROR(INDEX(Settings!$L$4:$L$56,MATCH(C810,Settings!$K$4:$K$56,0)),"Unknown"))</f>
        <v/>
      </c>
      <c r="I810" s="8" t="str">
        <f t="shared" si="36"/>
        <v/>
      </c>
      <c r="J810" s="8" t="str">
        <f t="shared" si="37"/>
        <v/>
      </c>
      <c r="K810" s="24"/>
      <c r="L810" s="7" t="str">
        <f t="shared" si="38"/>
        <v/>
      </c>
    </row>
    <row r="811" spans="1:12" x14ac:dyDescent="0.25">
      <c r="A811" s="23"/>
      <c r="B811" s="24"/>
      <c r="C811" s="24"/>
      <c r="D811" s="24"/>
      <c r="E811" s="24"/>
      <c r="F811" s="24"/>
      <c r="G811" s="25"/>
      <c r="H811" s="16" t="str">
        <f>IF(C811="","",IFERROR(INDEX(Settings!$L$4:$L$56,MATCH(C811,Settings!$K$4:$K$56,0)),"Unknown"))</f>
        <v/>
      </c>
      <c r="I811" s="8" t="str">
        <f t="shared" si="36"/>
        <v/>
      </c>
      <c r="J811" s="8" t="str">
        <f t="shared" si="37"/>
        <v/>
      </c>
      <c r="K811" s="24"/>
      <c r="L811" s="7" t="str">
        <f t="shared" si="38"/>
        <v/>
      </c>
    </row>
    <row r="812" spans="1:12" x14ac:dyDescent="0.25">
      <c r="A812" s="23"/>
      <c r="B812" s="24"/>
      <c r="C812" s="24"/>
      <c r="D812" s="24"/>
      <c r="E812" s="24"/>
      <c r="F812" s="24"/>
      <c r="G812" s="25"/>
      <c r="H812" s="16" t="str">
        <f>IF(C812="","",IFERROR(INDEX(Settings!$L$4:$L$56,MATCH(C812,Settings!$K$4:$K$56,0)),"Unknown"))</f>
        <v/>
      </c>
      <c r="I812" s="8" t="str">
        <f t="shared" si="36"/>
        <v/>
      </c>
      <c r="J812" s="8" t="str">
        <f t="shared" si="37"/>
        <v/>
      </c>
      <c r="K812" s="24"/>
      <c r="L812" s="7" t="str">
        <f t="shared" si="38"/>
        <v/>
      </c>
    </row>
    <row r="813" spans="1:12" x14ac:dyDescent="0.25">
      <c r="A813" s="23"/>
      <c r="B813" s="24"/>
      <c r="C813" s="24"/>
      <c r="D813" s="24"/>
      <c r="E813" s="24"/>
      <c r="F813" s="24"/>
      <c r="G813" s="25"/>
      <c r="H813" s="16" t="str">
        <f>IF(C813="","",IFERROR(INDEX(Settings!$L$4:$L$56,MATCH(C813,Settings!$K$4:$K$56,0)),"Unknown"))</f>
        <v/>
      </c>
      <c r="I813" s="8" t="str">
        <f t="shared" si="36"/>
        <v/>
      </c>
      <c r="J813" s="8" t="str">
        <f t="shared" si="37"/>
        <v/>
      </c>
      <c r="K813" s="24"/>
      <c r="L813" s="7" t="str">
        <f t="shared" si="38"/>
        <v/>
      </c>
    </row>
    <row r="814" spans="1:12" x14ac:dyDescent="0.25">
      <c r="A814" s="23"/>
      <c r="B814" s="24"/>
      <c r="C814" s="24"/>
      <c r="D814" s="24"/>
      <c r="E814" s="24"/>
      <c r="F814" s="24"/>
      <c r="G814" s="25"/>
      <c r="H814" s="16" t="str">
        <f>IF(C814="","",IFERROR(INDEX(Settings!$L$4:$L$56,MATCH(C814,Settings!$K$4:$K$56,0)),"Unknown"))</f>
        <v/>
      </c>
      <c r="I814" s="8" t="str">
        <f t="shared" si="36"/>
        <v/>
      </c>
      <c r="J814" s="8" t="str">
        <f t="shared" si="37"/>
        <v/>
      </c>
      <c r="K814" s="24"/>
      <c r="L814" s="7" t="str">
        <f t="shared" si="38"/>
        <v/>
      </c>
    </row>
    <row r="815" spans="1:12" x14ac:dyDescent="0.25">
      <c r="A815" s="23"/>
      <c r="B815" s="24"/>
      <c r="C815" s="24"/>
      <c r="D815" s="24"/>
      <c r="E815" s="24"/>
      <c r="F815" s="24"/>
      <c r="G815" s="25"/>
      <c r="H815" s="16" t="str">
        <f>IF(C815="","",IFERROR(INDEX(Settings!$L$4:$L$56,MATCH(C815,Settings!$K$4:$K$56,0)),"Unknown"))</f>
        <v/>
      </c>
      <c r="I815" s="8" t="str">
        <f t="shared" si="36"/>
        <v/>
      </c>
      <c r="J815" s="8" t="str">
        <f t="shared" si="37"/>
        <v/>
      </c>
      <c r="K815" s="24"/>
      <c r="L815" s="7" t="str">
        <f t="shared" si="38"/>
        <v/>
      </c>
    </row>
    <row r="816" spans="1:12" x14ac:dyDescent="0.25">
      <c r="A816" s="23"/>
      <c r="B816" s="24"/>
      <c r="C816" s="24"/>
      <c r="D816" s="24"/>
      <c r="E816" s="24"/>
      <c r="F816" s="24"/>
      <c r="G816" s="25"/>
      <c r="H816" s="16" t="str">
        <f>IF(C816="","",IFERROR(INDEX(Settings!$L$4:$L$56,MATCH(C816,Settings!$K$4:$K$56,0)),"Unknown"))</f>
        <v/>
      </c>
      <c r="I816" s="8" t="str">
        <f t="shared" si="36"/>
        <v/>
      </c>
      <c r="J816" s="8" t="str">
        <f t="shared" si="37"/>
        <v/>
      </c>
      <c r="K816" s="24"/>
      <c r="L816" s="7" t="str">
        <f t="shared" si="38"/>
        <v/>
      </c>
    </row>
    <row r="817" spans="1:12" x14ac:dyDescent="0.25">
      <c r="A817" s="23"/>
      <c r="B817" s="24"/>
      <c r="C817" s="24"/>
      <c r="D817" s="24"/>
      <c r="E817" s="24"/>
      <c r="F817" s="24"/>
      <c r="G817" s="25"/>
      <c r="H817" s="16" t="str">
        <f>IF(C817="","",IFERROR(INDEX(Settings!$L$4:$L$56,MATCH(C817,Settings!$K$4:$K$56,0)),"Unknown"))</f>
        <v/>
      </c>
      <c r="I817" s="8" t="str">
        <f t="shared" si="36"/>
        <v/>
      </c>
      <c r="J817" s="8" t="str">
        <f t="shared" si="37"/>
        <v/>
      </c>
      <c r="K817" s="24"/>
      <c r="L817" s="7" t="str">
        <f t="shared" si="38"/>
        <v/>
      </c>
    </row>
    <row r="818" spans="1:12" x14ac:dyDescent="0.25">
      <c r="A818" s="23"/>
      <c r="B818" s="24"/>
      <c r="C818" s="24"/>
      <c r="D818" s="24"/>
      <c r="E818" s="24"/>
      <c r="F818" s="24"/>
      <c r="G818" s="25"/>
      <c r="H818" s="16" t="str">
        <f>IF(C818="","",IFERROR(INDEX(Settings!$L$4:$L$56,MATCH(C818,Settings!$K$4:$K$56,0)),"Unknown"))</f>
        <v/>
      </c>
      <c r="I818" s="8" t="str">
        <f t="shared" si="36"/>
        <v/>
      </c>
      <c r="J818" s="8" t="str">
        <f t="shared" si="37"/>
        <v/>
      </c>
      <c r="K818" s="24"/>
      <c r="L818" s="7" t="str">
        <f t="shared" si="38"/>
        <v/>
      </c>
    </row>
    <row r="819" spans="1:12" x14ac:dyDescent="0.25">
      <c r="A819" s="23"/>
      <c r="B819" s="24"/>
      <c r="C819" s="24"/>
      <c r="D819" s="24"/>
      <c r="E819" s="24"/>
      <c r="F819" s="24"/>
      <c r="G819" s="25"/>
      <c r="H819" s="16" t="str">
        <f>IF(C819="","",IFERROR(INDEX(Settings!$L$4:$L$56,MATCH(C819,Settings!$K$4:$K$56,0)),"Unknown"))</f>
        <v/>
      </c>
      <c r="I819" s="8" t="str">
        <f t="shared" si="36"/>
        <v/>
      </c>
      <c r="J819" s="8" t="str">
        <f t="shared" si="37"/>
        <v/>
      </c>
      <c r="K819" s="24"/>
      <c r="L819" s="7" t="str">
        <f t="shared" si="38"/>
        <v/>
      </c>
    </row>
    <row r="820" spans="1:12" x14ac:dyDescent="0.25">
      <c r="A820" s="23"/>
      <c r="B820" s="24"/>
      <c r="C820" s="24"/>
      <c r="D820" s="24"/>
      <c r="E820" s="24"/>
      <c r="F820" s="24"/>
      <c r="G820" s="25"/>
      <c r="H820" s="16" t="str">
        <f>IF(C820="","",IFERROR(INDEX(Settings!$L$4:$L$56,MATCH(C820,Settings!$K$4:$K$56,0)),"Unknown"))</f>
        <v/>
      </c>
      <c r="I820" s="8" t="str">
        <f t="shared" si="36"/>
        <v/>
      </c>
      <c r="J820" s="8" t="str">
        <f t="shared" si="37"/>
        <v/>
      </c>
      <c r="K820" s="24"/>
      <c r="L820" s="7" t="str">
        <f t="shared" si="38"/>
        <v/>
      </c>
    </row>
    <row r="821" spans="1:12" x14ac:dyDescent="0.25">
      <c r="A821" s="23"/>
      <c r="B821" s="24"/>
      <c r="C821" s="24"/>
      <c r="D821" s="24"/>
      <c r="E821" s="24"/>
      <c r="F821" s="24"/>
      <c r="G821" s="25"/>
      <c r="H821" s="16" t="str">
        <f>IF(C821="","",IFERROR(INDEX(Settings!$L$4:$L$56,MATCH(C821,Settings!$K$4:$K$56,0)),"Unknown"))</f>
        <v/>
      </c>
      <c r="I821" s="8" t="str">
        <f t="shared" si="36"/>
        <v/>
      </c>
      <c r="J821" s="8" t="str">
        <f t="shared" si="37"/>
        <v/>
      </c>
      <c r="K821" s="24"/>
      <c r="L821" s="7" t="str">
        <f t="shared" si="38"/>
        <v/>
      </c>
    </row>
    <row r="822" spans="1:12" x14ac:dyDescent="0.25">
      <c r="A822" s="23"/>
      <c r="B822" s="24"/>
      <c r="C822" s="24"/>
      <c r="D822" s="24"/>
      <c r="E822" s="24"/>
      <c r="F822" s="24"/>
      <c r="G822" s="25"/>
      <c r="H822" s="16" t="str">
        <f>IF(C822="","",IFERROR(INDEX(Settings!$L$4:$L$56,MATCH(C822,Settings!$K$4:$K$56,0)),"Unknown"))</f>
        <v/>
      </c>
      <c r="I822" s="8" t="str">
        <f t="shared" si="36"/>
        <v/>
      </c>
      <c r="J822" s="8" t="str">
        <f t="shared" si="37"/>
        <v/>
      </c>
      <c r="K822" s="24"/>
      <c r="L822" s="7" t="str">
        <f t="shared" si="38"/>
        <v/>
      </c>
    </row>
    <row r="823" spans="1:12" x14ac:dyDescent="0.25">
      <c r="A823" s="23"/>
      <c r="B823" s="24"/>
      <c r="C823" s="24"/>
      <c r="D823" s="24"/>
      <c r="E823" s="24"/>
      <c r="F823" s="24"/>
      <c r="G823" s="25"/>
      <c r="H823" s="16" t="str">
        <f>IF(C823="","",IFERROR(INDEX(Settings!$L$4:$L$56,MATCH(C823,Settings!$K$4:$K$56,0)),"Unknown"))</f>
        <v/>
      </c>
      <c r="I823" s="8" t="str">
        <f t="shared" si="36"/>
        <v/>
      </c>
      <c r="J823" s="8" t="str">
        <f t="shared" si="37"/>
        <v/>
      </c>
      <c r="K823" s="24"/>
      <c r="L823" s="7" t="str">
        <f t="shared" si="38"/>
        <v/>
      </c>
    </row>
    <row r="824" spans="1:12" x14ac:dyDescent="0.25">
      <c r="A824" s="23"/>
      <c r="B824" s="24"/>
      <c r="C824" s="24"/>
      <c r="D824" s="24"/>
      <c r="E824" s="24"/>
      <c r="F824" s="24"/>
      <c r="G824" s="25"/>
      <c r="H824" s="16" t="str">
        <f>IF(C824="","",IFERROR(INDEX(Settings!$L$4:$L$56,MATCH(C824,Settings!$K$4:$K$56,0)),"Unknown"))</f>
        <v/>
      </c>
      <c r="I824" s="8" t="str">
        <f t="shared" si="36"/>
        <v/>
      </c>
      <c r="J824" s="8" t="str">
        <f t="shared" si="37"/>
        <v/>
      </c>
      <c r="K824" s="24"/>
      <c r="L824" s="7" t="str">
        <f t="shared" si="38"/>
        <v/>
      </c>
    </row>
    <row r="825" spans="1:12" x14ac:dyDescent="0.25">
      <c r="A825" s="23"/>
      <c r="B825" s="24"/>
      <c r="C825" s="24"/>
      <c r="D825" s="24"/>
      <c r="E825" s="24"/>
      <c r="F825" s="24"/>
      <c r="G825" s="25"/>
      <c r="H825" s="16" t="str">
        <f>IF(C825="","",IFERROR(INDEX(Settings!$L$4:$L$56,MATCH(C825,Settings!$K$4:$K$56,0)),"Unknown"))</f>
        <v/>
      </c>
      <c r="I825" s="8" t="str">
        <f t="shared" si="36"/>
        <v/>
      </c>
      <c r="J825" s="8" t="str">
        <f t="shared" si="37"/>
        <v/>
      </c>
      <c r="K825" s="24"/>
      <c r="L825" s="7" t="str">
        <f t="shared" si="38"/>
        <v/>
      </c>
    </row>
    <row r="826" spans="1:12" x14ac:dyDescent="0.25">
      <c r="A826" s="23"/>
      <c r="B826" s="24"/>
      <c r="C826" s="24"/>
      <c r="D826" s="24"/>
      <c r="E826" s="24"/>
      <c r="F826" s="24"/>
      <c r="G826" s="25"/>
      <c r="H826" s="16" t="str">
        <f>IF(C826="","",IFERROR(INDEX(Settings!$L$4:$L$56,MATCH(C826,Settings!$K$4:$K$56,0)),"Unknown"))</f>
        <v/>
      </c>
      <c r="I826" s="8" t="str">
        <f t="shared" si="36"/>
        <v/>
      </c>
      <c r="J826" s="8" t="str">
        <f t="shared" si="37"/>
        <v/>
      </c>
      <c r="K826" s="24"/>
      <c r="L826" s="7" t="str">
        <f t="shared" si="38"/>
        <v/>
      </c>
    </row>
    <row r="827" spans="1:12" x14ac:dyDescent="0.25">
      <c r="A827" s="23"/>
      <c r="B827" s="24"/>
      <c r="C827" s="24"/>
      <c r="D827" s="24"/>
      <c r="E827" s="24"/>
      <c r="F827" s="24"/>
      <c r="G827" s="25"/>
      <c r="H827" s="16" t="str">
        <f>IF(C827="","",IFERROR(INDEX(Settings!$L$4:$L$56,MATCH(C827,Settings!$K$4:$K$56,0)),"Unknown"))</f>
        <v/>
      </c>
      <c r="I827" s="8" t="str">
        <f t="shared" si="36"/>
        <v/>
      </c>
      <c r="J827" s="8" t="str">
        <f t="shared" si="37"/>
        <v/>
      </c>
      <c r="K827" s="24"/>
      <c r="L827" s="7" t="str">
        <f t="shared" si="38"/>
        <v/>
      </c>
    </row>
    <row r="828" spans="1:12" x14ac:dyDescent="0.25">
      <c r="A828" s="23"/>
      <c r="B828" s="24"/>
      <c r="C828" s="24"/>
      <c r="D828" s="24"/>
      <c r="E828" s="24"/>
      <c r="F828" s="24"/>
      <c r="G828" s="25"/>
      <c r="H828" s="16" t="str">
        <f>IF(C828="","",IFERROR(INDEX(Settings!$L$4:$L$56,MATCH(C828,Settings!$K$4:$K$56,0)),"Unknown"))</f>
        <v/>
      </c>
      <c r="I828" s="8" t="str">
        <f t="shared" si="36"/>
        <v/>
      </c>
      <c r="J828" s="8" t="str">
        <f t="shared" si="37"/>
        <v/>
      </c>
      <c r="K828" s="24"/>
      <c r="L828" s="7" t="str">
        <f t="shared" si="38"/>
        <v/>
      </c>
    </row>
    <row r="829" spans="1:12" x14ac:dyDescent="0.25">
      <c r="A829" s="23"/>
      <c r="B829" s="24"/>
      <c r="C829" s="24"/>
      <c r="D829" s="24"/>
      <c r="E829" s="24"/>
      <c r="F829" s="24"/>
      <c r="G829" s="25"/>
      <c r="H829" s="16" t="str">
        <f>IF(C829="","",IFERROR(INDEX(Settings!$L$4:$L$56,MATCH(C829,Settings!$K$4:$K$56,0)),"Unknown"))</f>
        <v/>
      </c>
      <c r="I829" s="8" t="str">
        <f t="shared" si="36"/>
        <v/>
      </c>
      <c r="J829" s="8" t="str">
        <f t="shared" si="37"/>
        <v/>
      </c>
      <c r="K829" s="24"/>
      <c r="L829" s="7" t="str">
        <f t="shared" si="38"/>
        <v/>
      </c>
    </row>
    <row r="830" spans="1:12" x14ac:dyDescent="0.25">
      <c r="A830" s="23"/>
      <c r="B830" s="24"/>
      <c r="C830" s="24"/>
      <c r="D830" s="24"/>
      <c r="E830" s="24"/>
      <c r="F830" s="24"/>
      <c r="G830" s="25"/>
      <c r="H830" s="16" t="str">
        <f>IF(C830="","",IFERROR(INDEX(Settings!$L$4:$L$56,MATCH(C830,Settings!$K$4:$K$56,0)),"Unknown"))</f>
        <v/>
      </c>
      <c r="I830" s="8" t="str">
        <f t="shared" si="36"/>
        <v/>
      </c>
      <c r="J830" s="8" t="str">
        <f t="shared" si="37"/>
        <v/>
      </c>
      <c r="K830" s="24"/>
      <c r="L830" s="7" t="str">
        <f t="shared" si="38"/>
        <v/>
      </c>
    </row>
    <row r="831" spans="1:12" x14ac:dyDescent="0.25">
      <c r="A831" s="23"/>
      <c r="B831" s="24"/>
      <c r="C831" s="24"/>
      <c r="D831" s="24"/>
      <c r="E831" s="24"/>
      <c r="F831" s="24"/>
      <c r="G831" s="25"/>
      <c r="H831" s="16" t="str">
        <f>IF(C831="","",IFERROR(INDEX(Settings!$L$4:$L$56,MATCH(C831,Settings!$K$4:$K$56,0)),"Unknown"))</f>
        <v/>
      </c>
      <c r="I831" s="8" t="str">
        <f t="shared" si="36"/>
        <v/>
      </c>
      <c r="J831" s="8" t="str">
        <f t="shared" si="37"/>
        <v/>
      </c>
      <c r="K831" s="24"/>
      <c r="L831" s="7" t="str">
        <f t="shared" si="38"/>
        <v/>
      </c>
    </row>
    <row r="832" spans="1:12" x14ac:dyDescent="0.25">
      <c r="A832" s="23"/>
      <c r="B832" s="24"/>
      <c r="C832" s="24"/>
      <c r="D832" s="24"/>
      <c r="E832" s="24"/>
      <c r="F832" s="24"/>
      <c r="G832" s="25"/>
      <c r="H832" s="16" t="str">
        <f>IF(C832="","",IFERROR(INDEX(Settings!$L$4:$L$56,MATCH(C832,Settings!$K$4:$K$56,0)),"Unknown"))</f>
        <v/>
      </c>
      <c r="I832" s="8" t="str">
        <f t="shared" si="36"/>
        <v/>
      </c>
      <c r="J832" s="8" t="str">
        <f t="shared" si="37"/>
        <v/>
      </c>
      <c r="K832" s="24"/>
      <c r="L832" s="7" t="str">
        <f t="shared" si="38"/>
        <v/>
      </c>
    </row>
    <row r="833" spans="1:12" x14ac:dyDescent="0.25">
      <c r="A833" s="23"/>
      <c r="B833" s="24"/>
      <c r="C833" s="24"/>
      <c r="D833" s="24"/>
      <c r="E833" s="24"/>
      <c r="F833" s="24"/>
      <c r="G833" s="25"/>
      <c r="H833" s="16" t="str">
        <f>IF(C833="","",IFERROR(INDEX(Settings!$L$4:$L$56,MATCH(C833,Settings!$K$4:$K$56,0)),"Unknown"))</f>
        <v/>
      </c>
      <c r="I833" s="8" t="str">
        <f t="shared" si="36"/>
        <v/>
      </c>
      <c r="J833" s="8" t="str">
        <f t="shared" si="37"/>
        <v/>
      </c>
      <c r="K833" s="24"/>
      <c r="L833" s="7" t="str">
        <f t="shared" si="38"/>
        <v/>
      </c>
    </row>
    <row r="834" spans="1:12" x14ac:dyDescent="0.25">
      <c r="A834" s="23"/>
      <c r="B834" s="24"/>
      <c r="C834" s="24"/>
      <c r="D834" s="24"/>
      <c r="E834" s="24"/>
      <c r="F834" s="24"/>
      <c r="G834" s="25"/>
      <c r="H834" s="16" t="str">
        <f>IF(C834="","",IFERROR(INDEX(Settings!$L$4:$L$56,MATCH(C834,Settings!$K$4:$K$56,0)),"Unknown"))</f>
        <v/>
      </c>
      <c r="I834" s="8" t="str">
        <f t="shared" si="36"/>
        <v/>
      </c>
      <c r="J834" s="8" t="str">
        <f t="shared" si="37"/>
        <v/>
      </c>
      <c r="K834" s="24"/>
      <c r="L834" s="7" t="str">
        <f t="shared" si="38"/>
        <v/>
      </c>
    </row>
    <row r="835" spans="1:12" x14ac:dyDescent="0.25">
      <c r="A835" s="23"/>
      <c r="B835" s="24"/>
      <c r="C835" s="24"/>
      <c r="D835" s="24"/>
      <c r="E835" s="24"/>
      <c r="F835" s="24"/>
      <c r="G835" s="25"/>
      <c r="H835" s="16" t="str">
        <f>IF(C835="","",IFERROR(INDEX(Settings!$L$4:$L$56,MATCH(C835,Settings!$K$4:$K$56,0)),"Unknown"))</f>
        <v/>
      </c>
      <c r="I835" s="8" t="str">
        <f t="shared" si="36"/>
        <v/>
      </c>
      <c r="J835" s="8" t="str">
        <f t="shared" si="37"/>
        <v/>
      </c>
      <c r="K835" s="24"/>
      <c r="L835" s="7" t="str">
        <f t="shared" si="38"/>
        <v/>
      </c>
    </row>
    <row r="836" spans="1:12" x14ac:dyDescent="0.25">
      <c r="A836" s="23"/>
      <c r="B836" s="24"/>
      <c r="C836" s="24"/>
      <c r="D836" s="24"/>
      <c r="E836" s="24"/>
      <c r="F836" s="24"/>
      <c r="G836" s="25"/>
      <c r="H836" s="16" t="str">
        <f>IF(C836="","",IFERROR(INDEX(Settings!$L$4:$L$56,MATCH(C836,Settings!$K$4:$K$56,0)),"Unknown"))</f>
        <v/>
      </c>
      <c r="I836" s="8" t="str">
        <f t="shared" si="36"/>
        <v/>
      </c>
      <c r="J836" s="8" t="str">
        <f t="shared" si="37"/>
        <v/>
      </c>
      <c r="K836" s="24"/>
      <c r="L836" s="7" t="str">
        <f t="shared" si="38"/>
        <v/>
      </c>
    </row>
    <row r="837" spans="1:12" x14ac:dyDescent="0.25">
      <c r="A837" s="23"/>
      <c r="B837" s="24"/>
      <c r="C837" s="24"/>
      <c r="D837" s="24"/>
      <c r="E837" s="24"/>
      <c r="F837" s="24"/>
      <c r="G837" s="25"/>
      <c r="H837" s="16" t="str">
        <f>IF(C837="","",IFERROR(INDEX(Settings!$L$4:$L$56,MATCH(C837,Settings!$K$4:$K$56,0)),"Unknown"))</f>
        <v/>
      </c>
      <c r="I837" s="8" t="str">
        <f t="shared" si="36"/>
        <v/>
      </c>
      <c r="J837" s="8" t="str">
        <f t="shared" si="37"/>
        <v/>
      </c>
      <c r="K837" s="24"/>
      <c r="L837" s="7" t="str">
        <f t="shared" si="38"/>
        <v/>
      </c>
    </row>
    <row r="838" spans="1:12" x14ac:dyDescent="0.25">
      <c r="A838" s="23"/>
      <c r="B838" s="24"/>
      <c r="C838" s="24"/>
      <c r="D838" s="24"/>
      <c r="E838" s="24"/>
      <c r="F838" s="24"/>
      <c r="G838" s="25"/>
      <c r="H838" s="16" t="str">
        <f>IF(C838="","",IFERROR(INDEX(Settings!$L$4:$L$56,MATCH(C838,Settings!$K$4:$K$56,0)),"Unknown"))</f>
        <v/>
      </c>
      <c r="I838" s="8" t="str">
        <f t="shared" ref="I838:I901" si="39">IF(A838="","",MONTH(A838))</f>
        <v/>
      </c>
      <c r="J838" s="8" t="str">
        <f t="shared" ref="J838:J901" si="40">IF(A838="","",YEAR(A838))</f>
        <v/>
      </c>
      <c r="K838" s="24"/>
      <c r="L838" s="7" t="str">
        <f t="shared" ref="L838:L901" si="41">IF(OR(B838="",C838=""),"",IF(AND(B838="Income",H838&lt;&gt;"Income"),"Category is not an Income category",IF(AND(B838="Expense",H838="Income"),"Category is an Income category","OK")))</f>
        <v/>
      </c>
    </row>
    <row r="839" spans="1:12" x14ac:dyDescent="0.25">
      <c r="A839" s="23"/>
      <c r="B839" s="24"/>
      <c r="C839" s="24"/>
      <c r="D839" s="24"/>
      <c r="E839" s="24"/>
      <c r="F839" s="24"/>
      <c r="G839" s="25"/>
      <c r="H839" s="16" t="str">
        <f>IF(C839="","",IFERROR(INDEX(Settings!$L$4:$L$56,MATCH(C839,Settings!$K$4:$K$56,0)),"Unknown"))</f>
        <v/>
      </c>
      <c r="I839" s="8" t="str">
        <f t="shared" si="39"/>
        <v/>
      </c>
      <c r="J839" s="8" t="str">
        <f t="shared" si="40"/>
        <v/>
      </c>
      <c r="K839" s="24"/>
      <c r="L839" s="7" t="str">
        <f t="shared" si="41"/>
        <v/>
      </c>
    </row>
    <row r="840" spans="1:12" x14ac:dyDescent="0.25">
      <c r="A840" s="23"/>
      <c r="B840" s="24"/>
      <c r="C840" s="24"/>
      <c r="D840" s="24"/>
      <c r="E840" s="24"/>
      <c r="F840" s="24"/>
      <c r="G840" s="25"/>
      <c r="H840" s="16" t="str">
        <f>IF(C840="","",IFERROR(INDEX(Settings!$L$4:$L$56,MATCH(C840,Settings!$K$4:$K$56,0)),"Unknown"))</f>
        <v/>
      </c>
      <c r="I840" s="8" t="str">
        <f t="shared" si="39"/>
        <v/>
      </c>
      <c r="J840" s="8" t="str">
        <f t="shared" si="40"/>
        <v/>
      </c>
      <c r="K840" s="24"/>
      <c r="L840" s="7" t="str">
        <f t="shared" si="41"/>
        <v/>
      </c>
    </row>
    <row r="841" spans="1:12" x14ac:dyDescent="0.25">
      <c r="A841" s="23"/>
      <c r="B841" s="24"/>
      <c r="C841" s="24"/>
      <c r="D841" s="24"/>
      <c r="E841" s="24"/>
      <c r="F841" s="24"/>
      <c r="G841" s="25"/>
      <c r="H841" s="16" t="str">
        <f>IF(C841="","",IFERROR(INDEX(Settings!$L$4:$L$56,MATCH(C841,Settings!$K$4:$K$56,0)),"Unknown"))</f>
        <v/>
      </c>
      <c r="I841" s="8" t="str">
        <f t="shared" si="39"/>
        <v/>
      </c>
      <c r="J841" s="8" t="str">
        <f t="shared" si="40"/>
        <v/>
      </c>
      <c r="K841" s="24"/>
      <c r="L841" s="7" t="str">
        <f t="shared" si="41"/>
        <v/>
      </c>
    </row>
    <row r="842" spans="1:12" x14ac:dyDescent="0.25">
      <c r="A842" s="23"/>
      <c r="B842" s="24"/>
      <c r="C842" s="24"/>
      <c r="D842" s="24"/>
      <c r="E842" s="24"/>
      <c r="F842" s="24"/>
      <c r="G842" s="25"/>
      <c r="H842" s="16" t="str">
        <f>IF(C842="","",IFERROR(INDEX(Settings!$L$4:$L$56,MATCH(C842,Settings!$K$4:$K$56,0)),"Unknown"))</f>
        <v/>
      </c>
      <c r="I842" s="8" t="str">
        <f t="shared" si="39"/>
        <v/>
      </c>
      <c r="J842" s="8" t="str">
        <f t="shared" si="40"/>
        <v/>
      </c>
      <c r="K842" s="24"/>
      <c r="L842" s="7" t="str">
        <f t="shared" si="41"/>
        <v/>
      </c>
    </row>
    <row r="843" spans="1:12" x14ac:dyDescent="0.25">
      <c r="A843" s="23"/>
      <c r="B843" s="24"/>
      <c r="C843" s="24"/>
      <c r="D843" s="24"/>
      <c r="E843" s="24"/>
      <c r="F843" s="24"/>
      <c r="G843" s="25"/>
      <c r="H843" s="16" t="str">
        <f>IF(C843="","",IFERROR(INDEX(Settings!$L$4:$L$56,MATCH(C843,Settings!$K$4:$K$56,0)),"Unknown"))</f>
        <v/>
      </c>
      <c r="I843" s="8" t="str">
        <f t="shared" si="39"/>
        <v/>
      </c>
      <c r="J843" s="8" t="str">
        <f t="shared" si="40"/>
        <v/>
      </c>
      <c r="K843" s="24"/>
      <c r="L843" s="7" t="str">
        <f t="shared" si="41"/>
        <v/>
      </c>
    </row>
    <row r="844" spans="1:12" x14ac:dyDescent="0.25">
      <c r="A844" s="23"/>
      <c r="B844" s="24"/>
      <c r="C844" s="24"/>
      <c r="D844" s="24"/>
      <c r="E844" s="24"/>
      <c r="F844" s="24"/>
      <c r="G844" s="25"/>
      <c r="H844" s="16" t="str">
        <f>IF(C844="","",IFERROR(INDEX(Settings!$L$4:$L$56,MATCH(C844,Settings!$K$4:$K$56,0)),"Unknown"))</f>
        <v/>
      </c>
      <c r="I844" s="8" t="str">
        <f t="shared" si="39"/>
        <v/>
      </c>
      <c r="J844" s="8" t="str">
        <f t="shared" si="40"/>
        <v/>
      </c>
      <c r="K844" s="24"/>
      <c r="L844" s="7" t="str">
        <f t="shared" si="41"/>
        <v/>
      </c>
    </row>
    <row r="845" spans="1:12" x14ac:dyDescent="0.25">
      <c r="A845" s="23"/>
      <c r="B845" s="24"/>
      <c r="C845" s="24"/>
      <c r="D845" s="24"/>
      <c r="E845" s="24"/>
      <c r="F845" s="24"/>
      <c r="G845" s="25"/>
      <c r="H845" s="16" t="str">
        <f>IF(C845="","",IFERROR(INDEX(Settings!$L$4:$L$56,MATCH(C845,Settings!$K$4:$K$56,0)),"Unknown"))</f>
        <v/>
      </c>
      <c r="I845" s="8" t="str">
        <f t="shared" si="39"/>
        <v/>
      </c>
      <c r="J845" s="8" t="str">
        <f t="shared" si="40"/>
        <v/>
      </c>
      <c r="K845" s="24"/>
      <c r="L845" s="7" t="str">
        <f t="shared" si="41"/>
        <v/>
      </c>
    </row>
    <row r="846" spans="1:12" x14ac:dyDescent="0.25">
      <c r="A846" s="23"/>
      <c r="B846" s="24"/>
      <c r="C846" s="24"/>
      <c r="D846" s="24"/>
      <c r="E846" s="24"/>
      <c r="F846" s="24"/>
      <c r="G846" s="25"/>
      <c r="H846" s="16" t="str">
        <f>IF(C846="","",IFERROR(INDEX(Settings!$L$4:$L$56,MATCH(C846,Settings!$K$4:$K$56,0)),"Unknown"))</f>
        <v/>
      </c>
      <c r="I846" s="8" t="str">
        <f t="shared" si="39"/>
        <v/>
      </c>
      <c r="J846" s="8" t="str">
        <f t="shared" si="40"/>
        <v/>
      </c>
      <c r="K846" s="24"/>
      <c r="L846" s="7" t="str">
        <f t="shared" si="41"/>
        <v/>
      </c>
    </row>
    <row r="847" spans="1:12" x14ac:dyDescent="0.25">
      <c r="A847" s="23"/>
      <c r="B847" s="24"/>
      <c r="C847" s="24"/>
      <c r="D847" s="24"/>
      <c r="E847" s="24"/>
      <c r="F847" s="24"/>
      <c r="G847" s="25"/>
      <c r="H847" s="16" t="str">
        <f>IF(C847="","",IFERROR(INDEX(Settings!$L$4:$L$56,MATCH(C847,Settings!$K$4:$K$56,0)),"Unknown"))</f>
        <v/>
      </c>
      <c r="I847" s="8" t="str">
        <f t="shared" si="39"/>
        <v/>
      </c>
      <c r="J847" s="8" t="str">
        <f t="shared" si="40"/>
        <v/>
      </c>
      <c r="K847" s="24"/>
      <c r="L847" s="7" t="str">
        <f t="shared" si="41"/>
        <v/>
      </c>
    </row>
    <row r="848" spans="1:12" x14ac:dyDescent="0.25">
      <c r="A848" s="23"/>
      <c r="B848" s="24"/>
      <c r="C848" s="24"/>
      <c r="D848" s="24"/>
      <c r="E848" s="24"/>
      <c r="F848" s="24"/>
      <c r="G848" s="25"/>
      <c r="H848" s="16" t="str">
        <f>IF(C848="","",IFERROR(INDEX(Settings!$L$4:$L$56,MATCH(C848,Settings!$K$4:$K$56,0)),"Unknown"))</f>
        <v/>
      </c>
      <c r="I848" s="8" t="str">
        <f t="shared" si="39"/>
        <v/>
      </c>
      <c r="J848" s="8" t="str">
        <f t="shared" si="40"/>
        <v/>
      </c>
      <c r="K848" s="24"/>
      <c r="L848" s="7" t="str">
        <f t="shared" si="41"/>
        <v/>
      </c>
    </row>
    <row r="849" spans="1:12" x14ac:dyDescent="0.25">
      <c r="A849" s="23"/>
      <c r="B849" s="24"/>
      <c r="C849" s="24"/>
      <c r="D849" s="24"/>
      <c r="E849" s="24"/>
      <c r="F849" s="24"/>
      <c r="G849" s="25"/>
      <c r="H849" s="16" t="str">
        <f>IF(C849="","",IFERROR(INDEX(Settings!$L$4:$L$56,MATCH(C849,Settings!$K$4:$K$56,0)),"Unknown"))</f>
        <v/>
      </c>
      <c r="I849" s="8" t="str">
        <f t="shared" si="39"/>
        <v/>
      </c>
      <c r="J849" s="8" t="str">
        <f t="shared" si="40"/>
        <v/>
      </c>
      <c r="K849" s="24"/>
      <c r="L849" s="7" t="str">
        <f t="shared" si="41"/>
        <v/>
      </c>
    </row>
    <row r="850" spans="1:12" x14ac:dyDescent="0.25">
      <c r="A850" s="23"/>
      <c r="B850" s="24"/>
      <c r="C850" s="24"/>
      <c r="D850" s="24"/>
      <c r="E850" s="24"/>
      <c r="F850" s="24"/>
      <c r="G850" s="25"/>
      <c r="H850" s="16" t="str">
        <f>IF(C850="","",IFERROR(INDEX(Settings!$L$4:$L$56,MATCH(C850,Settings!$K$4:$K$56,0)),"Unknown"))</f>
        <v/>
      </c>
      <c r="I850" s="8" t="str">
        <f t="shared" si="39"/>
        <v/>
      </c>
      <c r="J850" s="8" t="str">
        <f t="shared" si="40"/>
        <v/>
      </c>
      <c r="K850" s="24"/>
      <c r="L850" s="7" t="str">
        <f t="shared" si="41"/>
        <v/>
      </c>
    </row>
    <row r="851" spans="1:12" x14ac:dyDescent="0.25">
      <c r="A851" s="23"/>
      <c r="B851" s="24"/>
      <c r="C851" s="24"/>
      <c r="D851" s="24"/>
      <c r="E851" s="24"/>
      <c r="F851" s="24"/>
      <c r="G851" s="25"/>
      <c r="H851" s="16" t="str">
        <f>IF(C851="","",IFERROR(INDEX(Settings!$L$4:$L$56,MATCH(C851,Settings!$K$4:$K$56,0)),"Unknown"))</f>
        <v/>
      </c>
      <c r="I851" s="8" t="str">
        <f t="shared" si="39"/>
        <v/>
      </c>
      <c r="J851" s="8" t="str">
        <f t="shared" si="40"/>
        <v/>
      </c>
      <c r="K851" s="24"/>
      <c r="L851" s="7" t="str">
        <f t="shared" si="41"/>
        <v/>
      </c>
    </row>
    <row r="852" spans="1:12" x14ac:dyDescent="0.25">
      <c r="A852" s="23"/>
      <c r="B852" s="24"/>
      <c r="C852" s="24"/>
      <c r="D852" s="24"/>
      <c r="E852" s="24"/>
      <c r="F852" s="24"/>
      <c r="G852" s="25"/>
      <c r="H852" s="16" t="str">
        <f>IF(C852="","",IFERROR(INDEX(Settings!$L$4:$L$56,MATCH(C852,Settings!$K$4:$K$56,0)),"Unknown"))</f>
        <v/>
      </c>
      <c r="I852" s="8" t="str">
        <f t="shared" si="39"/>
        <v/>
      </c>
      <c r="J852" s="8" t="str">
        <f t="shared" si="40"/>
        <v/>
      </c>
      <c r="K852" s="24"/>
      <c r="L852" s="7" t="str">
        <f t="shared" si="41"/>
        <v/>
      </c>
    </row>
    <row r="853" spans="1:12" x14ac:dyDescent="0.25">
      <c r="A853" s="23"/>
      <c r="B853" s="24"/>
      <c r="C853" s="24"/>
      <c r="D853" s="24"/>
      <c r="E853" s="24"/>
      <c r="F853" s="24"/>
      <c r="G853" s="25"/>
      <c r="H853" s="16" t="str">
        <f>IF(C853="","",IFERROR(INDEX(Settings!$L$4:$L$56,MATCH(C853,Settings!$K$4:$K$56,0)),"Unknown"))</f>
        <v/>
      </c>
      <c r="I853" s="8" t="str">
        <f t="shared" si="39"/>
        <v/>
      </c>
      <c r="J853" s="8" t="str">
        <f t="shared" si="40"/>
        <v/>
      </c>
      <c r="K853" s="24"/>
      <c r="L853" s="7" t="str">
        <f t="shared" si="41"/>
        <v/>
      </c>
    </row>
    <row r="854" spans="1:12" x14ac:dyDescent="0.25">
      <c r="A854" s="23"/>
      <c r="B854" s="24"/>
      <c r="C854" s="24"/>
      <c r="D854" s="24"/>
      <c r="E854" s="24"/>
      <c r="F854" s="24"/>
      <c r="G854" s="25"/>
      <c r="H854" s="16" t="str">
        <f>IF(C854="","",IFERROR(INDEX(Settings!$L$4:$L$56,MATCH(C854,Settings!$K$4:$K$56,0)),"Unknown"))</f>
        <v/>
      </c>
      <c r="I854" s="8" t="str">
        <f t="shared" si="39"/>
        <v/>
      </c>
      <c r="J854" s="8" t="str">
        <f t="shared" si="40"/>
        <v/>
      </c>
      <c r="K854" s="24"/>
      <c r="L854" s="7" t="str">
        <f t="shared" si="41"/>
        <v/>
      </c>
    </row>
    <row r="855" spans="1:12" x14ac:dyDescent="0.25">
      <c r="A855" s="23"/>
      <c r="B855" s="24"/>
      <c r="C855" s="24"/>
      <c r="D855" s="24"/>
      <c r="E855" s="24"/>
      <c r="F855" s="24"/>
      <c r="G855" s="25"/>
      <c r="H855" s="16" t="str">
        <f>IF(C855="","",IFERROR(INDEX(Settings!$L$4:$L$56,MATCH(C855,Settings!$K$4:$K$56,0)),"Unknown"))</f>
        <v/>
      </c>
      <c r="I855" s="8" t="str">
        <f t="shared" si="39"/>
        <v/>
      </c>
      <c r="J855" s="8" t="str">
        <f t="shared" si="40"/>
        <v/>
      </c>
      <c r="K855" s="24"/>
      <c r="L855" s="7" t="str">
        <f t="shared" si="41"/>
        <v/>
      </c>
    </row>
    <row r="856" spans="1:12" x14ac:dyDescent="0.25">
      <c r="A856" s="23"/>
      <c r="B856" s="24"/>
      <c r="C856" s="24"/>
      <c r="D856" s="24"/>
      <c r="E856" s="24"/>
      <c r="F856" s="24"/>
      <c r="G856" s="25"/>
      <c r="H856" s="16" t="str">
        <f>IF(C856="","",IFERROR(INDEX(Settings!$L$4:$L$56,MATCH(C856,Settings!$K$4:$K$56,0)),"Unknown"))</f>
        <v/>
      </c>
      <c r="I856" s="8" t="str">
        <f t="shared" si="39"/>
        <v/>
      </c>
      <c r="J856" s="8" t="str">
        <f t="shared" si="40"/>
        <v/>
      </c>
      <c r="K856" s="24"/>
      <c r="L856" s="7" t="str">
        <f t="shared" si="41"/>
        <v/>
      </c>
    </row>
    <row r="857" spans="1:12" x14ac:dyDescent="0.25">
      <c r="A857" s="23"/>
      <c r="B857" s="24"/>
      <c r="C857" s="24"/>
      <c r="D857" s="24"/>
      <c r="E857" s="24"/>
      <c r="F857" s="24"/>
      <c r="G857" s="25"/>
      <c r="H857" s="16" t="str">
        <f>IF(C857="","",IFERROR(INDEX(Settings!$L$4:$L$56,MATCH(C857,Settings!$K$4:$K$56,0)),"Unknown"))</f>
        <v/>
      </c>
      <c r="I857" s="8" t="str">
        <f t="shared" si="39"/>
        <v/>
      </c>
      <c r="J857" s="8" t="str">
        <f t="shared" si="40"/>
        <v/>
      </c>
      <c r="K857" s="24"/>
      <c r="L857" s="7" t="str">
        <f t="shared" si="41"/>
        <v/>
      </c>
    </row>
    <row r="858" spans="1:12" x14ac:dyDescent="0.25">
      <c r="A858" s="23"/>
      <c r="B858" s="24"/>
      <c r="C858" s="24"/>
      <c r="D858" s="24"/>
      <c r="E858" s="24"/>
      <c r="F858" s="24"/>
      <c r="G858" s="25"/>
      <c r="H858" s="16" t="str">
        <f>IF(C858="","",IFERROR(INDEX(Settings!$L$4:$L$56,MATCH(C858,Settings!$K$4:$K$56,0)),"Unknown"))</f>
        <v/>
      </c>
      <c r="I858" s="8" t="str">
        <f t="shared" si="39"/>
        <v/>
      </c>
      <c r="J858" s="8" t="str">
        <f t="shared" si="40"/>
        <v/>
      </c>
      <c r="K858" s="24"/>
      <c r="L858" s="7" t="str">
        <f t="shared" si="41"/>
        <v/>
      </c>
    </row>
    <row r="859" spans="1:12" x14ac:dyDescent="0.25">
      <c r="A859" s="23"/>
      <c r="B859" s="24"/>
      <c r="C859" s="24"/>
      <c r="D859" s="24"/>
      <c r="E859" s="24"/>
      <c r="F859" s="24"/>
      <c r="G859" s="25"/>
      <c r="H859" s="16" t="str">
        <f>IF(C859="","",IFERROR(INDEX(Settings!$L$4:$L$56,MATCH(C859,Settings!$K$4:$K$56,0)),"Unknown"))</f>
        <v/>
      </c>
      <c r="I859" s="8" t="str">
        <f t="shared" si="39"/>
        <v/>
      </c>
      <c r="J859" s="8" t="str">
        <f t="shared" si="40"/>
        <v/>
      </c>
      <c r="K859" s="24"/>
      <c r="L859" s="7" t="str">
        <f t="shared" si="41"/>
        <v/>
      </c>
    </row>
    <row r="860" spans="1:12" x14ac:dyDescent="0.25">
      <c r="A860" s="23"/>
      <c r="B860" s="24"/>
      <c r="C860" s="24"/>
      <c r="D860" s="24"/>
      <c r="E860" s="24"/>
      <c r="F860" s="24"/>
      <c r="G860" s="25"/>
      <c r="H860" s="16" t="str">
        <f>IF(C860="","",IFERROR(INDEX(Settings!$L$4:$L$56,MATCH(C860,Settings!$K$4:$K$56,0)),"Unknown"))</f>
        <v/>
      </c>
      <c r="I860" s="8" t="str">
        <f t="shared" si="39"/>
        <v/>
      </c>
      <c r="J860" s="8" t="str">
        <f t="shared" si="40"/>
        <v/>
      </c>
      <c r="K860" s="24"/>
      <c r="L860" s="7" t="str">
        <f t="shared" si="41"/>
        <v/>
      </c>
    </row>
    <row r="861" spans="1:12" x14ac:dyDescent="0.25">
      <c r="A861" s="23"/>
      <c r="B861" s="24"/>
      <c r="C861" s="24"/>
      <c r="D861" s="24"/>
      <c r="E861" s="24"/>
      <c r="F861" s="24"/>
      <c r="G861" s="25"/>
      <c r="H861" s="16" t="str">
        <f>IF(C861="","",IFERROR(INDEX(Settings!$L$4:$L$56,MATCH(C861,Settings!$K$4:$K$56,0)),"Unknown"))</f>
        <v/>
      </c>
      <c r="I861" s="8" t="str">
        <f t="shared" si="39"/>
        <v/>
      </c>
      <c r="J861" s="8" t="str">
        <f t="shared" si="40"/>
        <v/>
      </c>
      <c r="K861" s="24"/>
      <c r="L861" s="7" t="str">
        <f t="shared" si="41"/>
        <v/>
      </c>
    </row>
    <row r="862" spans="1:12" x14ac:dyDescent="0.25">
      <c r="A862" s="23"/>
      <c r="B862" s="24"/>
      <c r="C862" s="24"/>
      <c r="D862" s="24"/>
      <c r="E862" s="24"/>
      <c r="F862" s="24"/>
      <c r="G862" s="25"/>
      <c r="H862" s="16" t="str">
        <f>IF(C862="","",IFERROR(INDEX(Settings!$L$4:$L$56,MATCH(C862,Settings!$K$4:$K$56,0)),"Unknown"))</f>
        <v/>
      </c>
      <c r="I862" s="8" t="str">
        <f t="shared" si="39"/>
        <v/>
      </c>
      <c r="J862" s="8" t="str">
        <f t="shared" si="40"/>
        <v/>
      </c>
      <c r="K862" s="24"/>
      <c r="L862" s="7" t="str">
        <f t="shared" si="41"/>
        <v/>
      </c>
    </row>
    <row r="863" spans="1:12" x14ac:dyDescent="0.25">
      <c r="A863" s="23"/>
      <c r="B863" s="24"/>
      <c r="C863" s="24"/>
      <c r="D863" s="24"/>
      <c r="E863" s="24"/>
      <c r="F863" s="24"/>
      <c r="G863" s="25"/>
      <c r="H863" s="16" t="str">
        <f>IF(C863="","",IFERROR(INDEX(Settings!$L$4:$L$56,MATCH(C863,Settings!$K$4:$K$56,0)),"Unknown"))</f>
        <v/>
      </c>
      <c r="I863" s="8" t="str">
        <f t="shared" si="39"/>
        <v/>
      </c>
      <c r="J863" s="8" t="str">
        <f t="shared" si="40"/>
        <v/>
      </c>
      <c r="K863" s="24"/>
      <c r="L863" s="7" t="str">
        <f t="shared" si="41"/>
        <v/>
      </c>
    </row>
    <row r="864" spans="1:12" x14ac:dyDescent="0.25">
      <c r="A864" s="23"/>
      <c r="B864" s="24"/>
      <c r="C864" s="24"/>
      <c r="D864" s="24"/>
      <c r="E864" s="24"/>
      <c r="F864" s="24"/>
      <c r="G864" s="25"/>
      <c r="H864" s="16" t="str">
        <f>IF(C864="","",IFERROR(INDEX(Settings!$L$4:$L$56,MATCH(C864,Settings!$K$4:$K$56,0)),"Unknown"))</f>
        <v/>
      </c>
      <c r="I864" s="8" t="str">
        <f t="shared" si="39"/>
        <v/>
      </c>
      <c r="J864" s="8" t="str">
        <f t="shared" si="40"/>
        <v/>
      </c>
      <c r="K864" s="24"/>
      <c r="L864" s="7" t="str">
        <f t="shared" si="41"/>
        <v/>
      </c>
    </row>
    <row r="865" spans="1:12" x14ac:dyDescent="0.25">
      <c r="A865" s="23"/>
      <c r="B865" s="24"/>
      <c r="C865" s="24"/>
      <c r="D865" s="24"/>
      <c r="E865" s="24"/>
      <c r="F865" s="24"/>
      <c r="G865" s="25"/>
      <c r="H865" s="16" t="str">
        <f>IF(C865="","",IFERROR(INDEX(Settings!$L$4:$L$56,MATCH(C865,Settings!$K$4:$K$56,0)),"Unknown"))</f>
        <v/>
      </c>
      <c r="I865" s="8" t="str">
        <f t="shared" si="39"/>
        <v/>
      </c>
      <c r="J865" s="8" t="str">
        <f t="shared" si="40"/>
        <v/>
      </c>
      <c r="K865" s="24"/>
      <c r="L865" s="7" t="str">
        <f t="shared" si="41"/>
        <v/>
      </c>
    </row>
    <row r="866" spans="1:12" x14ac:dyDescent="0.25">
      <c r="A866" s="23"/>
      <c r="B866" s="24"/>
      <c r="C866" s="24"/>
      <c r="D866" s="24"/>
      <c r="E866" s="24"/>
      <c r="F866" s="24"/>
      <c r="G866" s="25"/>
      <c r="H866" s="16" t="str">
        <f>IF(C866="","",IFERROR(INDEX(Settings!$L$4:$L$56,MATCH(C866,Settings!$K$4:$K$56,0)),"Unknown"))</f>
        <v/>
      </c>
      <c r="I866" s="8" t="str">
        <f t="shared" si="39"/>
        <v/>
      </c>
      <c r="J866" s="8" t="str">
        <f t="shared" si="40"/>
        <v/>
      </c>
      <c r="K866" s="24"/>
      <c r="L866" s="7" t="str">
        <f t="shared" si="41"/>
        <v/>
      </c>
    </row>
    <row r="867" spans="1:12" x14ac:dyDescent="0.25">
      <c r="A867" s="23"/>
      <c r="B867" s="24"/>
      <c r="C867" s="24"/>
      <c r="D867" s="24"/>
      <c r="E867" s="24"/>
      <c r="F867" s="24"/>
      <c r="G867" s="25"/>
      <c r="H867" s="16" t="str">
        <f>IF(C867="","",IFERROR(INDEX(Settings!$L$4:$L$56,MATCH(C867,Settings!$K$4:$K$56,0)),"Unknown"))</f>
        <v/>
      </c>
      <c r="I867" s="8" t="str">
        <f t="shared" si="39"/>
        <v/>
      </c>
      <c r="J867" s="8" t="str">
        <f t="shared" si="40"/>
        <v/>
      </c>
      <c r="K867" s="24"/>
      <c r="L867" s="7" t="str">
        <f t="shared" si="41"/>
        <v/>
      </c>
    </row>
    <row r="868" spans="1:12" x14ac:dyDescent="0.25">
      <c r="A868" s="23"/>
      <c r="B868" s="24"/>
      <c r="C868" s="24"/>
      <c r="D868" s="24"/>
      <c r="E868" s="24"/>
      <c r="F868" s="24"/>
      <c r="G868" s="25"/>
      <c r="H868" s="16" t="str">
        <f>IF(C868="","",IFERROR(INDEX(Settings!$L$4:$L$56,MATCH(C868,Settings!$K$4:$K$56,0)),"Unknown"))</f>
        <v/>
      </c>
      <c r="I868" s="8" t="str">
        <f t="shared" si="39"/>
        <v/>
      </c>
      <c r="J868" s="8" t="str">
        <f t="shared" si="40"/>
        <v/>
      </c>
      <c r="K868" s="24"/>
      <c r="L868" s="7" t="str">
        <f t="shared" si="41"/>
        <v/>
      </c>
    </row>
    <row r="869" spans="1:12" x14ac:dyDescent="0.25">
      <c r="A869" s="23"/>
      <c r="B869" s="24"/>
      <c r="C869" s="24"/>
      <c r="D869" s="24"/>
      <c r="E869" s="24"/>
      <c r="F869" s="24"/>
      <c r="G869" s="25"/>
      <c r="H869" s="16" t="str">
        <f>IF(C869="","",IFERROR(INDEX(Settings!$L$4:$L$56,MATCH(C869,Settings!$K$4:$K$56,0)),"Unknown"))</f>
        <v/>
      </c>
      <c r="I869" s="8" t="str">
        <f t="shared" si="39"/>
        <v/>
      </c>
      <c r="J869" s="8" t="str">
        <f t="shared" si="40"/>
        <v/>
      </c>
      <c r="K869" s="24"/>
      <c r="L869" s="7" t="str">
        <f t="shared" si="41"/>
        <v/>
      </c>
    </row>
    <row r="870" spans="1:12" x14ac:dyDescent="0.25">
      <c r="A870" s="23"/>
      <c r="B870" s="24"/>
      <c r="C870" s="24"/>
      <c r="D870" s="24"/>
      <c r="E870" s="24"/>
      <c r="F870" s="24"/>
      <c r="G870" s="25"/>
      <c r="H870" s="16" t="str">
        <f>IF(C870="","",IFERROR(INDEX(Settings!$L$4:$L$56,MATCH(C870,Settings!$K$4:$K$56,0)),"Unknown"))</f>
        <v/>
      </c>
      <c r="I870" s="8" t="str">
        <f t="shared" si="39"/>
        <v/>
      </c>
      <c r="J870" s="8" t="str">
        <f t="shared" si="40"/>
        <v/>
      </c>
      <c r="K870" s="24"/>
      <c r="L870" s="7" t="str">
        <f t="shared" si="41"/>
        <v/>
      </c>
    </row>
    <row r="871" spans="1:12" x14ac:dyDescent="0.25">
      <c r="A871" s="23"/>
      <c r="B871" s="24"/>
      <c r="C871" s="24"/>
      <c r="D871" s="24"/>
      <c r="E871" s="24"/>
      <c r="F871" s="24"/>
      <c r="G871" s="25"/>
      <c r="H871" s="16" t="str">
        <f>IF(C871="","",IFERROR(INDEX(Settings!$L$4:$L$56,MATCH(C871,Settings!$K$4:$K$56,0)),"Unknown"))</f>
        <v/>
      </c>
      <c r="I871" s="8" t="str">
        <f t="shared" si="39"/>
        <v/>
      </c>
      <c r="J871" s="8" t="str">
        <f t="shared" si="40"/>
        <v/>
      </c>
      <c r="K871" s="24"/>
      <c r="L871" s="7" t="str">
        <f t="shared" si="41"/>
        <v/>
      </c>
    </row>
    <row r="872" spans="1:12" x14ac:dyDescent="0.25">
      <c r="A872" s="23"/>
      <c r="B872" s="24"/>
      <c r="C872" s="24"/>
      <c r="D872" s="24"/>
      <c r="E872" s="24"/>
      <c r="F872" s="24"/>
      <c r="G872" s="25"/>
      <c r="H872" s="16" t="str">
        <f>IF(C872="","",IFERROR(INDEX(Settings!$L$4:$L$56,MATCH(C872,Settings!$K$4:$K$56,0)),"Unknown"))</f>
        <v/>
      </c>
      <c r="I872" s="8" t="str">
        <f t="shared" si="39"/>
        <v/>
      </c>
      <c r="J872" s="8" t="str">
        <f t="shared" si="40"/>
        <v/>
      </c>
      <c r="K872" s="24"/>
      <c r="L872" s="7" t="str">
        <f t="shared" si="41"/>
        <v/>
      </c>
    </row>
    <row r="873" spans="1:12" x14ac:dyDescent="0.25">
      <c r="A873" s="23"/>
      <c r="B873" s="24"/>
      <c r="C873" s="24"/>
      <c r="D873" s="24"/>
      <c r="E873" s="24"/>
      <c r="F873" s="24"/>
      <c r="G873" s="25"/>
      <c r="H873" s="16" t="str">
        <f>IF(C873="","",IFERROR(INDEX(Settings!$L$4:$L$56,MATCH(C873,Settings!$K$4:$K$56,0)),"Unknown"))</f>
        <v/>
      </c>
      <c r="I873" s="8" t="str">
        <f t="shared" si="39"/>
        <v/>
      </c>
      <c r="J873" s="8" t="str">
        <f t="shared" si="40"/>
        <v/>
      </c>
      <c r="K873" s="24"/>
      <c r="L873" s="7" t="str">
        <f t="shared" si="41"/>
        <v/>
      </c>
    </row>
    <row r="874" spans="1:12" x14ac:dyDescent="0.25">
      <c r="A874" s="23"/>
      <c r="B874" s="24"/>
      <c r="C874" s="24"/>
      <c r="D874" s="24"/>
      <c r="E874" s="24"/>
      <c r="F874" s="24"/>
      <c r="G874" s="25"/>
      <c r="H874" s="16" t="str">
        <f>IF(C874="","",IFERROR(INDEX(Settings!$L$4:$L$56,MATCH(C874,Settings!$K$4:$K$56,0)),"Unknown"))</f>
        <v/>
      </c>
      <c r="I874" s="8" t="str">
        <f t="shared" si="39"/>
        <v/>
      </c>
      <c r="J874" s="8" t="str">
        <f t="shared" si="40"/>
        <v/>
      </c>
      <c r="K874" s="24"/>
      <c r="L874" s="7" t="str">
        <f t="shared" si="41"/>
        <v/>
      </c>
    </row>
    <row r="875" spans="1:12" x14ac:dyDescent="0.25">
      <c r="A875" s="23"/>
      <c r="B875" s="24"/>
      <c r="C875" s="24"/>
      <c r="D875" s="24"/>
      <c r="E875" s="24"/>
      <c r="F875" s="24"/>
      <c r="G875" s="25"/>
      <c r="H875" s="16" t="str">
        <f>IF(C875="","",IFERROR(INDEX(Settings!$L$4:$L$56,MATCH(C875,Settings!$K$4:$K$56,0)),"Unknown"))</f>
        <v/>
      </c>
      <c r="I875" s="8" t="str">
        <f t="shared" si="39"/>
        <v/>
      </c>
      <c r="J875" s="8" t="str">
        <f t="shared" si="40"/>
        <v/>
      </c>
      <c r="K875" s="24"/>
      <c r="L875" s="7" t="str">
        <f t="shared" si="41"/>
        <v/>
      </c>
    </row>
    <row r="876" spans="1:12" x14ac:dyDescent="0.25">
      <c r="A876" s="23"/>
      <c r="B876" s="24"/>
      <c r="C876" s="24"/>
      <c r="D876" s="24"/>
      <c r="E876" s="24"/>
      <c r="F876" s="24"/>
      <c r="G876" s="25"/>
      <c r="H876" s="16" t="str">
        <f>IF(C876="","",IFERROR(INDEX(Settings!$L$4:$L$56,MATCH(C876,Settings!$K$4:$K$56,0)),"Unknown"))</f>
        <v/>
      </c>
      <c r="I876" s="8" t="str">
        <f t="shared" si="39"/>
        <v/>
      </c>
      <c r="J876" s="8" t="str">
        <f t="shared" si="40"/>
        <v/>
      </c>
      <c r="K876" s="24"/>
      <c r="L876" s="7" t="str">
        <f t="shared" si="41"/>
        <v/>
      </c>
    </row>
    <row r="877" spans="1:12" x14ac:dyDescent="0.25">
      <c r="A877" s="23"/>
      <c r="B877" s="24"/>
      <c r="C877" s="24"/>
      <c r="D877" s="24"/>
      <c r="E877" s="24"/>
      <c r="F877" s="24"/>
      <c r="G877" s="25"/>
      <c r="H877" s="16" t="str">
        <f>IF(C877="","",IFERROR(INDEX(Settings!$L$4:$L$56,MATCH(C877,Settings!$K$4:$K$56,0)),"Unknown"))</f>
        <v/>
      </c>
      <c r="I877" s="8" t="str">
        <f t="shared" si="39"/>
        <v/>
      </c>
      <c r="J877" s="8" t="str">
        <f t="shared" si="40"/>
        <v/>
      </c>
      <c r="K877" s="24"/>
      <c r="L877" s="7" t="str">
        <f t="shared" si="41"/>
        <v/>
      </c>
    </row>
    <row r="878" spans="1:12" x14ac:dyDescent="0.25">
      <c r="A878" s="23"/>
      <c r="B878" s="24"/>
      <c r="C878" s="24"/>
      <c r="D878" s="24"/>
      <c r="E878" s="24"/>
      <c r="F878" s="24"/>
      <c r="G878" s="25"/>
      <c r="H878" s="16" t="str">
        <f>IF(C878="","",IFERROR(INDEX(Settings!$L$4:$L$56,MATCH(C878,Settings!$K$4:$K$56,0)),"Unknown"))</f>
        <v/>
      </c>
      <c r="I878" s="8" t="str">
        <f t="shared" si="39"/>
        <v/>
      </c>
      <c r="J878" s="8" t="str">
        <f t="shared" si="40"/>
        <v/>
      </c>
      <c r="K878" s="24"/>
      <c r="L878" s="7" t="str">
        <f t="shared" si="41"/>
        <v/>
      </c>
    </row>
    <row r="879" spans="1:12" x14ac:dyDescent="0.25">
      <c r="A879" s="23"/>
      <c r="B879" s="24"/>
      <c r="C879" s="24"/>
      <c r="D879" s="24"/>
      <c r="E879" s="24"/>
      <c r="F879" s="24"/>
      <c r="G879" s="25"/>
      <c r="H879" s="16" t="str">
        <f>IF(C879="","",IFERROR(INDEX(Settings!$L$4:$L$56,MATCH(C879,Settings!$K$4:$K$56,0)),"Unknown"))</f>
        <v/>
      </c>
      <c r="I879" s="8" t="str">
        <f t="shared" si="39"/>
        <v/>
      </c>
      <c r="J879" s="8" t="str">
        <f t="shared" si="40"/>
        <v/>
      </c>
      <c r="K879" s="24"/>
      <c r="L879" s="7" t="str">
        <f t="shared" si="41"/>
        <v/>
      </c>
    </row>
    <row r="880" spans="1:12" x14ac:dyDescent="0.25">
      <c r="A880" s="23"/>
      <c r="B880" s="24"/>
      <c r="C880" s="24"/>
      <c r="D880" s="24"/>
      <c r="E880" s="24"/>
      <c r="F880" s="24"/>
      <c r="G880" s="25"/>
      <c r="H880" s="16" t="str">
        <f>IF(C880="","",IFERROR(INDEX(Settings!$L$4:$L$56,MATCH(C880,Settings!$K$4:$K$56,0)),"Unknown"))</f>
        <v/>
      </c>
      <c r="I880" s="8" t="str">
        <f t="shared" si="39"/>
        <v/>
      </c>
      <c r="J880" s="8" t="str">
        <f t="shared" si="40"/>
        <v/>
      </c>
      <c r="K880" s="24"/>
      <c r="L880" s="7" t="str">
        <f t="shared" si="41"/>
        <v/>
      </c>
    </row>
    <row r="881" spans="1:12" x14ac:dyDescent="0.25">
      <c r="A881" s="23"/>
      <c r="B881" s="24"/>
      <c r="C881" s="24"/>
      <c r="D881" s="24"/>
      <c r="E881" s="24"/>
      <c r="F881" s="24"/>
      <c r="G881" s="25"/>
      <c r="H881" s="16" t="str">
        <f>IF(C881="","",IFERROR(INDEX(Settings!$L$4:$L$56,MATCH(C881,Settings!$K$4:$K$56,0)),"Unknown"))</f>
        <v/>
      </c>
      <c r="I881" s="8" t="str">
        <f t="shared" si="39"/>
        <v/>
      </c>
      <c r="J881" s="8" t="str">
        <f t="shared" si="40"/>
        <v/>
      </c>
      <c r="K881" s="24"/>
      <c r="L881" s="7" t="str">
        <f t="shared" si="41"/>
        <v/>
      </c>
    </row>
    <row r="882" spans="1:12" x14ac:dyDescent="0.25">
      <c r="A882" s="23"/>
      <c r="B882" s="24"/>
      <c r="C882" s="24"/>
      <c r="D882" s="24"/>
      <c r="E882" s="24"/>
      <c r="F882" s="24"/>
      <c r="G882" s="25"/>
      <c r="H882" s="16" t="str">
        <f>IF(C882="","",IFERROR(INDEX(Settings!$L$4:$L$56,MATCH(C882,Settings!$K$4:$K$56,0)),"Unknown"))</f>
        <v/>
      </c>
      <c r="I882" s="8" t="str">
        <f t="shared" si="39"/>
        <v/>
      </c>
      <c r="J882" s="8" t="str">
        <f t="shared" si="40"/>
        <v/>
      </c>
      <c r="K882" s="24"/>
      <c r="L882" s="7" t="str">
        <f t="shared" si="41"/>
        <v/>
      </c>
    </row>
    <row r="883" spans="1:12" x14ac:dyDescent="0.25">
      <c r="A883" s="23"/>
      <c r="B883" s="24"/>
      <c r="C883" s="24"/>
      <c r="D883" s="24"/>
      <c r="E883" s="24"/>
      <c r="F883" s="24"/>
      <c r="G883" s="25"/>
      <c r="H883" s="16" t="str">
        <f>IF(C883="","",IFERROR(INDEX(Settings!$L$4:$L$56,MATCH(C883,Settings!$K$4:$K$56,0)),"Unknown"))</f>
        <v/>
      </c>
      <c r="I883" s="8" t="str">
        <f t="shared" si="39"/>
        <v/>
      </c>
      <c r="J883" s="8" t="str">
        <f t="shared" si="40"/>
        <v/>
      </c>
      <c r="K883" s="24"/>
      <c r="L883" s="7" t="str">
        <f t="shared" si="41"/>
        <v/>
      </c>
    </row>
    <row r="884" spans="1:12" x14ac:dyDescent="0.25">
      <c r="A884" s="23"/>
      <c r="B884" s="24"/>
      <c r="C884" s="24"/>
      <c r="D884" s="24"/>
      <c r="E884" s="24"/>
      <c r="F884" s="24"/>
      <c r="G884" s="25"/>
      <c r="H884" s="16" t="str">
        <f>IF(C884="","",IFERROR(INDEX(Settings!$L$4:$L$56,MATCH(C884,Settings!$K$4:$K$56,0)),"Unknown"))</f>
        <v/>
      </c>
      <c r="I884" s="8" t="str">
        <f t="shared" si="39"/>
        <v/>
      </c>
      <c r="J884" s="8" t="str">
        <f t="shared" si="40"/>
        <v/>
      </c>
      <c r="K884" s="24"/>
      <c r="L884" s="7" t="str">
        <f t="shared" si="41"/>
        <v/>
      </c>
    </row>
    <row r="885" spans="1:12" x14ac:dyDescent="0.25">
      <c r="A885" s="23"/>
      <c r="B885" s="24"/>
      <c r="C885" s="24"/>
      <c r="D885" s="24"/>
      <c r="E885" s="24"/>
      <c r="F885" s="24"/>
      <c r="G885" s="25"/>
      <c r="H885" s="16" t="str">
        <f>IF(C885="","",IFERROR(INDEX(Settings!$L$4:$L$56,MATCH(C885,Settings!$K$4:$K$56,0)),"Unknown"))</f>
        <v/>
      </c>
      <c r="I885" s="8" t="str">
        <f t="shared" si="39"/>
        <v/>
      </c>
      <c r="J885" s="8" t="str">
        <f t="shared" si="40"/>
        <v/>
      </c>
      <c r="K885" s="24"/>
      <c r="L885" s="7" t="str">
        <f t="shared" si="41"/>
        <v/>
      </c>
    </row>
    <row r="886" spans="1:12" x14ac:dyDescent="0.25">
      <c r="A886" s="23"/>
      <c r="B886" s="24"/>
      <c r="C886" s="24"/>
      <c r="D886" s="24"/>
      <c r="E886" s="24"/>
      <c r="F886" s="24"/>
      <c r="G886" s="25"/>
      <c r="H886" s="16" t="str">
        <f>IF(C886="","",IFERROR(INDEX(Settings!$L$4:$L$56,MATCH(C886,Settings!$K$4:$K$56,0)),"Unknown"))</f>
        <v/>
      </c>
      <c r="I886" s="8" t="str">
        <f t="shared" si="39"/>
        <v/>
      </c>
      <c r="J886" s="8" t="str">
        <f t="shared" si="40"/>
        <v/>
      </c>
      <c r="K886" s="24"/>
      <c r="L886" s="7" t="str">
        <f t="shared" si="41"/>
        <v/>
      </c>
    </row>
    <row r="887" spans="1:12" x14ac:dyDescent="0.25">
      <c r="A887" s="23"/>
      <c r="B887" s="24"/>
      <c r="C887" s="24"/>
      <c r="D887" s="24"/>
      <c r="E887" s="24"/>
      <c r="F887" s="24"/>
      <c r="G887" s="25"/>
      <c r="H887" s="16" t="str">
        <f>IF(C887="","",IFERROR(INDEX(Settings!$L$4:$L$56,MATCH(C887,Settings!$K$4:$K$56,0)),"Unknown"))</f>
        <v/>
      </c>
      <c r="I887" s="8" t="str">
        <f t="shared" si="39"/>
        <v/>
      </c>
      <c r="J887" s="8" t="str">
        <f t="shared" si="40"/>
        <v/>
      </c>
      <c r="K887" s="24"/>
      <c r="L887" s="7" t="str">
        <f t="shared" si="41"/>
        <v/>
      </c>
    </row>
    <row r="888" spans="1:12" x14ac:dyDescent="0.25">
      <c r="A888" s="23"/>
      <c r="B888" s="24"/>
      <c r="C888" s="24"/>
      <c r="D888" s="24"/>
      <c r="E888" s="24"/>
      <c r="F888" s="24"/>
      <c r="G888" s="25"/>
      <c r="H888" s="16" t="str">
        <f>IF(C888="","",IFERROR(INDEX(Settings!$L$4:$L$56,MATCH(C888,Settings!$K$4:$K$56,0)),"Unknown"))</f>
        <v/>
      </c>
      <c r="I888" s="8" t="str">
        <f t="shared" si="39"/>
        <v/>
      </c>
      <c r="J888" s="8" t="str">
        <f t="shared" si="40"/>
        <v/>
      </c>
      <c r="K888" s="24"/>
      <c r="L888" s="7" t="str">
        <f t="shared" si="41"/>
        <v/>
      </c>
    </row>
    <row r="889" spans="1:12" x14ac:dyDescent="0.25">
      <c r="A889" s="23"/>
      <c r="B889" s="24"/>
      <c r="C889" s="24"/>
      <c r="D889" s="24"/>
      <c r="E889" s="24"/>
      <c r="F889" s="24"/>
      <c r="G889" s="25"/>
      <c r="H889" s="16" t="str">
        <f>IF(C889="","",IFERROR(INDEX(Settings!$L$4:$L$56,MATCH(C889,Settings!$K$4:$K$56,0)),"Unknown"))</f>
        <v/>
      </c>
      <c r="I889" s="8" t="str">
        <f t="shared" si="39"/>
        <v/>
      </c>
      <c r="J889" s="8" t="str">
        <f t="shared" si="40"/>
        <v/>
      </c>
      <c r="K889" s="24"/>
      <c r="L889" s="7" t="str">
        <f t="shared" si="41"/>
        <v/>
      </c>
    </row>
    <row r="890" spans="1:12" x14ac:dyDescent="0.25">
      <c r="A890" s="23"/>
      <c r="B890" s="24"/>
      <c r="C890" s="24"/>
      <c r="D890" s="24"/>
      <c r="E890" s="24"/>
      <c r="F890" s="24"/>
      <c r="G890" s="25"/>
      <c r="H890" s="16" t="str">
        <f>IF(C890="","",IFERROR(INDEX(Settings!$L$4:$L$56,MATCH(C890,Settings!$K$4:$K$56,0)),"Unknown"))</f>
        <v/>
      </c>
      <c r="I890" s="8" t="str">
        <f t="shared" si="39"/>
        <v/>
      </c>
      <c r="J890" s="8" t="str">
        <f t="shared" si="40"/>
        <v/>
      </c>
      <c r="K890" s="24"/>
      <c r="L890" s="7" t="str">
        <f t="shared" si="41"/>
        <v/>
      </c>
    </row>
    <row r="891" spans="1:12" x14ac:dyDescent="0.25">
      <c r="A891" s="23"/>
      <c r="B891" s="24"/>
      <c r="C891" s="24"/>
      <c r="D891" s="24"/>
      <c r="E891" s="24"/>
      <c r="F891" s="24"/>
      <c r="G891" s="25"/>
      <c r="H891" s="16" t="str">
        <f>IF(C891="","",IFERROR(INDEX(Settings!$L$4:$L$56,MATCH(C891,Settings!$K$4:$K$56,0)),"Unknown"))</f>
        <v/>
      </c>
      <c r="I891" s="8" t="str">
        <f t="shared" si="39"/>
        <v/>
      </c>
      <c r="J891" s="8" t="str">
        <f t="shared" si="40"/>
        <v/>
      </c>
      <c r="K891" s="24"/>
      <c r="L891" s="7" t="str">
        <f t="shared" si="41"/>
        <v/>
      </c>
    </row>
    <row r="892" spans="1:12" x14ac:dyDescent="0.25">
      <c r="A892" s="23"/>
      <c r="B892" s="24"/>
      <c r="C892" s="24"/>
      <c r="D892" s="24"/>
      <c r="E892" s="24"/>
      <c r="F892" s="24"/>
      <c r="G892" s="25"/>
      <c r="H892" s="16" t="str">
        <f>IF(C892="","",IFERROR(INDEX(Settings!$L$4:$L$56,MATCH(C892,Settings!$K$4:$K$56,0)),"Unknown"))</f>
        <v/>
      </c>
      <c r="I892" s="8" t="str">
        <f t="shared" si="39"/>
        <v/>
      </c>
      <c r="J892" s="8" t="str">
        <f t="shared" si="40"/>
        <v/>
      </c>
      <c r="K892" s="24"/>
      <c r="L892" s="7" t="str">
        <f t="shared" si="41"/>
        <v/>
      </c>
    </row>
    <row r="893" spans="1:12" x14ac:dyDescent="0.25">
      <c r="A893" s="23"/>
      <c r="B893" s="24"/>
      <c r="C893" s="24"/>
      <c r="D893" s="24"/>
      <c r="E893" s="24"/>
      <c r="F893" s="24"/>
      <c r="G893" s="25"/>
      <c r="H893" s="16" t="str">
        <f>IF(C893="","",IFERROR(INDEX(Settings!$L$4:$L$56,MATCH(C893,Settings!$K$4:$K$56,0)),"Unknown"))</f>
        <v/>
      </c>
      <c r="I893" s="8" t="str">
        <f t="shared" si="39"/>
        <v/>
      </c>
      <c r="J893" s="8" t="str">
        <f t="shared" si="40"/>
        <v/>
      </c>
      <c r="K893" s="24"/>
      <c r="L893" s="7" t="str">
        <f t="shared" si="41"/>
        <v/>
      </c>
    </row>
    <row r="894" spans="1:12" x14ac:dyDescent="0.25">
      <c r="A894" s="23"/>
      <c r="B894" s="24"/>
      <c r="C894" s="24"/>
      <c r="D894" s="24"/>
      <c r="E894" s="24"/>
      <c r="F894" s="24"/>
      <c r="G894" s="25"/>
      <c r="H894" s="16" t="str">
        <f>IF(C894="","",IFERROR(INDEX(Settings!$L$4:$L$56,MATCH(C894,Settings!$K$4:$K$56,0)),"Unknown"))</f>
        <v/>
      </c>
      <c r="I894" s="8" t="str">
        <f t="shared" si="39"/>
        <v/>
      </c>
      <c r="J894" s="8" t="str">
        <f t="shared" si="40"/>
        <v/>
      </c>
      <c r="K894" s="24"/>
      <c r="L894" s="7" t="str">
        <f t="shared" si="41"/>
        <v/>
      </c>
    </row>
    <row r="895" spans="1:12" x14ac:dyDescent="0.25">
      <c r="A895" s="23"/>
      <c r="B895" s="24"/>
      <c r="C895" s="24"/>
      <c r="D895" s="24"/>
      <c r="E895" s="24"/>
      <c r="F895" s="24"/>
      <c r="G895" s="25"/>
      <c r="H895" s="16" t="str">
        <f>IF(C895="","",IFERROR(INDEX(Settings!$L$4:$L$56,MATCH(C895,Settings!$K$4:$K$56,0)),"Unknown"))</f>
        <v/>
      </c>
      <c r="I895" s="8" t="str">
        <f t="shared" si="39"/>
        <v/>
      </c>
      <c r="J895" s="8" t="str">
        <f t="shared" si="40"/>
        <v/>
      </c>
      <c r="K895" s="24"/>
      <c r="L895" s="7" t="str">
        <f t="shared" si="41"/>
        <v/>
      </c>
    </row>
    <row r="896" spans="1:12" x14ac:dyDescent="0.25">
      <c r="A896" s="23"/>
      <c r="B896" s="24"/>
      <c r="C896" s="24"/>
      <c r="D896" s="24"/>
      <c r="E896" s="24"/>
      <c r="F896" s="24"/>
      <c r="G896" s="25"/>
      <c r="H896" s="16" t="str">
        <f>IF(C896="","",IFERROR(INDEX(Settings!$L$4:$L$56,MATCH(C896,Settings!$K$4:$K$56,0)),"Unknown"))</f>
        <v/>
      </c>
      <c r="I896" s="8" t="str">
        <f t="shared" si="39"/>
        <v/>
      </c>
      <c r="J896" s="8" t="str">
        <f t="shared" si="40"/>
        <v/>
      </c>
      <c r="K896" s="24"/>
      <c r="L896" s="7" t="str">
        <f t="shared" si="41"/>
        <v/>
      </c>
    </row>
    <row r="897" spans="1:12" x14ac:dyDescent="0.25">
      <c r="A897" s="23"/>
      <c r="B897" s="24"/>
      <c r="C897" s="24"/>
      <c r="D897" s="24"/>
      <c r="E897" s="24"/>
      <c r="F897" s="24"/>
      <c r="G897" s="25"/>
      <c r="H897" s="16" t="str">
        <f>IF(C897="","",IFERROR(INDEX(Settings!$L$4:$L$56,MATCH(C897,Settings!$K$4:$K$56,0)),"Unknown"))</f>
        <v/>
      </c>
      <c r="I897" s="8" t="str">
        <f t="shared" si="39"/>
        <v/>
      </c>
      <c r="J897" s="8" t="str">
        <f t="shared" si="40"/>
        <v/>
      </c>
      <c r="K897" s="24"/>
      <c r="L897" s="7" t="str">
        <f t="shared" si="41"/>
        <v/>
      </c>
    </row>
    <row r="898" spans="1:12" x14ac:dyDescent="0.25">
      <c r="A898" s="23"/>
      <c r="B898" s="24"/>
      <c r="C898" s="24"/>
      <c r="D898" s="24"/>
      <c r="E898" s="24"/>
      <c r="F898" s="24"/>
      <c r="G898" s="25"/>
      <c r="H898" s="16" t="str">
        <f>IF(C898="","",IFERROR(INDEX(Settings!$L$4:$L$56,MATCH(C898,Settings!$K$4:$K$56,0)),"Unknown"))</f>
        <v/>
      </c>
      <c r="I898" s="8" t="str">
        <f t="shared" si="39"/>
        <v/>
      </c>
      <c r="J898" s="8" t="str">
        <f t="shared" si="40"/>
        <v/>
      </c>
      <c r="K898" s="24"/>
      <c r="L898" s="7" t="str">
        <f t="shared" si="41"/>
        <v/>
      </c>
    </row>
    <row r="899" spans="1:12" x14ac:dyDescent="0.25">
      <c r="A899" s="23"/>
      <c r="B899" s="24"/>
      <c r="C899" s="24"/>
      <c r="D899" s="24"/>
      <c r="E899" s="24"/>
      <c r="F899" s="24"/>
      <c r="G899" s="25"/>
      <c r="H899" s="16" t="str">
        <f>IF(C899="","",IFERROR(INDEX(Settings!$L$4:$L$56,MATCH(C899,Settings!$K$4:$K$56,0)),"Unknown"))</f>
        <v/>
      </c>
      <c r="I899" s="8" t="str">
        <f t="shared" si="39"/>
        <v/>
      </c>
      <c r="J899" s="8" t="str">
        <f t="shared" si="40"/>
        <v/>
      </c>
      <c r="K899" s="24"/>
      <c r="L899" s="7" t="str">
        <f t="shared" si="41"/>
        <v/>
      </c>
    </row>
    <row r="900" spans="1:12" x14ac:dyDescent="0.25">
      <c r="A900" s="23"/>
      <c r="B900" s="24"/>
      <c r="C900" s="24"/>
      <c r="D900" s="24"/>
      <c r="E900" s="24"/>
      <c r="F900" s="24"/>
      <c r="G900" s="25"/>
      <c r="H900" s="16" t="str">
        <f>IF(C900="","",IFERROR(INDEX(Settings!$L$4:$L$56,MATCH(C900,Settings!$K$4:$K$56,0)),"Unknown"))</f>
        <v/>
      </c>
      <c r="I900" s="8" t="str">
        <f t="shared" si="39"/>
        <v/>
      </c>
      <c r="J900" s="8" t="str">
        <f t="shared" si="40"/>
        <v/>
      </c>
      <c r="K900" s="24"/>
      <c r="L900" s="7" t="str">
        <f t="shared" si="41"/>
        <v/>
      </c>
    </row>
    <row r="901" spans="1:12" x14ac:dyDescent="0.25">
      <c r="A901" s="23"/>
      <c r="B901" s="24"/>
      <c r="C901" s="24"/>
      <c r="D901" s="24"/>
      <c r="E901" s="24"/>
      <c r="F901" s="24"/>
      <c r="G901" s="25"/>
      <c r="H901" s="16" t="str">
        <f>IF(C901="","",IFERROR(INDEX(Settings!$L$4:$L$56,MATCH(C901,Settings!$K$4:$K$56,0)),"Unknown"))</f>
        <v/>
      </c>
      <c r="I901" s="8" t="str">
        <f t="shared" si="39"/>
        <v/>
      </c>
      <c r="J901" s="8" t="str">
        <f t="shared" si="40"/>
        <v/>
      </c>
      <c r="K901" s="24"/>
      <c r="L901" s="7" t="str">
        <f t="shared" si="41"/>
        <v/>
      </c>
    </row>
    <row r="902" spans="1:12" x14ac:dyDescent="0.25">
      <c r="A902" s="23"/>
      <c r="B902" s="24"/>
      <c r="C902" s="24"/>
      <c r="D902" s="24"/>
      <c r="E902" s="24"/>
      <c r="F902" s="24"/>
      <c r="G902" s="25"/>
      <c r="H902" s="16" t="str">
        <f>IF(C902="","",IFERROR(INDEX(Settings!$L$4:$L$56,MATCH(C902,Settings!$K$4:$K$56,0)),"Unknown"))</f>
        <v/>
      </c>
      <c r="I902" s="8" t="str">
        <f t="shared" ref="I902:I965" si="42">IF(A902="","",MONTH(A902))</f>
        <v/>
      </c>
      <c r="J902" s="8" t="str">
        <f t="shared" ref="J902:J965" si="43">IF(A902="","",YEAR(A902))</f>
        <v/>
      </c>
      <c r="K902" s="24"/>
      <c r="L902" s="7" t="str">
        <f t="shared" ref="L902:L965" si="44">IF(OR(B902="",C902=""),"",IF(AND(B902="Income",H902&lt;&gt;"Income"),"Category is not an Income category",IF(AND(B902="Expense",H902="Income"),"Category is an Income category","OK")))</f>
        <v/>
      </c>
    </row>
    <row r="903" spans="1:12" x14ac:dyDescent="0.25">
      <c r="A903" s="23"/>
      <c r="B903" s="24"/>
      <c r="C903" s="24"/>
      <c r="D903" s="24"/>
      <c r="E903" s="24"/>
      <c r="F903" s="24"/>
      <c r="G903" s="25"/>
      <c r="H903" s="16" t="str">
        <f>IF(C903="","",IFERROR(INDEX(Settings!$L$4:$L$56,MATCH(C903,Settings!$K$4:$K$56,0)),"Unknown"))</f>
        <v/>
      </c>
      <c r="I903" s="8" t="str">
        <f t="shared" si="42"/>
        <v/>
      </c>
      <c r="J903" s="8" t="str">
        <f t="shared" si="43"/>
        <v/>
      </c>
      <c r="K903" s="24"/>
      <c r="L903" s="7" t="str">
        <f t="shared" si="44"/>
        <v/>
      </c>
    </row>
    <row r="904" spans="1:12" x14ac:dyDescent="0.25">
      <c r="A904" s="23"/>
      <c r="B904" s="24"/>
      <c r="C904" s="24"/>
      <c r="D904" s="24"/>
      <c r="E904" s="24"/>
      <c r="F904" s="24"/>
      <c r="G904" s="25"/>
      <c r="H904" s="16" t="str">
        <f>IF(C904="","",IFERROR(INDEX(Settings!$L$4:$L$56,MATCH(C904,Settings!$K$4:$K$56,0)),"Unknown"))</f>
        <v/>
      </c>
      <c r="I904" s="8" t="str">
        <f t="shared" si="42"/>
        <v/>
      </c>
      <c r="J904" s="8" t="str">
        <f t="shared" si="43"/>
        <v/>
      </c>
      <c r="K904" s="24"/>
      <c r="L904" s="7" t="str">
        <f t="shared" si="44"/>
        <v/>
      </c>
    </row>
    <row r="905" spans="1:12" x14ac:dyDescent="0.25">
      <c r="A905" s="23"/>
      <c r="B905" s="24"/>
      <c r="C905" s="24"/>
      <c r="D905" s="24"/>
      <c r="E905" s="24"/>
      <c r="F905" s="24"/>
      <c r="G905" s="25"/>
      <c r="H905" s="16" t="str">
        <f>IF(C905="","",IFERROR(INDEX(Settings!$L$4:$L$56,MATCH(C905,Settings!$K$4:$K$56,0)),"Unknown"))</f>
        <v/>
      </c>
      <c r="I905" s="8" t="str">
        <f t="shared" si="42"/>
        <v/>
      </c>
      <c r="J905" s="8" t="str">
        <f t="shared" si="43"/>
        <v/>
      </c>
      <c r="K905" s="24"/>
      <c r="L905" s="7" t="str">
        <f t="shared" si="44"/>
        <v/>
      </c>
    </row>
    <row r="906" spans="1:12" x14ac:dyDescent="0.25">
      <c r="A906" s="23"/>
      <c r="B906" s="24"/>
      <c r="C906" s="24"/>
      <c r="D906" s="24"/>
      <c r="E906" s="24"/>
      <c r="F906" s="24"/>
      <c r="G906" s="25"/>
      <c r="H906" s="16" t="str">
        <f>IF(C906="","",IFERROR(INDEX(Settings!$L$4:$L$56,MATCH(C906,Settings!$K$4:$K$56,0)),"Unknown"))</f>
        <v/>
      </c>
      <c r="I906" s="8" t="str">
        <f t="shared" si="42"/>
        <v/>
      </c>
      <c r="J906" s="8" t="str">
        <f t="shared" si="43"/>
        <v/>
      </c>
      <c r="K906" s="24"/>
      <c r="L906" s="7" t="str">
        <f t="shared" si="44"/>
        <v/>
      </c>
    </row>
    <row r="907" spans="1:12" x14ac:dyDescent="0.25">
      <c r="A907" s="23"/>
      <c r="B907" s="24"/>
      <c r="C907" s="24"/>
      <c r="D907" s="24"/>
      <c r="E907" s="24"/>
      <c r="F907" s="24"/>
      <c r="G907" s="25"/>
      <c r="H907" s="16" t="str">
        <f>IF(C907="","",IFERROR(INDEX(Settings!$L$4:$L$56,MATCH(C907,Settings!$K$4:$K$56,0)),"Unknown"))</f>
        <v/>
      </c>
      <c r="I907" s="8" t="str">
        <f t="shared" si="42"/>
        <v/>
      </c>
      <c r="J907" s="8" t="str">
        <f t="shared" si="43"/>
        <v/>
      </c>
      <c r="K907" s="24"/>
      <c r="L907" s="7" t="str">
        <f t="shared" si="44"/>
        <v/>
      </c>
    </row>
    <row r="908" spans="1:12" x14ac:dyDescent="0.25">
      <c r="A908" s="23"/>
      <c r="B908" s="24"/>
      <c r="C908" s="24"/>
      <c r="D908" s="24"/>
      <c r="E908" s="24"/>
      <c r="F908" s="24"/>
      <c r="G908" s="25"/>
      <c r="H908" s="16" t="str">
        <f>IF(C908="","",IFERROR(INDEX(Settings!$L$4:$L$56,MATCH(C908,Settings!$K$4:$K$56,0)),"Unknown"))</f>
        <v/>
      </c>
      <c r="I908" s="8" t="str">
        <f t="shared" si="42"/>
        <v/>
      </c>
      <c r="J908" s="8" t="str">
        <f t="shared" si="43"/>
        <v/>
      </c>
      <c r="K908" s="24"/>
      <c r="L908" s="7" t="str">
        <f t="shared" si="44"/>
        <v/>
      </c>
    </row>
    <row r="909" spans="1:12" x14ac:dyDescent="0.25">
      <c r="A909" s="23"/>
      <c r="B909" s="24"/>
      <c r="C909" s="24"/>
      <c r="D909" s="24"/>
      <c r="E909" s="24"/>
      <c r="F909" s="24"/>
      <c r="G909" s="25"/>
      <c r="H909" s="16" t="str">
        <f>IF(C909="","",IFERROR(INDEX(Settings!$L$4:$L$56,MATCH(C909,Settings!$K$4:$K$56,0)),"Unknown"))</f>
        <v/>
      </c>
      <c r="I909" s="8" t="str">
        <f t="shared" si="42"/>
        <v/>
      </c>
      <c r="J909" s="8" t="str">
        <f t="shared" si="43"/>
        <v/>
      </c>
      <c r="K909" s="24"/>
      <c r="L909" s="7" t="str">
        <f t="shared" si="44"/>
        <v/>
      </c>
    </row>
    <row r="910" spans="1:12" x14ac:dyDescent="0.25">
      <c r="A910" s="23"/>
      <c r="B910" s="24"/>
      <c r="C910" s="24"/>
      <c r="D910" s="24"/>
      <c r="E910" s="24"/>
      <c r="F910" s="24"/>
      <c r="G910" s="25"/>
      <c r="H910" s="16" t="str">
        <f>IF(C910="","",IFERROR(INDEX(Settings!$L$4:$L$56,MATCH(C910,Settings!$K$4:$K$56,0)),"Unknown"))</f>
        <v/>
      </c>
      <c r="I910" s="8" t="str">
        <f t="shared" si="42"/>
        <v/>
      </c>
      <c r="J910" s="8" t="str">
        <f t="shared" si="43"/>
        <v/>
      </c>
      <c r="K910" s="24"/>
      <c r="L910" s="7" t="str">
        <f t="shared" si="44"/>
        <v/>
      </c>
    </row>
    <row r="911" spans="1:12" x14ac:dyDescent="0.25">
      <c r="A911" s="23"/>
      <c r="B911" s="24"/>
      <c r="C911" s="24"/>
      <c r="D911" s="24"/>
      <c r="E911" s="24"/>
      <c r="F911" s="24"/>
      <c r="G911" s="25"/>
      <c r="H911" s="16" t="str">
        <f>IF(C911="","",IFERROR(INDEX(Settings!$L$4:$L$56,MATCH(C911,Settings!$K$4:$K$56,0)),"Unknown"))</f>
        <v/>
      </c>
      <c r="I911" s="8" t="str">
        <f t="shared" si="42"/>
        <v/>
      </c>
      <c r="J911" s="8" t="str">
        <f t="shared" si="43"/>
        <v/>
      </c>
      <c r="K911" s="24"/>
      <c r="L911" s="7" t="str">
        <f t="shared" si="44"/>
        <v/>
      </c>
    </row>
    <row r="912" spans="1:12" x14ac:dyDescent="0.25">
      <c r="A912" s="23"/>
      <c r="B912" s="24"/>
      <c r="C912" s="24"/>
      <c r="D912" s="24"/>
      <c r="E912" s="24"/>
      <c r="F912" s="24"/>
      <c r="G912" s="25"/>
      <c r="H912" s="16" t="str">
        <f>IF(C912="","",IFERROR(INDEX(Settings!$L$4:$L$56,MATCH(C912,Settings!$K$4:$K$56,0)),"Unknown"))</f>
        <v/>
      </c>
      <c r="I912" s="8" t="str">
        <f t="shared" si="42"/>
        <v/>
      </c>
      <c r="J912" s="8" t="str">
        <f t="shared" si="43"/>
        <v/>
      </c>
      <c r="K912" s="24"/>
      <c r="L912" s="7" t="str">
        <f t="shared" si="44"/>
        <v/>
      </c>
    </row>
    <row r="913" spans="1:12" x14ac:dyDescent="0.25">
      <c r="A913" s="23"/>
      <c r="B913" s="24"/>
      <c r="C913" s="24"/>
      <c r="D913" s="24"/>
      <c r="E913" s="24"/>
      <c r="F913" s="24"/>
      <c r="G913" s="25"/>
      <c r="H913" s="16" t="str">
        <f>IF(C913="","",IFERROR(INDEX(Settings!$L$4:$L$56,MATCH(C913,Settings!$K$4:$K$56,0)),"Unknown"))</f>
        <v/>
      </c>
      <c r="I913" s="8" t="str">
        <f t="shared" si="42"/>
        <v/>
      </c>
      <c r="J913" s="8" t="str">
        <f t="shared" si="43"/>
        <v/>
      </c>
      <c r="K913" s="24"/>
      <c r="L913" s="7" t="str">
        <f t="shared" si="44"/>
        <v/>
      </c>
    </row>
    <row r="914" spans="1:12" x14ac:dyDescent="0.25">
      <c r="A914" s="23"/>
      <c r="B914" s="24"/>
      <c r="C914" s="24"/>
      <c r="D914" s="24"/>
      <c r="E914" s="24"/>
      <c r="F914" s="24"/>
      <c r="G914" s="25"/>
      <c r="H914" s="16" t="str">
        <f>IF(C914="","",IFERROR(INDEX(Settings!$L$4:$L$56,MATCH(C914,Settings!$K$4:$K$56,0)),"Unknown"))</f>
        <v/>
      </c>
      <c r="I914" s="8" t="str">
        <f t="shared" si="42"/>
        <v/>
      </c>
      <c r="J914" s="8" t="str">
        <f t="shared" si="43"/>
        <v/>
      </c>
      <c r="K914" s="24"/>
      <c r="L914" s="7" t="str">
        <f t="shared" si="44"/>
        <v/>
      </c>
    </row>
    <row r="915" spans="1:12" x14ac:dyDescent="0.25">
      <c r="A915" s="23"/>
      <c r="B915" s="24"/>
      <c r="C915" s="24"/>
      <c r="D915" s="24"/>
      <c r="E915" s="24"/>
      <c r="F915" s="24"/>
      <c r="G915" s="25"/>
      <c r="H915" s="16" t="str">
        <f>IF(C915="","",IFERROR(INDEX(Settings!$L$4:$L$56,MATCH(C915,Settings!$K$4:$K$56,0)),"Unknown"))</f>
        <v/>
      </c>
      <c r="I915" s="8" t="str">
        <f t="shared" si="42"/>
        <v/>
      </c>
      <c r="J915" s="8" t="str">
        <f t="shared" si="43"/>
        <v/>
      </c>
      <c r="K915" s="24"/>
      <c r="L915" s="7" t="str">
        <f t="shared" si="44"/>
        <v/>
      </c>
    </row>
    <row r="916" spans="1:12" x14ac:dyDescent="0.25">
      <c r="A916" s="23"/>
      <c r="B916" s="24"/>
      <c r="C916" s="24"/>
      <c r="D916" s="24"/>
      <c r="E916" s="24"/>
      <c r="F916" s="24"/>
      <c r="G916" s="25"/>
      <c r="H916" s="16" t="str">
        <f>IF(C916="","",IFERROR(INDEX(Settings!$L$4:$L$56,MATCH(C916,Settings!$K$4:$K$56,0)),"Unknown"))</f>
        <v/>
      </c>
      <c r="I916" s="8" t="str">
        <f t="shared" si="42"/>
        <v/>
      </c>
      <c r="J916" s="8" t="str">
        <f t="shared" si="43"/>
        <v/>
      </c>
      <c r="K916" s="24"/>
      <c r="L916" s="7" t="str">
        <f t="shared" si="44"/>
        <v/>
      </c>
    </row>
    <row r="917" spans="1:12" x14ac:dyDescent="0.25">
      <c r="A917" s="23"/>
      <c r="B917" s="24"/>
      <c r="C917" s="24"/>
      <c r="D917" s="24"/>
      <c r="E917" s="24"/>
      <c r="F917" s="24"/>
      <c r="G917" s="25"/>
      <c r="H917" s="16" t="str">
        <f>IF(C917="","",IFERROR(INDEX(Settings!$L$4:$L$56,MATCH(C917,Settings!$K$4:$K$56,0)),"Unknown"))</f>
        <v/>
      </c>
      <c r="I917" s="8" t="str">
        <f t="shared" si="42"/>
        <v/>
      </c>
      <c r="J917" s="8" t="str">
        <f t="shared" si="43"/>
        <v/>
      </c>
      <c r="K917" s="24"/>
      <c r="L917" s="7" t="str">
        <f t="shared" si="44"/>
        <v/>
      </c>
    </row>
    <row r="918" spans="1:12" x14ac:dyDescent="0.25">
      <c r="A918" s="23"/>
      <c r="B918" s="24"/>
      <c r="C918" s="24"/>
      <c r="D918" s="24"/>
      <c r="E918" s="24"/>
      <c r="F918" s="24"/>
      <c r="G918" s="25"/>
      <c r="H918" s="16" t="str">
        <f>IF(C918="","",IFERROR(INDEX(Settings!$L$4:$L$56,MATCH(C918,Settings!$K$4:$K$56,0)),"Unknown"))</f>
        <v/>
      </c>
      <c r="I918" s="8" t="str">
        <f t="shared" si="42"/>
        <v/>
      </c>
      <c r="J918" s="8" t="str">
        <f t="shared" si="43"/>
        <v/>
      </c>
      <c r="K918" s="24"/>
      <c r="L918" s="7" t="str">
        <f t="shared" si="44"/>
        <v/>
      </c>
    </row>
    <row r="919" spans="1:12" x14ac:dyDescent="0.25">
      <c r="A919" s="23"/>
      <c r="B919" s="24"/>
      <c r="C919" s="24"/>
      <c r="D919" s="24"/>
      <c r="E919" s="24"/>
      <c r="F919" s="24"/>
      <c r="G919" s="25"/>
      <c r="H919" s="16" t="str">
        <f>IF(C919="","",IFERROR(INDEX(Settings!$L$4:$L$56,MATCH(C919,Settings!$K$4:$K$56,0)),"Unknown"))</f>
        <v/>
      </c>
      <c r="I919" s="8" t="str">
        <f t="shared" si="42"/>
        <v/>
      </c>
      <c r="J919" s="8" t="str">
        <f t="shared" si="43"/>
        <v/>
      </c>
      <c r="K919" s="24"/>
      <c r="L919" s="7" t="str">
        <f t="shared" si="44"/>
        <v/>
      </c>
    </row>
    <row r="920" spans="1:12" x14ac:dyDescent="0.25">
      <c r="A920" s="23"/>
      <c r="B920" s="24"/>
      <c r="C920" s="24"/>
      <c r="D920" s="24"/>
      <c r="E920" s="24"/>
      <c r="F920" s="24"/>
      <c r="G920" s="25"/>
      <c r="H920" s="16" t="str">
        <f>IF(C920="","",IFERROR(INDEX(Settings!$L$4:$L$56,MATCH(C920,Settings!$K$4:$K$56,0)),"Unknown"))</f>
        <v/>
      </c>
      <c r="I920" s="8" t="str">
        <f t="shared" si="42"/>
        <v/>
      </c>
      <c r="J920" s="8" t="str">
        <f t="shared" si="43"/>
        <v/>
      </c>
      <c r="K920" s="24"/>
      <c r="L920" s="7" t="str">
        <f t="shared" si="44"/>
        <v/>
      </c>
    </row>
    <row r="921" spans="1:12" x14ac:dyDescent="0.25">
      <c r="A921" s="23"/>
      <c r="B921" s="24"/>
      <c r="C921" s="24"/>
      <c r="D921" s="24"/>
      <c r="E921" s="24"/>
      <c r="F921" s="24"/>
      <c r="G921" s="25"/>
      <c r="H921" s="16" t="str">
        <f>IF(C921="","",IFERROR(INDEX(Settings!$L$4:$L$56,MATCH(C921,Settings!$K$4:$K$56,0)),"Unknown"))</f>
        <v/>
      </c>
      <c r="I921" s="8" t="str">
        <f t="shared" si="42"/>
        <v/>
      </c>
      <c r="J921" s="8" t="str">
        <f t="shared" si="43"/>
        <v/>
      </c>
      <c r="K921" s="24"/>
      <c r="L921" s="7" t="str">
        <f t="shared" si="44"/>
        <v/>
      </c>
    </row>
    <row r="922" spans="1:12" x14ac:dyDescent="0.25">
      <c r="A922" s="23"/>
      <c r="B922" s="24"/>
      <c r="C922" s="24"/>
      <c r="D922" s="24"/>
      <c r="E922" s="24"/>
      <c r="F922" s="24"/>
      <c r="G922" s="25"/>
      <c r="H922" s="16" t="str">
        <f>IF(C922="","",IFERROR(INDEX(Settings!$L$4:$L$56,MATCH(C922,Settings!$K$4:$K$56,0)),"Unknown"))</f>
        <v/>
      </c>
      <c r="I922" s="8" t="str">
        <f t="shared" si="42"/>
        <v/>
      </c>
      <c r="J922" s="8" t="str">
        <f t="shared" si="43"/>
        <v/>
      </c>
      <c r="K922" s="24"/>
      <c r="L922" s="7" t="str">
        <f t="shared" si="44"/>
        <v/>
      </c>
    </row>
    <row r="923" spans="1:12" x14ac:dyDescent="0.25">
      <c r="A923" s="23"/>
      <c r="B923" s="24"/>
      <c r="C923" s="24"/>
      <c r="D923" s="24"/>
      <c r="E923" s="24"/>
      <c r="F923" s="24"/>
      <c r="G923" s="25"/>
      <c r="H923" s="16" t="str">
        <f>IF(C923="","",IFERROR(INDEX(Settings!$L$4:$L$56,MATCH(C923,Settings!$K$4:$K$56,0)),"Unknown"))</f>
        <v/>
      </c>
      <c r="I923" s="8" t="str">
        <f t="shared" si="42"/>
        <v/>
      </c>
      <c r="J923" s="8" t="str">
        <f t="shared" si="43"/>
        <v/>
      </c>
      <c r="K923" s="24"/>
      <c r="L923" s="7" t="str">
        <f t="shared" si="44"/>
        <v/>
      </c>
    </row>
    <row r="924" spans="1:12" x14ac:dyDescent="0.25">
      <c r="A924" s="23"/>
      <c r="B924" s="24"/>
      <c r="C924" s="24"/>
      <c r="D924" s="24"/>
      <c r="E924" s="24"/>
      <c r="F924" s="24"/>
      <c r="G924" s="25"/>
      <c r="H924" s="16" t="str">
        <f>IF(C924="","",IFERROR(INDEX(Settings!$L$4:$L$56,MATCH(C924,Settings!$K$4:$K$56,0)),"Unknown"))</f>
        <v/>
      </c>
      <c r="I924" s="8" t="str">
        <f t="shared" si="42"/>
        <v/>
      </c>
      <c r="J924" s="8" t="str">
        <f t="shared" si="43"/>
        <v/>
      </c>
      <c r="K924" s="24"/>
      <c r="L924" s="7" t="str">
        <f t="shared" si="44"/>
        <v/>
      </c>
    </row>
    <row r="925" spans="1:12" x14ac:dyDescent="0.25">
      <c r="A925" s="23"/>
      <c r="B925" s="24"/>
      <c r="C925" s="24"/>
      <c r="D925" s="24"/>
      <c r="E925" s="24"/>
      <c r="F925" s="24"/>
      <c r="G925" s="25"/>
      <c r="H925" s="16" t="str">
        <f>IF(C925="","",IFERROR(INDEX(Settings!$L$4:$L$56,MATCH(C925,Settings!$K$4:$K$56,0)),"Unknown"))</f>
        <v/>
      </c>
      <c r="I925" s="8" t="str">
        <f t="shared" si="42"/>
        <v/>
      </c>
      <c r="J925" s="8" t="str">
        <f t="shared" si="43"/>
        <v/>
      </c>
      <c r="K925" s="24"/>
      <c r="L925" s="7" t="str">
        <f t="shared" si="44"/>
        <v/>
      </c>
    </row>
    <row r="926" spans="1:12" x14ac:dyDescent="0.25">
      <c r="A926" s="23"/>
      <c r="B926" s="24"/>
      <c r="C926" s="24"/>
      <c r="D926" s="24"/>
      <c r="E926" s="24"/>
      <c r="F926" s="24"/>
      <c r="G926" s="25"/>
      <c r="H926" s="16" t="str">
        <f>IF(C926="","",IFERROR(INDEX(Settings!$L$4:$L$56,MATCH(C926,Settings!$K$4:$K$56,0)),"Unknown"))</f>
        <v/>
      </c>
      <c r="I926" s="8" t="str">
        <f t="shared" si="42"/>
        <v/>
      </c>
      <c r="J926" s="8" t="str">
        <f t="shared" si="43"/>
        <v/>
      </c>
      <c r="K926" s="24"/>
      <c r="L926" s="7" t="str">
        <f t="shared" si="44"/>
        <v/>
      </c>
    </row>
    <row r="927" spans="1:12" x14ac:dyDescent="0.25">
      <c r="A927" s="23"/>
      <c r="B927" s="24"/>
      <c r="C927" s="24"/>
      <c r="D927" s="24"/>
      <c r="E927" s="24"/>
      <c r="F927" s="24"/>
      <c r="G927" s="25"/>
      <c r="H927" s="16" t="str">
        <f>IF(C927="","",IFERROR(INDEX(Settings!$L$4:$L$56,MATCH(C927,Settings!$K$4:$K$56,0)),"Unknown"))</f>
        <v/>
      </c>
      <c r="I927" s="8" t="str">
        <f t="shared" si="42"/>
        <v/>
      </c>
      <c r="J927" s="8" t="str">
        <f t="shared" si="43"/>
        <v/>
      </c>
      <c r="K927" s="24"/>
      <c r="L927" s="7" t="str">
        <f t="shared" si="44"/>
        <v/>
      </c>
    </row>
    <row r="928" spans="1:12" x14ac:dyDescent="0.25">
      <c r="A928" s="23"/>
      <c r="B928" s="24"/>
      <c r="C928" s="24"/>
      <c r="D928" s="24"/>
      <c r="E928" s="24"/>
      <c r="F928" s="24"/>
      <c r="G928" s="25"/>
      <c r="H928" s="16" t="str">
        <f>IF(C928="","",IFERROR(INDEX(Settings!$L$4:$L$56,MATCH(C928,Settings!$K$4:$K$56,0)),"Unknown"))</f>
        <v/>
      </c>
      <c r="I928" s="8" t="str">
        <f t="shared" si="42"/>
        <v/>
      </c>
      <c r="J928" s="8" t="str">
        <f t="shared" si="43"/>
        <v/>
      </c>
      <c r="K928" s="24"/>
      <c r="L928" s="7" t="str">
        <f t="shared" si="44"/>
        <v/>
      </c>
    </row>
    <row r="929" spans="1:12" x14ac:dyDescent="0.25">
      <c r="A929" s="23"/>
      <c r="B929" s="24"/>
      <c r="C929" s="24"/>
      <c r="D929" s="24"/>
      <c r="E929" s="24"/>
      <c r="F929" s="24"/>
      <c r="G929" s="25"/>
      <c r="H929" s="16" t="str">
        <f>IF(C929="","",IFERROR(INDEX(Settings!$L$4:$L$56,MATCH(C929,Settings!$K$4:$K$56,0)),"Unknown"))</f>
        <v/>
      </c>
      <c r="I929" s="8" t="str">
        <f t="shared" si="42"/>
        <v/>
      </c>
      <c r="J929" s="8" t="str">
        <f t="shared" si="43"/>
        <v/>
      </c>
      <c r="K929" s="24"/>
      <c r="L929" s="7" t="str">
        <f t="shared" si="44"/>
        <v/>
      </c>
    </row>
    <row r="930" spans="1:12" x14ac:dyDescent="0.25">
      <c r="A930" s="23"/>
      <c r="B930" s="24"/>
      <c r="C930" s="24"/>
      <c r="D930" s="24"/>
      <c r="E930" s="24"/>
      <c r="F930" s="24"/>
      <c r="G930" s="25"/>
      <c r="H930" s="16" t="str">
        <f>IF(C930="","",IFERROR(INDEX(Settings!$L$4:$L$56,MATCH(C930,Settings!$K$4:$K$56,0)),"Unknown"))</f>
        <v/>
      </c>
      <c r="I930" s="8" t="str">
        <f t="shared" si="42"/>
        <v/>
      </c>
      <c r="J930" s="8" t="str">
        <f t="shared" si="43"/>
        <v/>
      </c>
      <c r="K930" s="24"/>
      <c r="L930" s="7" t="str">
        <f t="shared" si="44"/>
        <v/>
      </c>
    </row>
    <row r="931" spans="1:12" x14ac:dyDescent="0.25">
      <c r="A931" s="23"/>
      <c r="B931" s="24"/>
      <c r="C931" s="24"/>
      <c r="D931" s="24"/>
      <c r="E931" s="24"/>
      <c r="F931" s="24"/>
      <c r="G931" s="25"/>
      <c r="H931" s="16" t="str">
        <f>IF(C931="","",IFERROR(INDEX(Settings!$L$4:$L$56,MATCH(C931,Settings!$K$4:$K$56,0)),"Unknown"))</f>
        <v/>
      </c>
      <c r="I931" s="8" t="str">
        <f t="shared" si="42"/>
        <v/>
      </c>
      <c r="J931" s="8" t="str">
        <f t="shared" si="43"/>
        <v/>
      </c>
      <c r="K931" s="24"/>
      <c r="L931" s="7" t="str">
        <f t="shared" si="44"/>
        <v/>
      </c>
    </row>
    <row r="932" spans="1:12" x14ac:dyDescent="0.25">
      <c r="A932" s="23"/>
      <c r="B932" s="24"/>
      <c r="C932" s="24"/>
      <c r="D932" s="24"/>
      <c r="E932" s="24"/>
      <c r="F932" s="24"/>
      <c r="G932" s="25"/>
      <c r="H932" s="16" t="str">
        <f>IF(C932="","",IFERROR(INDEX(Settings!$L$4:$L$56,MATCH(C932,Settings!$K$4:$K$56,0)),"Unknown"))</f>
        <v/>
      </c>
      <c r="I932" s="8" t="str">
        <f t="shared" si="42"/>
        <v/>
      </c>
      <c r="J932" s="8" t="str">
        <f t="shared" si="43"/>
        <v/>
      </c>
      <c r="K932" s="24"/>
      <c r="L932" s="7" t="str">
        <f t="shared" si="44"/>
        <v/>
      </c>
    </row>
    <row r="933" spans="1:12" x14ac:dyDescent="0.25">
      <c r="A933" s="23"/>
      <c r="B933" s="24"/>
      <c r="C933" s="24"/>
      <c r="D933" s="24"/>
      <c r="E933" s="24"/>
      <c r="F933" s="24"/>
      <c r="G933" s="25"/>
      <c r="H933" s="16" t="str">
        <f>IF(C933="","",IFERROR(INDEX(Settings!$L$4:$L$56,MATCH(C933,Settings!$K$4:$K$56,0)),"Unknown"))</f>
        <v/>
      </c>
      <c r="I933" s="8" t="str">
        <f t="shared" si="42"/>
        <v/>
      </c>
      <c r="J933" s="8" t="str">
        <f t="shared" si="43"/>
        <v/>
      </c>
      <c r="K933" s="24"/>
      <c r="L933" s="7" t="str">
        <f t="shared" si="44"/>
        <v/>
      </c>
    </row>
    <row r="934" spans="1:12" x14ac:dyDescent="0.25">
      <c r="A934" s="23"/>
      <c r="B934" s="24"/>
      <c r="C934" s="24"/>
      <c r="D934" s="24"/>
      <c r="E934" s="24"/>
      <c r="F934" s="24"/>
      <c r="G934" s="25"/>
      <c r="H934" s="16" t="str">
        <f>IF(C934="","",IFERROR(INDEX(Settings!$L$4:$L$56,MATCH(C934,Settings!$K$4:$K$56,0)),"Unknown"))</f>
        <v/>
      </c>
      <c r="I934" s="8" t="str">
        <f t="shared" si="42"/>
        <v/>
      </c>
      <c r="J934" s="8" t="str">
        <f t="shared" si="43"/>
        <v/>
      </c>
      <c r="K934" s="24"/>
      <c r="L934" s="7" t="str">
        <f t="shared" si="44"/>
        <v/>
      </c>
    </row>
    <row r="935" spans="1:12" x14ac:dyDescent="0.25">
      <c r="A935" s="23"/>
      <c r="B935" s="24"/>
      <c r="C935" s="24"/>
      <c r="D935" s="24"/>
      <c r="E935" s="24"/>
      <c r="F935" s="24"/>
      <c r="G935" s="25"/>
      <c r="H935" s="16" t="str">
        <f>IF(C935="","",IFERROR(INDEX(Settings!$L$4:$L$56,MATCH(C935,Settings!$K$4:$K$56,0)),"Unknown"))</f>
        <v/>
      </c>
      <c r="I935" s="8" t="str">
        <f t="shared" si="42"/>
        <v/>
      </c>
      <c r="J935" s="8" t="str">
        <f t="shared" si="43"/>
        <v/>
      </c>
      <c r="K935" s="24"/>
      <c r="L935" s="7" t="str">
        <f t="shared" si="44"/>
        <v/>
      </c>
    </row>
    <row r="936" spans="1:12" x14ac:dyDescent="0.25">
      <c r="A936" s="23"/>
      <c r="B936" s="24"/>
      <c r="C936" s="24"/>
      <c r="D936" s="24"/>
      <c r="E936" s="24"/>
      <c r="F936" s="24"/>
      <c r="G936" s="25"/>
      <c r="H936" s="16" t="str">
        <f>IF(C936="","",IFERROR(INDEX(Settings!$L$4:$L$56,MATCH(C936,Settings!$K$4:$K$56,0)),"Unknown"))</f>
        <v/>
      </c>
      <c r="I936" s="8" t="str">
        <f t="shared" si="42"/>
        <v/>
      </c>
      <c r="J936" s="8" t="str">
        <f t="shared" si="43"/>
        <v/>
      </c>
      <c r="K936" s="24"/>
      <c r="L936" s="7" t="str">
        <f t="shared" si="44"/>
        <v/>
      </c>
    </row>
    <row r="937" spans="1:12" x14ac:dyDescent="0.25">
      <c r="A937" s="23"/>
      <c r="B937" s="24"/>
      <c r="C937" s="24"/>
      <c r="D937" s="24"/>
      <c r="E937" s="24"/>
      <c r="F937" s="24"/>
      <c r="G937" s="25"/>
      <c r="H937" s="16" t="str">
        <f>IF(C937="","",IFERROR(INDEX(Settings!$L$4:$L$56,MATCH(C937,Settings!$K$4:$K$56,0)),"Unknown"))</f>
        <v/>
      </c>
      <c r="I937" s="8" t="str">
        <f t="shared" si="42"/>
        <v/>
      </c>
      <c r="J937" s="8" t="str">
        <f t="shared" si="43"/>
        <v/>
      </c>
      <c r="K937" s="24"/>
      <c r="L937" s="7" t="str">
        <f t="shared" si="44"/>
        <v/>
      </c>
    </row>
    <row r="938" spans="1:12" x14ac:dyDescent="0.25">
      <c r="A938" s="23"/>
      <c r="B938" s="24"/>
      <c r="C938" s="24"/>
      <c r="D938" s="24"/>
      <c r="E938" s="24"/>
      <c r="F938" s="24"/>
      <c r="G938" s="25"/>
      <c r="H938" s="16" t="str">
        <f>IF(C938="","",IFERROR(INDEX(Settings!$L$4:$L$56,MATCH(C938,Settings!$K$4:$K$56,0)),"Unknown"))</f>
        <v/>
      </c>
      <c r="I938" s="8" t="str">
        <f t="shared" si="42"/>
        <v/>
      </c>
      <c r="J938" s="8" t="str">
        <f t="shared" si="43"/>
        <v/>
      </c>
      <c r="K938" s="24"/>
      <c r="L938" s="7" t="str">
        <f t="shared" si="44"/>
        <v/>
      </c>
    </row>
    <row r="939" spans="1:12" x14ac:dyDescent="0.25">
      <c r="A939" s="23"/>
      <c r="B939" s="24"/>
      <c r="C939" s="24"/>
      <c r="D939" s="24"/>
      <c r="E939" s="24"/>
      <c r="F939" s="24"/>
      <c r="G939" s="25"/>
      <c r="H939" s="16" t="str">
        <f>IF(C939="","",IFERROR(INDEX(Settings!$L$4:$L$56,MATCH(C939,Settings!$K$4:$K$56,0)),"Unknown"))</f>
        <v/>
      </c>
      <c r="I939" s="8" t="str">
        <f t="shared" si="42"/>
        <v/>
      </c>
      <c r="J939" s="8" t="str">
        <f t="shared" si="43"/>
        <v/>
      </c>
      <c r="K939" s="24"/>
      <c r="L939" s="7" t="str">
        <f t="shared" si="44"/>
        <v/>
      </c>
    </row>
    <row r="940" spans="1:12" x14ac:dyDescent="0.25">
      <c r="A940" s="23"/>
      <c r="B940" s="24"/>
      <c r="C940" s="24"/>
      <c r="D940" s="24"/>
      <c r="E940" s="24"/>
      <c r="F940" s="24"/>
      <c r="G940" s="25"/>
      <c r="H940" s="16" t="str">
        <f>IF(C940="","",IFERROR(INDEX(Settings!$L$4:$L$56,MATCH(C940,Settings!$K$4:$K$56,0)),"Unknown"))</f>
        <v/>
      </c>
      <c r="I940" s="8" t="str">
        <f t="shared" si="42"/>
        <v/>
      </c>
      <c r="J940" s="8" t="str">
        <f t="shared" si="43"/>
        <v/>
      </c>
      <c r="K940" s="24"/>
      <c r="L940" s="7" t="str">
        <f t="shared" si="44"/>
        <v/>
      </c>
    </row>
    <row r="941" spans="1:12" x14ac:dyDescent="0.25">
      <c r="A941" s="23"/>
      <c r="B941" s="24"/>
      <c r="C941" s="24"/>
      <c r="D941" s="24"/>
      <c r="E941" s="24"/>
      <c r="F941" s="24"/>
      <c r="G941" s="25"/>
      <c r="H941" s="16" t="str">
        <f>IF(C941="","",IFERROR(INDEX(Settings!$L$4:$L$56,MATCH(C941,Settings!$K$4:$K$56,0)),"Unknown"))</f>
        <v/>
      </c>
      <c r="I941" s="8" t="str">
        <f t="shared" si="42"/>
        <v/>
      </c>
      <c r="J941" s="8" t="str">
        <f t="shared" si="43"/>
        <v/>
      </c>
      <c r="K941" s="24"/>
      <c r="L941" s="7" t="str">
        <f t="shared" si="44"/>
        <v/>
      </c>
    </row>
    <row r="942" spans="1:12" x14ac:dyDescent="0.25">
      <c r="A942" s="23"/>
      <c r="B942" s="24"/>
      <c r="C942" s="24"/>
      <c r="D942" s="24"/>
      <c r="E942" s="24"/>
      <c r="F942" s="24"/>
      <c r="G942" s="25"/>
      <c r="H942" s="16" t="str">
        <f>IF(C942="","",IFERROR(INDEX(Settings!$L$4:$L$56,MATCH(C942,Settings!$K$4:$K$56,0)),"Unknown"))</f>
        <v/>
      </c>
      <c r="I942" s="8" t="str">
        <f t="shared" si="42"/>
        <v/>
      </c>
      <c r="J942" s="8" t="str">
        <f t="shared" si="43"/>
        <v/>
      </c>
      <c r="K942" s="24"/>
      <c r="L942" s="7" t="str">
        <f t="shared" si="44"/>
        <v/>
      </c>
    </row>
    <row r="943" spans="1:12" x14ac:dyDescent="0.25">
      <c r="A943" s="23"/>
      <c r="B943" s="24"/>
      <c r="C943" s="24"/>
      <c r="D943" s="24"/>
      <c r="E943" s="24"/>
      <c r="F943" s="24"/>
      <c r="G943" s="25"/>
      <c r="H943" s="16" t="str">
        <f>IF(C943="","",IFERROR(INDEX(Settings!$L$4:$L$56,MATCH(C943,Settings!$K$4:$K$56,0)),"Unknown"))</f>
        <v/>
      </c>
      <c r="I943" s="8" t="str">
        <f t="shared" si="42"/>
        <v/>
      </c>
      <c r="J943" s="8" t="str">
        <f t="shared" si="43"/>
        <v/>
      </c>
      <c r="K943" s="24"/>
      <c r="L943" s="7" t="str">
        <f t="shared" si="44"/>
        <v/>
      </c>
    </row>
    <row r="944" spans="1:12" x14ac:dyDescent="0.25">
      <c r="A944" s="23"/>
      <c r="B944" s="24"/>
      <c r="C944" s="24"/>
      <c r="D944" s="24"/>
      <c r="E944" s="24"/>
      <c r="F944" s="24"/>
      <c r="G944" s="25"/>
      <c r="H944" s="16" t="str">
        <f>IF(C944="","",IFERROR(INDEX(Settings!$L$4:$L$56,MATCH(C944,Settings!$K$4:$K$56,0)),"Unknown"))</f>
        <v/>
      </c>
      <c r="I944" s="8" t="str">
        <f t="shared" si="42"/>
        <v/>
      </c>
      <c r="J944" s="8" t="str">
        <f t="shared" si="43"/>
        <v/>
      </c>
      <c r="K944" s="24"/>
      <c r="L944" s="7" t="str">
        <f t="shared" si="44"/>
        <v/>
      </c>
    </row>
    <row r="945" spans="1:12" x14ac:dyDescent="0.25">
      <c r="A945" s="23"/>
      <c r="B945" s="24"/>
      <c r="C945" s="24"/>
      <c r="D945" s="24"/>
      <c r="E945" s="24"/>
      <c r="F945" s="24"/>
      <c r="G945" s="25"/>
      <c r="H945" s="16" t="str">
        <f>IF(C945="","",IFERROR(INDEX(Settings!$L$4:$L$56,MATCH(C945,Settings!$K$4:$K$56,0)),"Unknown"))</f>
        <v/>
      </c>
      <c r="I945" s="8" t="str">
        <f t="shared" si="42"/>
        <v/>
      </c>
      <c r="J945" s="8" t="str">
        <f t="shared" si="43"/>
        <v/>
      </c>
      <c r="K945" s="24"/>
      <c r="L945" s="7" t="str">
        <f t="shared" si="44"/>
        <v/>
      </c>
    </row>
    <row r="946" spans="1:12" x14ac:dyDescent="0.25">
      <c r="A946" s="23"/>
      <c r="B946" s="24"/>
      <c r="C946" s="24"/>
      <c r="D946" s="24"/>
      <c r="E946" s="24"/>
      <c r="F946" s="24"/>
      <c r="G946" s="25"/>
      <c r="H946" s="16" t="str">
        <f>IF(C946="","",IFERROR(INDEX(Settings!$L$4:$L$56,MATCH(C946,Settings!$K$4:$K$56,0)),"Unknown"))</f>
        <v/>
      </c>
      <c r="I946" s="8" t="str">
        <f t="shared" si="42"/>
        <v/>
      </c>
      <c r="J946" s="8" t="str">
        <f t="shared" si="43"/>
        <v/>
      </c>
      <c r="K946" s="24"/>
      <c r="L946" s="7" t="str">
        <f t="shared" si="44"/>
        <v/>
      </c>
    </row>
    <row r="947" spans="1:12" x14ac:dyDescent="0.25">
      <c r="A947" s="23"/>
      <c r="B947" s="24"/>
      <c r="C947" s="24"/>
      <c r="D947" s="24"/>
      <c r="E947" s="24"/>
      <c r="F947" s="24"/>
      <c r="G947" s="25"/>
      <c r="H947" s="16" t="str">
        <f>IF(C947="","",IFERROR(INDEX(Settings!$L$4:$L$56,MATCH(C947,Settings!$K$4:$K$56,0)),"Unknown"))</f>
        <v/>
      </c>
      <c r="I947" s="8" t="str">
        <f t="shared" si="42"/>
        <v/>
      </c>
      <c r="J947" s="8" t="str">
        <f t="shared" si="43"/>
        <v/>
      </c>
      <c r="K947" s="24"/>
      <c r="L947" s="7" t="str">
        <f t="shared" si="44"/>
        <v/>
      </c>
    </row>
    <row r="948" spans="1:12" x14ac:dyDescent="0.25">
      <c r="A948" s="23"/>
      <c r="B948" s="24"/>
      <c r="C948" s="24"/>
      <c r="D948" s="24"/>
      <c r="E948" s="24"/>
      <c r="F948" s="24"/>
      <c r="G948" s="25"/>
      <c r="H948" s="16" t="str">
        <f>IF(C948="","",IFERROR(INDEX(Settings!$L$4:$L$56,MATCH(C948,Settings!$K$4:$K$56,0)),"Unknown"))</f>
        <v/>
      </c>
      <c r="I948" s="8" t="str">
        <f t="shared" si="42"/>
        <v/>
      </c>
      <c r="J948" s="8" t="str">
        <f t="shared" si="43"/>
        <v/>
      </c>
      <c r="K948" s="24"/>
      <c r="L948" s="7" t="str">
        <f t="shared" si="44"/>
        <v/>
      </c>
    </row>
    <row r="949" spans="1:12" x14ac:dyDescent="0.25">
      <c r="A949" s="23"/>
      <c r="B949" s="24"/>
      <c r="C949" s="24"/>
      <c r="D949" s="24"/>
      <c r="E949" s="24"/>
      <c r="F949" s="24"/>
      <c r="G949" s="25"/>
      <c r="H949" s="16" t="str">
        <f>IF(C949="","",IFERROR(INDEX(Settings!$L$4:$L$56,MATCH(C949,Settings!$K$4:$K$56,0)),"Unknown"))</f>
        <v/>
      </c>
      <c r="I949" s="8" t="str">
        <f t="shared" si="42"/>
        <v/>
      </c>
      <c r="J949" s="8" t="str">
        <f t="shared" si="43"/>
        <v/>
      </c>
      <c r="K949" s="24"/>
      <c r="L949" s="7" t="str">
        <f t="shared" si="44"/>
        <v/>
      </c>
    </row>
    <row r="950" spans="1:12" x14ac:dyDescent="0.25">
      <c r="A950" s="23"/>
      <c r="B950" s="24"/>
      <c r="C950" s="24"/>
      <c r="D950" s="24"/>
      <c r="E950" s="24"/>
      <c r="F950" s="24"/>
      <c r="G950" s="25"/>
      <c r="H950" s="16" t="str">
        <f>IF(C950="","",IFERROR(INDEX(Settings!$L$4:$L$56,MATCH(C950,Settings!$K$4:$K$56,0)),"Unknown"))</f>
        <v/>
      </c>
      <c r="I950" s="8" t="str">
        <f t="shared" si="42"/>
        <v/>
      </c>
      <c r="J950" s="8" t="str">
        <f t="shared" si="43"/>
        <v/>
      </c>
      <c r="K950" s="24"/>
      <c r="L950" s="7" t="str">
        <f t="shared" si="44"/>
        <v/>
      </c>
    </row>
    <row r="951" spans="1:12" x14ac:dyDescent="0.25">
      <c r="A951" s="23"/>
      <c r="B951" s="24"/>
      <c r="C951" s="24"/>
      <c r="D951" s="24"/>
      <c r="E951" s="24"/>
      <c r="F951" s="24"/>
      <c r="G951" s="25"/>
      <c r="H951" s="16" t="str">
        <f>IF(C951="","",IFERROR(INDEX(Settings!$L$4:$L$56,MATCH(C951,Settings!$K$4:$K$56,0)),"Unknown"))</f>
        <v/>
      </c>
      <c r="I951" s="8" t="str">
        <f t="shared" si="42"/>
        <v/>
      </c>
      <c r="J951" s="8" t="str">
        <f t="shared" si="43"/>
        <v/>
      </c>
      <c r="K951" s="24"/>
      <c r="L951" s="7" t="str">
        <f t="shared" si="44"/>
        <v/>
      </c>
    </row>
    <row r="952" spans="1:12" x14ac:dyDescent="0.25">
      <c r="A952" s="23"/>
      <c r="B952" s="24"/>
      <c r="C952" s="24"/>
      <c r="D952" s="24"/>
      <c r="E952" s="24"/>
      <c r="F952" s="24"/>
      <c r="G952" s="25"/>
      <c r="H952" s="16" t="str">
        <f>IF(C952="","",IFERROR(INDEX(Settings!$L$4:$L$56,MATCH(C952,Settings!$K$4:$K$56,0)),"Unknown"))</f>
        <v/>
      </c>
      <c r="I952" s="8" t="str">
        <f t="shared" si="42"/>
        <v/>
      </c>
      <c r="J952" s="8" t="str">
        <f t="shared" si="43"/>
        <v/>
      </c>
      <c r="K952" s="24"/>
      <c r="L952" s="7" t="str">
        <f t="shared" si="44"/>
        <v/>
      </c>
    </row>
    <row r="953" spans="1:12" x14ac:dyDescent="0.25">
      <c r="A953" s="23"/>
      <c r="B953" s="24"/>
      <c r="C953" s="24"/>
      <c r="D953" s="24"/>
      <c r="E953" s="24"/>
      <c r="F953" s="24"/>
      <c r="G953" s="25"/>
      <c r="H953" s="16" t="str">
        <f>IF(C953="","",IFERROR(INDEX(Settings!$L$4:$L$56,MATCH(C953,Settings!$K$4:$K$56,0)),"Unknown"))</f>
        <v/>
      </c>
      <c r="I953" s="8" t="str">
        <f t="shared" si="42"/>
        <v/>
      </c>
      <c r="J953" s="8" t="str">
        <f t="shared" si="43"/>
        <v/>
      </c>
      <c r="K953" s="24"/>
      <c r="L953" s="7" t="str">
        <f t="shared" si="44"/>
        <v/>
      </c>
    </row>
    <row r="954" spans="1:12" x14ac:dyDescent="0.25">
      <c r="A954" s="23"/>
      <c r="B954" s="24"/>
      <c r="C954" s="24"/>
      <c r="D954" s="24"/>
      <c r="E954" s="24"/>
      <c r="F954" s="24"/>
      <c r="G954" s="25"/>
      <c r="H954" s="16" t="str">
        <f>IF(C954="","",IFERROR(INDEX(Settings!$L$4:$L$56,MATCH(C954,Settings!$K$4:$K$56,0)),"Unknown"))</f>
        <v/>
      </c>
      <c r="I954" s="8" t="str">
        <f t="shared" si="42"/>
        <v/>
      </c>
      <c r="J954" s="8" t="str">
        <f t="shared" si="43"/>
        <v/>
      </c>
      <c r="K954" s="24"/>
      <c r="L954" s="7" t="str">
        <f t="shared" si="44"/>
        <v/>
      </c>
    </row>
    <row r="955" spans="1:12" x14ac:dyDescent="0.25">
      <c r="A955" s="23"/>
      <c r="B955" s="24"/>
      <c r="C955" s="24"/>
      <c r="D955" s="24"/>
      <c r="E955" s="24"/>
      <c r="F955" s="24"/>
      <c r="G955" s="25"/>
      <c r="H955" s="16" t="str">
        <f>IF(C955="","",IFERROR(INDEX(Settings!$L$4:$L$56,MATCH(C955,Settings!$K$4:$K$56,0)),"Unknown"))</f>
        <v/>
      </c>
      <c r="I955" s="8" t="str">
        <f t="shared" si="42"/>
        <v/>
      </c>
      <c r="J955" s="8" t="str">
        <f t="shared" si="43"/>
        <v/>
      </c>
      <c r="K955" s="24"/>
      <c r="L955" s="7" t="str">
        <f t="shared" si="44"/>
        <v/>
      </c>
    </row>
    <row r="956" spans="1:12" x14ac:dyDescent="0.25">
      <c r="A956" s="23"/>
      <c r="B956" s="24"/>
      <c r="C956" s="24"/>
      <c r="D956" s="24"/>
      <c r="E956" s="24"/>
      <c r="F956" s="24"/>
      <c r="G956" s="25"/>
      <c r="H956" s="16" t="str">
        <f>IF(C956="","",IFERROR(INDEX(Settings!$L$4:$L$56,MATCH(C956,Settings!$K$4:$K$56,0)),"Unknown"))</f>
        <v/>
      </c>
      <c r="I956" s="8" t="str">
        <f t="shared" si="42"/>
        <v/>
      </c>
      <c r="J956" s="8" t="str">
        <f t="shared" si="43"/>
        <v/>
      </c>
      <c r="K956" s="24"/>
      <c r="L956" s="7" t="str">
        <f t="shared" si="44"/>
        <v/>
      </c>
    </row>
    <row r="957" spans="1:12" x14ac:dyDescent="0.25">
      <c r="A957" s="23"/>
      <c r="B957" s="24"/>
      <c r="C957" s="24"/>
      <c r="D957" s="24"/>
      <c r="E957" s="24"/>
      <c r="F957" s="24"/>
      <c r="G957" s="25"/>
      <c r="H957" s="16" t="str">
        <f>IF(C957="","",IFERROR(INDEX(Settings!$L$4:$L$56,MATCH(C957,Settings!$K$4:$K$56,0)),"Unknown"))</f>
        <v/>
      </c>
      <c r="I957" s="8" t="str">
        <f t="shared" si="42"/>
        <v/>
      </c>
      <c r="J957" s="8" t="str">
        <f t="shared" si="43"/>
        <v/>
      </c>
      <c r="K957" s="24"/>
      <c r="L957" s="7" t="str">
        <f t="shared" si="44"/>
        <v/>
      </c>
    </row>
    <row r="958" spans="1:12" x14ac:dyDescent="0.25">
      <c r="A958" s="23"/>
      <c r="B958" s="24"/>
      <c r="C958" s="24"/>
      <c r="D958" s="24"/>
      <c r="E958" s="24"/>
      <c r="F958" s="24"/>
      <c r="G958" s="25"/>
      <c r="H958" s="16" t="str">
        <f>IF(C958="","",IFERROR(INDEX(Settings!$L$4:$L$56,MATCH(C958,Settings!$K$4:$K$56,0)),"Unknown"))</f>
        <v/>
      </c>
      <c r="I958" s="8" t="str">
        <f t="shared" si="42"/>
        <v/>
      </c>
      <c r="J958" s="8" t="str">
        <f t="shared" si="43"/>
        <v/>
      </c>
      <c r="K958" s="24"/>
      <c r="L958" s="7" t="str">
        <f t="shared" si="44"/>
        <v/>
      </c>
    </row>
    <row r="959" spans="1:12" x14ac:dyDescent="0.25">
      <c r="A959" s="23"/>
      <c r="B959" s="24"/>
      <c r="C959" s="24"/>
      <c r="D959" s="24"/>
      <c r="E959" s="24"/>
      <c r="F959" s="24"/>
      <c r="G959" s="25"/>
      <c r="H959" s="16" t="str">
        <f>IF(C959="","",IFERROR(INDEX(Settings!$L$4:$L$56,MATCH(C959,Settings!$K$4:$K$56,0)),"Unknown"))</f>
        <v/>
      </c>
      <c r="I959" s="8" t="str">
        <f t="shared" si="42"/>
        <v/>
      </c>
      <c r="J959" s="8" t="str">
        <f t="shared" si="43"/>
        <v/>
      </c>
      <c r="K959" s="24"/>
      <c r="L959" s="7" t="str">
        <f t="shared" si="44"/>
        <v/>
      </c>
    </row>
    <row r="960" spans="1:12" x14ac:dyDescent="0.25">
      <c r="A960" s="23"/>
      <c r="B960" s="24"/>
      <c r="C960" s="24"/>
      <c r="D960" s="24"/>
      <c r="E960" s="24"/>
      <c r="F960" s="24"/>
      <c r="G960" s="25"/>
      <c r="H960" s="16" t="str">
        <f>IF(C960="","",IFERROR(INDEX(Settings!$L$4:$L$56,MATCH(C960,Settings!$K$4:$K$56,0)),"Unknown"))</f>
        <v/>
      </c>
      <c r="I960" s="8" t="str">
        <f t="shared" si="42"/>
        <v/>
      </c>
      <c r="J960" s="8" t="str">
        <f t="shared" si="43"/>
        <v/>
      </c>
      <c r="K960" s="24"/>
      <c r="L960" s="7" t="str">
        <f t="shared" si="44"/>
        <v/>
      </c>
    </row>
    <row r="961" spans="1:12" x14ac:dyDescent="0.25">
      <c r="A961" s="23"/>
      <c r="B961" s="24"/>
      <c r="C961" s="24"/>
      <c r="D961" s="24"/>
      <c r="E961" s="24"/>
      <c r="F961" s="24"/>
      <c r="G961" s="25"/>
      <c r="H961" s="16" t="str">
        <f>IF(C961="","",IFERROR(INDEX(Settings!$L$4:$L$56,MATCH(C961,Settings!$K$4:$K$56,0)),"Unknown"))</f>
        <v/>
      </c>
      <c r="I961" s="8" t="str">
        <f t="shared" si="42"/>
        <v/>
      </c>
      <c r="J961" s="8" t="str">
        <f t="shared" si="43"/>
        <v/>
      </c>
      <c r="K961" s="24"/>
      <c r="L961" s="7" t="str">
        <f t="shared" si="44"/>
        <v/>
      </c>
    </row>
    <row r="962" spans="1:12" x14ac:dyDescent="0.25">
      <c r="A962" s="23"/>
      <c r="B962" s="24"/>
      <c r="C962" s="24"/>
      <c r="D962" s="24"/>
      <c r="E962" s="24"/>
      <c r="F962" s="24"/>
      <c r="G962" s="25"/>
      <c r="H962" s="16" t="str">
        <f>IF(C962="","",IFERROR(INDEX(Settings!$L$4:$L$56,MATCH(C962,Settings!$K$4:$K$56,0)),"Unknown"))</f>
        <v/>
      </c>
      <c r="I962" s="8" t="str">
        <f t="shared" si="42"/>
        <v/>
      </c>
      <c r="J962" s="8" t="str">
        <f t="shared" si="43"/>
        <v/>
      </c>
      <c r="K962" s="24"/>
      <c r="L962" s="7" t="str">
        <f t="shared" si="44"/>
        <v/>
      </c>
    </row>
    <row r="963" spans="1:12" x14ac:dyDescent="0.25">
      <c r="A963" s="23"/>
      <c r="B963" s="24"/>
      <c r="C963" s="24"/>
      <c r="D963" s="24"/>
      <c r="E963" s="24"/>
      <c r="F963" s="24"/>
      <c r="G963" s="25"/>
      <c r="H963" s="16" t="str">
        <f>IF(C963="","",IFERROR(INDEX(Settings!$L$4:$L$56,MATCH(C963,Settings!$K$4:$K$56,0)),"Unknown"))</f>
        <v/>
      </c>
      <c r="I963" s="8" t="str">
        <f t="shared" si="42"/>
        <v/>
      </c>
      <c r="J963" s="8" t="str">
        <f t="shared" si="43"/>
        <v/>
      </c>
      <c r="K963" s="24"/>
      <c r="L963" s="7" t="str">
        <f t="shared" si="44"/>
        <v/>
      </c>
    </row>
    <row r="964" spans="1:12" x14ac:dyDescent="0.25">
      <c r="A964" s="23"/>
      <c r="B964" s="24"/>
      <c r="C964" s="24"/>
      <c r="D964" s="24"/>
      <c r="E964" s="24"/>
      <c r="F964" s="24"/>
      <c r="G964" s="25"/>
      <c r="H964" s="16" t="str">
        <f>IF(C964="","",IFERROR(INDEX(Settings!$L$4:$L$56,MATCH(C964,Settings!$K$4:$K$56,0)),"Unknown"))</f>
        <v/>
      </c>
      <c r="I964" s="8" t="str">
        <f t="shared" si="42"/>
        <v/>
      </c>
      <c r="J964" s="8" t="str">
        <f t="shared" si="43"/>
        <v/>
      </c>
      <c r="K964" s="24"/>
      <c r="L964" s="7" t="str">
        <f t="shared" si="44"/>
        <v/>
      </c>
    </row>
    <row r="965" spans="1:12" x14ac:dyDescent="0.25">
      <c r="A965" s="23"/>
      <c r="B965" s="24"/>
      <c r="C965" s="24"/>
      <c r="D965" s="24"/>
      <c r="E965" s="24"/>
      <c r="F965" s="24"/>
      <c r="G965" s="25"/>
      <c r="H965" s="16" t="str">
        <f>IF(C965="","",IFERROR(INDEX(Settings!$L$4:$L$56,MATCH(C965,Settings!$K$4:$K$56,0)),"Unknown"))</f>
        <v/>
      </c>
      <c r="I965" s="8" t="str">
        <f t="shared" si="42"/>
        <v/>
      </c>
      <c r="J965" s="8" t="str">
        <f t="shared" si="43"/>
        <v/>
      </c>
      <c r="K965" s="24"/>
      <c r="L965" s="7" t="str">
        <f t="shared" si="44"/>
        <v/>
      </c>
    </row>
    <row r="966" spans="1:12" x14ac:dyDescent="0.25">
      <c r="A966" s="23"/>
      <c r="B966" s="24"/>
      <c r="C966" s="24"/>
      <c r="D966" s="24"/>
      <c r="E966" s="24"/>
      <c r="F966" s="24"/>
      <c r="G966" s="25"/>
      <c r="H966" s="16" t="str">
        <f>IF(C966="","",IFERROR(INDEX(Settings!$L$4:$L$56,MATCH(C966,Settings!$K$4:$K$56,0)),"Unknown"))</f>
        <v/>
      </c>
      <c r="I966" s="8" t="str">
        <f t="shared" ref="I966:I1029" si="45">IF(A966="","",MONTH(A966))</f>
        <v/>
      </c>
      <c r="J966" s="8" t="str">
        <f t="shared" ref="J966:J1029" si="46">IF(A966="","",YEAR(A966))</f>
        <v/>
      </c>
      <c r="K966" s="24"/>
      <c r="L966" s="7" t="str">
        <f t="shared" ref="L966:L1029" si="47">IF(OR(B966="",C966=""),"",IF(AND(B966="Income",H966&lt;&gt;"Income"),"Category is not an Income category",IF(AND(B966="Expense",H966="Income"),"Category is an Income category","OK")))</f>
        <v/>
      </c>
    </row>
    <row r="967" spans="1:12" x14ac:dyDescent="0.25">
      <c r="A967" s="23"/>
      <c r="B967" s="24"/>
      <c r="C967" s="24"/>
      <c r="D967" s="24"/>
      <c r="E967" s="24"/>
      <c r="F967" s="24"/>
      <c r="G967" s="25"/>
      <c r="H967" s="16" t="str">
        <f>IF(C967="","",IFERROR(INDEX(Settings!$L$4:$L$56,MATCH(C967,Settings!$K$4:$K$56,0)),"Unknown"))</f>
        <v/>
      </c>
      <c r="I967" s="8" t="str">
        <f t="shared" si="45"/>
        <v/>
      </c>
      <c r="J967" s="8" t="str">
        <f t="shared" si="46"/>
        <v/>
      </c>
      <c r="K967" s="24"/>
      <c r="L967" s="7" t="str">
        <f t="shared" si="47"/>
        <v/>
      </c>
    </row>
    <row r="968" spans="1:12" x14ac:dyDescent="0.25">
      <c r="A968" s="23"/>
      <c r="B968" s="24"/>
      <c r="C968" s="24"/>
      <c r="D968" s="24"/>
      <c r="E968" s="24"/>
      <c r="F968" s="24"/>
      <c r="G968" s="25"/>
      <c r="H968" s="16" t="str">
        <f>IF(C968="","",IFERROR(INDEX(Settings!$L$4:$L$56,MATCH(C968,Settings!$K$4:$K$56,0)),"Unknown"))</f>
        <v/>
      </c>
      <c r="I968" s="8" t="str">
        <f t="shared" si="45"/>
        <v/>
      </c>
      <c r="J968" s="8" t="str">
        <f t="shared" si="46"/>
        <v/>
      </c>
      <c r="K968" s="24"/>
      <c r="L968" s="7" t="str">
        <f t="shared" si="47"/>
        <v/>
      </c>
    </row>
    <row r="969" spans="1:12" x14ac:dyDescent="0.25">
      <c r="A969" s="23"/>
      <c r="B969" s="24"/>
      <c r="C969" s="24"/>
      <c r="D969" s="24"/>
      <c r="E969" s="24"/>
      <c r="F969" s="24"/>
      <c r="G969" s="25"/>
      <c r="H969" s="16" t="str">
        <f>IF(C969="","",IFERROR(INDEX(Settings!$L$4:$L$56,MATCH(C969,Settings!$K$4:$K$56,0)),"Unknown"))</f>
        <v/>
      </c>
      <c r="I969" s="8" t="str">
        <f t="shared" si="45"/>
        <v/>
      </c>
      <c r="J969" s="8" t="str">
        <f t="shared" si="46"/>
        <v/>
      </c>
      <c r="K969" s="24"/>
      <c r="L969" s="7" t="str">
        <f t="shared" si="47"/>
        <v/>
      </c>
    </row>
    <row r="970" spans="1:12" x14ac:dyDescent="0.25">
      <c r="A970" s="23"/>
      <c r="B970" s="24"/>
      <c r="C970" s="24"/>
      <c r="D970" s="24"/>
      <c r="E970" s="24"/>
      <c r="F970" s="24"/>
      <c r="G970" s="25"/>
      <c r="H970" s="16" t="str">
        <f>IF(C970="","",IFERROR(INDEX(Settings!$L$4:$L$56,MATCH(C970,Settings!$K$4:$K$56,0)),"Unknown"))</f>
        <v/>
      </c>
      <c r="I970" s="8" t="str">
        <f t="shared" si="45"/>
        <v/>
      </c>
      <c r="J970" s="8" t="str">
        <f t="shared" si="46"/>
        <v/>
      </c>
      <c r="K970" s="24"/>
      <c r="L970" s="7" t="str">
        <f t="shared" si="47"/>
        <v/>
      </c>
    </row>
    <row r="971" spans="1:12" x14ac:dyDescent="0.25">
      <c r="A971" s="23"/>
      <c r="B971" s="24"/>
      <c r="C971" s="24"/>
      <c r="D971" s="24"/>
      <c r="E971" s="24"/>
      <c r="F971" s="24"/>
      <c r="G971" s="25"/>
      <c r="H971" s="16" t="str">
        <f>IF(C971="","",IFERROR(INDEX(Settings!$L$4:$L$56,MATCH(C971,Settings!$K$4:$K$56,0)),"Unknown"))</f>
        <v/>
      </c>
      <c r="I971" s="8" t="str">
        <f t="shared" si="45"/>
        <v/>
      </c>
      <c r="J971" s="8" t="str">
        <f t="shared" si="46"/>
        <v/>
      </c>
      <c r="K971" s="24"/>
      <c r="L971" s="7" t="str">
        <f t="shared" si="47"/>
        <v/>
      </c>
    </row>
    <row r="972" spans="1:12" x14ac:dyDescent="0.25">
      <c r="A972" s="23"/>
      <c r="B972" s="24"/>
      <c r="C972" s="24"/>
      <c r="D972" s="24"/>
      <c r="E972" s="24"/>
      <c r="F972" s="24"/>
      <c r="G972" s="25"/>
      <c r="H972" s="16" t="str">
        <f>IF(C972="","",IFERROR(INDEX(Settings!$L$4:$L$56,MATCH(C972,Settings!$K$4:$K$56,0)),"Unknown"))</f>
        <v/>
      </c>
      <c r="I972" s="8" t="str">
        <f t="shared" si="45"/>
        <v/>
      </c>
      <c r="J972" s="8" t="str">
        <f t="shared" si="46"/>
        <v/>
      </c>
      <c r="K972" s="24"/>
      <c r="L972" s="7" t="str">
        <f t="shared" si="47"/>
        <v/>
      </c>
    </row>
    <row r="973" spans="1:12" x14ac:dyDescent="0.25">
      <c r="A973" s="23"/>
      <c r="B973" s="24"/>
      <c r="C973" s="24"/>
      <c r="D973" s="24"/>
      <c r="E973" s="24"/>
      <c r="F973" s="24"/>
      <c r="G973" s="25"/>
      <c r="H973" s="16" t="str">
        <f>IF(C973="","",IFERROR(INDEX(Settings!$L$4:$L$56,MATCH(C973,Settings!$K$4:$K$56,0)),"Unknown"))</f>
        <v/>
      </c>
      <c r="I973" s="8" t="str">
        <f t="shared" si="45"/>
        <v/>
      </c>
      <c r="J973" s="8" t="str">
        <f t="shared" si="46"/>
        <v/>
      </c>
      <c r="K973" s="24"/>
      <c r="L973" s="7" t="str">
        <f t="shared" si="47"/>
        <v/>
      </c>
    </row>
    <row r="974" spans="1:12" x14ac:dyDescent="0.25">
      <c r="A974" s="23"/>
      <c r="B974" s="24"/>
      <c r="C974" s="24"/>
      <c r="D974" s="24"/>
      <c r="E974" s="24"/>
      <c r="F974" s="24"/>
      <c r="G974" s="25"/>
      <c r="H974" s="16" t="str">
        <f>IF(C974="","",IFERROR(INDEX(Settings!$L$4:$L$56,MATCH(C974,Settings!$K$4:$K$56,0)),"Unknown"))</f>
        <v/>
      </c>
      <c r="I974" s="8" t="str">
        <f t="shared" si="45"/>
        <v/>
      </c>
      <c r="J974" s="8" t="str">
        <f t="shared" si="46"/>
        <v/>
      </c>
      <c r="K974" s="24"/>
      <c r="L974" s="7" t="str">
        <f t="shared" si="47"/>
        <v/>
      </c>
    </row>
    <row r="975" spans="1:12" x14ac:dyDescent="0.25">
      <c r="A975" s="23"/>
      <c r="B975" s="24"/>
      <c r="C975" s="24"/>
      <c r="D975" s="24"/>
      <c r="E975" s="24"/>
      <c r="F975" s="24"/>
      <c r="G975" s="25"/>
      <c r="H975" s="16" t="str">
        <f>IF(C975="","",IFERROR(INDEX(Settings!$L$4:$L$56,MATCH(C975,Settings!$K$4:$K$56,0)),"Unknown"))</f>
        <v/>
      </c>
      <c r="I975" s="8" t="str">
        <f t="shared" si="45"/>
        <v/>
      </c>
      <c r="J975" s="8" t="str">
        <f t="shared" si="46"/>
        <v/>
      </c>
      <c r="K975" s="24"/>
      <c r="L975" s="7" t="str">
        <f t="shared" si="47"/>
        <v/>
      </c>
    </row>
    <row r="976" spans="1:12" x14ac:dyDescent="0.25">
      <c r="A976" s="23"/>
      <c r="B976" s="24"/>
      <c r="C976" s="24"/>
      <c r="D976" s="24"/>
      <c r="E976" s="24"/>
      <c r="F976" s="24"/>
      <c r="G976" s="25"/>
      <c r="H976" s="16" t="str">
        <f>IF(C976="","",IFERROR(INDEX(Settings!$L$4:$L$56,MATCH(C976,Settings!$K$4:$K$56,0)),"Unknown"))</f>
        <v/>
      </c>
      <c r="I976" s="8" t="str">
        <f t="shared" si="45"/>
        <v/>
      </c>
      <c r="J976" s="8" t="str">
        <f t="shared" si="46"/>
        <v/>
      </c>
      <c r="K976" s="24"/>
      <c r="L976" s="7" t="str">
        <f t="shared" si="47"/>
        <v/>
      </c>
    </row>
    <row r="977" spans="1:12" x14ac:dyDescent="0.25">
      <c r="A977" s="23"/>
      <c r="B977" s="24"/>
      <c r="C977" s="24"/>
      <c r="D977" s="24"/>
      <c r="E977" s="24"/>
      <c r="F977" s="24"/>
      <c r="G977" s="25"/>
      <c r="H977" s="16" t="str">
        <f>IF(C977="","",IFERROR(INDEX(Settings!$L$4:$L$56,MATCH(C977,Settings!$K$4:$K$56,0)),"Unknown"))</f>
        <v/>
      </c>
      <c r="I977" s="8" t="str">
        <f t="shared" si="45"/>
        <v/>
      </c>
      <c r="J977" s="8" t="str">
        <f t="shared" si="46"/>
        <v/>
      </c>
      <c r="K977" s="24"/>
      <c r="L977" s="7" t="str">
        <f t="shared" si="47"/>
        <v/>
      </c>
    </row>
    <row r="978" spans="1:12" x14ac:dyDescent="0.25">
      <c r="A978" s="23"/>
      <c r="B978" s="24"/>
      <c r="C978" s="24"/>
      <c r="D978" s="24"/>
      <c r="E978" s="24"/>
      <c r="F978" s="24"/>
      <c r="G978" s="25"/>
      <c r="H978" s="16" t="str">
        <f>IF(C978="","",IFERROR(INDEX(Settings!$L$4:$L$56,MATCH(C978,Settings!$K$4:$K$56,0)),"Unknown"))</f>
        <v/>
      </c>
      <c r="I978" s="8" t="str">
        <f t="shared" si="45"/>
        <v/>
      </c>
      <c r="J978" s="8" t="str">
        <f t="shared" si="46"/>
        <v/>
      </c>
      <c r="K978" s="24"/>
      <c r="L978" s="7" t="str">
        <f t="shared" si="47"/>
        <v/>
      </c>
    </row>
    <row r="979" spans="1:12" x14ac:dyDescent="0.25">
      <c r="A979" s="23"/>
      <c r="B979" s="24"/>
      <c r="C979" s="24"/>
      <c r="D979" s="24"/>
      <c r="E979" s="24"/>
      <c r="F979" s="24"/>
      <c r="G979" s="25"/>
      <c r="H979" s="16" t="str">
        <f>IF(C979="","",IFERROR(INDEX(Settings!$L$4:$L$56,MATCH(C979,Settings!$K$4:$K$56,0)),"Unknown"))</f>
        <v/>
      </c>
      <c r="I979" s="8" t="str">
        <f t="shared" si="45"/>
        <v/>
      </c>
      <c r="J979" s="8" t="str">
        <f t="shared" si="46"/>
        <v/>
      </c>
      <c r="K979" s="24"/>
      <c r="L979" s="7" t="str">
        <f t="shared" si="47"/>
        <v/>
      </c>
    </row>
    <row r="980" spans="1:12" x14ac:dyDescent="0.25">
      <c r="A980" s="23"/>
      <c r="B980" s="24"/>
      <c r="C980" s="24"/>
      <c r="D980" s="24"/>
      <c r="E980" s="24"/>
      <c r="F980" s="24"/>
      <c r="G980" s="25"/>
      <c r="H980" s="16" t="str">
        <f>IF(C980="","",IFERROR(INDEX(Settings!$L$4:$L$56,MATCH(C980,Settings!$K$4:$K$56,0)),"Unknown"))</f>
        <v/>
      </c>
      <c r="I980" s="8" t="str">
        <f t="shared" si="45"/>
        <v/>
      </c>
      <c r="J980" s="8" t="str">
        <f t="shared" si="46"/>
        <v/>
      </c>
      <c r="K980" s="24"/>
      <c r="L980" s="7" t="str">
        <f t="shared" si="47"/>
        <v/>
      </c>
    </row>
    <row r="981" spans="1:12" x14ac:dyDescent="0.25">
      <c r="A981" s="23"/>
      <c r="B981" s="24"/>
      <c r="C981" s="24"/>
      <c r="D981" s="24"/>
      <c r="E981" s="24"/>
      <c r="F981" s="24"/>
      <c r="G981" s="25"/>
      <c r="H981" s="16" t="str">
        <f>IF(C981="","",IFERROR(INDEX(Settings!$L$4:$L$56,MATCH(C981,Settings!$K$4:$K$56,0)),"Unknown"))</f>
        <v/>
      </c>
      <c r="I981" s="8" t="str">
        <f t="shared" si="45"/>
        <v/>
      </c>
      <c r="J981" s="8" t="str">
        <f t="shared" si="46"/>
        <v/>
      </c>
      <c r="K981" s="24"/>
      <c r="L981" s="7" t="str">
        <f t="shared" si="47"/>
        <v/>
      </c>
    </row>
    <row r="982" spans="1:12" x14ac:dyDescent="0.25">
      <c r="A982" s="23"/>
      <c r="B982" s="24"/>
      <c r="C982" s="24"/>
      <c r="D982" s="24"/>
      <c r="E982" s="24"/>
      <c r="F982" s="24"/>
      <c r="G982" s="25"/>
      <c r="H982" s="16" t="str">
        <f>IF(C982="","",IFERROR(INDEX(Settings!$L$4:$L$56,MATCH(C982,Settings!$K$4:$K$56,0)),"Unknown"))</f>
        <v/>
      </c>
      <c r="I982" s="8" t="str">
        <f t="shared" si="45"/>
        <v/>
      </c>
      <c r="J982" s="8" t="str">
        <f t="shared" si="46"/>
        <v/>
      </c>
      <c r="K982" s="24"/>
      <c r="L982" s="7" t="str">
        <f t="shared" si="47"/>
        <v/>
      </c>
    </row>
    <row r="983" spans="1:12" x14ac:dyDescent="0.25">
      <c r="A983" s="23"/>
      <c r="B983" s="24"/>
      <c r="C983" s="24"/>
      <c r="D983" s="24"/>
      <c r="E983" s="24"/>
      <c r="F983" s="24"/>
      <c r="G983" s="25"/>
      <c r="H983" s="16" t="str">
        <f>IF(C983="","",IFERROR(INDEX(Settings!$L$4:$L$56,MATCH(C983,Settings!$K$4:$K$56,0)),"Unknown"))</f>
        <v/>
      </c>
      <c r="I983" s="8" t="str">
        <f t="shared" si="45"/>
        <v/>
      </c>
      <c r="J983" s="8" t="str">
        <f t="shared" si="46"/>
        <v/>
      </c>
      <c r="K983" s="24"/>
      <c r="L983" s="7" t="str">
        <f t="shared" si="47"/>
        <v/>
      </c>
    </row>
    <row r="984" spans="1:12" x14ac:dyDescent="0.25">
      <c r="A984" s="23"/>
      <c r="B984" s="24"/>
      <c r="C984" s="24"/>
      <c r="D984" s="24"/>
      <c r="E984" s="24"/>
      <c r="F984" s="24"/>
      <c r="G984" s="25"/>
      <c r="H984" s="16" t="str">
        <f>IF(C984="","",IFERROR(INDEX(Settings!$L$4:$L$56,MATCH(C984,Settings!$K$4:$K$56,0)),"Unknown"))</f>
        <v/>
      </c>
      <c r="I984" s="8" t="str">
        <f t="shared" si="45"/>
        <v/>
      </c>
      <c r="J984" s="8" t="str">
        <f t="shared" si="46"/>
        <v/>
      </c>
      <c r="K984" s="24"/>
      <c r="L984" s="7" t="str">
        <f t="shared" si="47"/>
        <v/>
      </c>
    </row>
    <row r="985" spans="1:12" x14ac:dyDescent="0.25">
      <c r="A985" s="23"/>
      <c r="B985" s="24"/>
      <c r="C985" s="24"/>
      <c r="D985" s="24"/>
      <c r="E985" s="24"/>
      <c r="F985" s="24"/>
      <c r="G985" s="25"/>
      <c r="H985" s="16" t="str">
        <f>IF(C985="","",IFERROR(INDEX(Settings!$L$4:$L$56,MATCH(C985,Settings!$K$4:$K$56,0)),"Unknown"))</f>
        <v/>
      </c>
      <c r="I985" s="8" t="str">
        <f t="shared" si="45"/>
        <v/>
      </c>
      <c r="J985" s="8" t="str">
        <f t="shared" si="46"/>
        <v/>
      </c>
      <c r="K985" s="24"/>
      <c r="L985" s="7" t="str">
        <f t="shared" si="47"/>
        <v/>
      </c>
    </row>
    <row r="986" spans="1:12" x14ac:dyDescent="0.25">
      <c r="A986" s="23"/>
      <c r="B986" s="24"/>
      <c r="C986" s="24"/>
      <c r="D986" s="24"/>
      <c r="E986" s="24"/>
      <c r="F986" s="24"/>
      <c r="G986" s="25"/>
      <c r="H986" s="16" t="str">
        <f>IF(C986="","",IFERROR(INDEX(Settings!$L$4:$L$56,MATCH(C986,Settings!$K$4:$K$56,0)),"Unknown"))</f>
        <v/>
      </c>
      <c r="I986" s="8" t="str">
        <f t="shared" si="45"/>
        <v/>
      </c>
      <c r="J986" s="8" t="str">
        <f t="shared" si="46"/>
        <v/>
      </c>
      <c r="K986" s="24"/>
      <c r="L986" s="7" t="str">
        <f t="shared" si="47"/>
        <v/>
      </c>
    </row>
    <row r="987" spans="1:12" x14ac:dyDescent="0.25">
      <c r="A987" s="23"/>
      <c r="B987" s="24"/>
      <c r="C987" s="24"/>
      <c r="D987" s="24"/>
      <c r="E987" s="24"/>
      <c r="F987" s="24"/>
      <c r="G987" s="25"/>
      <c r="H987" s="16" t="str">
        <f>IF(C987="","",IFERROR(INDEX(Settings!$L$4:$L$56,MATCH(C987,Settings!$K$4:$K$56,0)),"Unknown"))</f>
        <v/>
      </c>
      <c r="I987" s="8" t="str">
        <f t="shared" si="45"/>
        <v/>
      </c>
      <c r="J987" s="8" t="str">
        <f t="shared" si="46"/>
        <v/>
      </c>
      <c r="K987" s="24"/>
      <c r="L987" s="7" t="str">
        <f t="shared" si="47"/>
        <v/>
      </c>
    </row>
    <row r="988" spans="1:12" x14ac:dyDescent="0.25">
      <c r="A988" s="23"/>
      <c r="B988" s="24"/>
      <c r="C988" s="24"/>
      <c r="D988" s="24"/>
      <c r="E988" s="24"/>
      <c r="F988" s="24"/>
      <c r="G988" s="25"/>
      <c r="H988" s="16" t="str">
        <f>IF(C988="","",IFERROR(INDEX(Settings!$L$4:$L$56,MATCH(C988,Settings!$K$4:$K$56,0)),"Unknown"))</f>
        <v/>
      </c>
      <c r="I988" s="8" t="str">
        <f t="shared" si="45"/>
        <v/>
      </c>
      <c r="J988" s="8" t="str">
        <f t="shared" si="46"/>
        <v/>
      </c>
      <c r="K988" s="24"/>
      <c r="L988" s="7" t="str">
        <f t="shared" si="47"/>
        <v/>
      </c>
    </row>
    <row r="989" spans="1:12" x14ac:dyDescent="0.25">
      <c r="A989" s="23"/>
      <c r="B989" s="24"/>
      <c r="C989" s="24"/>
      <c r="D989" s="24"/>
      <c r="E989" s="24"/>
      <c r="F989" s="24"/>
      <c r="G989" s="25"/>
      <c r="H989" s="16" t="str">
        <f>IF(C989="","",IFERROR(INDEX(Settings!$L$4:$L$56,MATCH(C989,Settings!$K$4:$K$56,0)),"Unknown"))</f>
        <v/>
      </c>
      <c r="I989" s="8" t="str">
        <f t="shared" si="45"/>
        <v/>
      </c>
      <c r="J989" s="8" t="str">
        <f t="shared" si="46"/>
        <v/>
      </c>
      <c r="K989" s="24"/>
      <c r="L989" s="7" t="str">
        <f t="shared" si="47"/>
        <v/>
      </c>
    </row>
    <row r="990" spans="1:12" x14ac:dyDescent="0.25">
      <c r="A990" s="23"/>
      <c r="B990" s="24"/>
      <c r="C990" s="24"/>
      <c r="D990" s="24"/>
      <c r="E990" s="24"/>
      <c r="F990" s="24"/>
      <c r="G990" s="25"/>
      <c r="H990" s="16" t="str">
        <f>IF(C990="","",IFERROR(INDEX(Settings!$L$4:$L$56,MATCH(C990,Settings!$K$4:$K$56,0)),"Unknown"))</f>
        <v/>
      </c>
      <c r="I990" s="8" t="str">
        <f t="shared" si="45"/>
        <v/>
      </c>
      <c r="J990" s="8" t="str">
        <f t="shared" si="46"/>
        <v/>
      </c>
      <c r="K990" s="24"/>
      <c r="L990" s="7" t="str">
        <f t="shared" si="47"/>
        <v/>
      </c>
    </row>
    <row r="991" spans="1:12" x14ac:dyDescent="0.25">
      <c r="A991" s="23"/>
      <c r="B991" s="24"/>
      <c r="C991" s="24"/>
      <c r="D991" s="24"/>
      <c r="E991" s="24"/>
      <c r="F991" s="24"/>
      <c r="G991" s="25"/>
      <c r="H991" s="16" t="str">
        <f>IF(C991="","",IFERROR(INDEX(Settings!$L$4:$L$56,MATCH(C991,Settings!$K$4:$K$56,0)),"Unknown"))</f>
        <v/>
      </c>
      <c r="I991" s="8" t="str">
        <f t="shared" si="45"/>
        <v/>
      </c>
      <c r="J991" s="8" t="str">
        <f t="shared" si="46"/>
        <v/>
      </c>
      <c r="K991" s="24"/>
      <c r="L991" s="7" t="str">
        <f t="shared" si="47"/>
        <v/>
      </c>
    </row>
    <row r="992" spans="1:12" x14ac:dyDescent="0.25">
      <c r="A992" s="23"/>
      <c r="B992" s="24"/>
      <c r="C992" s="24"/>
      <c r="D992" s="24"/>
      <c r="E992" s="24"/>
      <c r="F992" s="24"/>
      <c r="G992" s="25"/>
      <c r="H992" s="16" t="str">
        <f>IF(C992="","",IFERROR(INDEX(Settings!$L$4:$L$56,MATCH(C992,Settings!$K$4:$K$56,0)),"Unknown"))</f>
        <v/>
      </c>
      <c r="I992" s="8" t="str">
        <f t="shared" si="45"/>
        <v/>
      </c>
      <c r="J992" s="8" t="str">
        <f t="shared" si="46"/>
        <v/>
      </c>
      <c r="K992" s="24"/>
      <c r="L992" s="7" t="str">
        <f t="shared" si="47"/>
        <v/>
      </c>
    </row>
    <row r="993" spans="1:12" x14ac:dyDescent="0.25">
      <c r="A993" s="23"/>
      <c r="B993" s="24"/>
      <c r="C993" s="24"/>
      <c r="D993" s="24"/>
      <c r="E993" s="24"/>
      <c r="F993" s="24"/>
      <c r="G993" s="25"/>
      <c r="H993" s="16" t="str">
        <f>IF(C993="","",IFERROR(INDEX(Settings!$L$4:$L$56,MATCH(C993,Settings!$K$4:$K$56,0)),"Unknown"))</f>
        <v/>
      </c>
      <c r="I993" s="8" t="str">
        <f t="shared" si="45"/>
        <v/>
      </c>
      <c r="J993" s="8" t="str">
        <f t="shared" si="46"/>
        <v/>
      </c>
      <c r="K993" s="24"/>
      <c r="L993" s="7" t="str">
        <f t="shared" si="47"/>
        <v/>
      </c>
    </row>
    <row r="994" spans="1:12" x14ac:dyDescent="0.25">
      <c r="A994" s="23"/>
      <c r="B994" s="24"/>
      <c r="C994" s="24"/>
      <c r="D994" s="24"/>
      <c r="E994" s="24"/>
      <c r="F994" s="24"/>
      <c r="G994" s="25"/>
      <c r="H994" s="16" t="str">
        <f>IF(C994="","",IFERROR(INDEX(Settings!$L$4:$L$56,MATCH(C994,Settings!$K$4:$K$56,0)),"Unknown"))</f>
        <v/>
      </c>
      <c r="I994" s="8" t="str">
        <f t="shared" si="45"/>
        <v/>
      </c>
      <c r="J994" s="8" t="str">
        <f t="shared" si="46"/>
        <v/>
      </c>
      <c r="K994" s="24"/>
      <c r="L994" s="7" t="str">
        <f t="shared" si="47"/>
        <v/>
      </c>
    </row>
    <row r="995" spans="1:12" x14ac:dyDescent="0.25">
      <c r="A995" s="23"/>
      <c r="B995" s="24"/>
      <c r="C995" s="24"/>
      <c r="D995" s="24"/>
      <c r="E995" s="24"/>
      <c r="F995" s="24"/>
      <c r="G995" s="25"/>
      <c r="H995" s="16" t="str">
        <f>IF(C995="","",IFERROR(INDEX(Settings!$L$4:$L$56,MATCH(C995,Settings!$K$4:$K$56,0)),"Unknown"))</f>
        <v/>
      </c>
      <c r="I995" s="8" t="str">
        <f t="shared" si="45"/>
        <v/>
      </c>
      <c r="J995" s="8" t="str">
        <f t="shared" si="46"/>
        <v/>
      </c>
      <c r="K995" s="24"/>
      <c r="L995" s="7" t="str">
        <f t="shared" si="47"/>
        <v/>
      </c>
    </row>
    <row r="996" spans="1:12" x14ac:dyDescent="0.25">
      <c r="A996" s="23"/>
      <c r="B996" s="24"/>
      <c r="C996" s="24"/>
      <c r="D996" s="24"/>
      <c r="E996" s="24"/>
      <c r="F996" s="24"/>
      <c r="G996" s="25"/>
      <c r="H996" s="16" t="str">
        <f>IF(C996="","",IFERROR(INDEX(Settings!$L$4:$L$56,MATCH(C996,Settings!$K$4:$K$56,0)),"Unknown"))</f>
        <v/>
      </c>
      <c r="I996" s="8" t="str">
        <f t="shared" si="45"/>
        <v/>
      </c>
      <c r="J996" s="8" t="str">
        <f t="shared" si="46"/>
        <v/>
      </c>
      <c r="K996" s="24"/>
      <c r="L996" s="7" t="str">
        <f t="shared" si="47"/>
        <v/>
      </c>
    </row>
    <row r="997" spans="1:12" x14ac:dyDescent="0.25">
      <c r="A997" s="23"/>
      <c r="B997" s="24"/>
      <c r="C997" s="24"/>
      <c r="D997" s="24"/>
      <c r="E997" s="24"/>
      <c r="F997" s="24"/>
      <c r="G997" s="25"/>
      <c r="H997" s="16" t="str">
        <f>IF(C997="","",IFERROR(INDEX(Settings!$L$4:$L$56,MATCH(C997,Settings!$K$4:$K$56,0)),"Unknown"))</f>
        <v/>
      </c>
      <c r="I997" s="8" t="str">
        <f t="shared" si="45"/>
        <v/>
      </c>
      <c r="J997" s="8" t="str">
        <f t="shared" si="46"/>
        <v/>
      </c>
      <c r="K997" s="24"/>
      <c r="L997" s="7" t="str">
        <f t="shared" si="47"/>
        <v/>
      </c>
    </row>
    <row r="998" spans="1:12" x14ac:dyDescent="0.25">
      <c r="A998" s="23"/>
      <c r="B998" s="24"/>
      <c r="C998" s="24"/>
      <c r="D998" s="24"/>
      <c r="E998" s="24"/>
      <c r="F998" s="24"/>
      <c r="G998" s="25"/>
      <c r="H998" s="16" t="str">
        <f>IF(C998="","",IFERROR(INDEX(Settings!$L$4:$L$56,MATCH(C998,Settings!$K$4:$K$56,0)),"Unknown"))</f>
        <v/>
      </c>
      <c r="I998" s="8" t="str">
        <f t="shared" si="45"/>
        <v/>
      </c>
      <c r="J998" s="8" t="str">
        <f t="shared" si="46"/>
        <v/>
      </c>
      <c r="K998" s="24"/>
      <c r="L998" s="7" t="str">
        <f t="shared" si="47"/>
        <v/>
      </c>
    </row>
    <row r="999" spans="1:12" x14ac:dyDescent="0.25">
      <c r="A999" s="23"/>
      <c r="B999" s="24"/>
      <c r="C999" s="24"/>
      <c r="D999" s="24"/>
      <c r="E999" s="24"/>
      <c r="F999" s="24"/>
      <c r="G999" s="25"/>
      <c r="H999" s="16" t="str">
        <f>IF(C999="","",IFERROR(INDEX(Settings!$L$4:$L$56,MATCH(C999,Settings!$K$4:$K$56,0)),"Unknown"))</f>
        <v/>
      </c>
      <c r="I999" s="8" t="str">
        <f t="shared" si="45"/>
        <v/>
      </c>
      <c r="J999" s="8" t="str">
        <f t="shared" si="46"/>
        <v/>
      </c>
      <c r="K999" s="24"/>
      <c r="L999" s="7" t="str">
        <f t="shared" si="47"/>
        <v/>
      </c>
    </row>
    <row r="1000" spans="1:12" x14ac:dyDescent="0.25">
      <c r="A1000" s="23"/>
      <c r="B1000" s="24"/>
      <c r="C1000" s="24"/>
      <c r="D1000" s="24"/>
      <c r="E1000" s="24"/>
      <c r="F1000" s="24"/>
      <c r="G1000" s="25"/>
      <c r="H1000" s="16" t="str">
        <f>IF(C1000="","",IFERROR(INDEX(Settings!$L$4:$L$56,MATCH(C1000,Settings!$K$4:$K$56,0)),"Unknown"))</f>
        <v/>
      </c>
      <c r="I1000" s="8" t="str">
        <f t="shared" si="45"/>
        <v/>
      </c>
      <c r="J1000" s="8" t="str">
        <f t="shared" si="46"/>
        <v/>
      </c>
      <c r="K1000" s="24"/>
      <c r="L1000" s="7" t="str">
        <f t="shared" si="47"/>
        <v/>
      </c>
    </row>
    <row r="1001" spans="1:12" x14ac:dyDescent="0.25">
      <c r="A1001" s="23"/>
      <c r="B1001" s="24"/>
      <c r="C1001" s="24"/>
      <c r="D1001" s="24"/>
      <c r="E1001" s="24"/>
      <c r="F1001" s="24"/>
      <c r="G1001" s="25"/>
      <c r="H1001" s="16" t="str">
        <f>IF(C1001="","",IFERROR(INDEX(Settings!$L$4:$L$56,MATCH(C1001,Settings!$K$4:$K$56,0)),"Unknown"))</f>
        <v/>
      </c>
      <c r="I1001" s="8" t="str">
        <f t="shared" si="45"/>
        <v/>
      </c>
      <c r="J1001" s="8" t="str">
        <f t="shared" si="46"/>
        <v/>
      </c>
      <c r="K1001" s="24"/>
      <c r="L1001" s="7" t="str">
        <f t="shared" si="47"/>
        <v/>
      </c>
    </row>
    <row r="1002" spans="1:12" x14ac:dyDescent="0.25">
      <c r="A1002" s="23"/>
      <c r="B1002" s="24"/>
      <c r="C1002" s="24"/>
      <c r="D1002" s="24"/>
      <c r="E1002" s="24"/>
      <c r="F1002" s="24"/>
      <c r="G1002" s="25"/>
      <c r="H1002" s="16" t="str">
        <f>IF(C1002="","",IFERROR(INDEX(Settings!$L$4:$L$56,MATCH(C1002,Settings!$K$4:$K$56,0)),"Unknown"))</f>
        <v/>
      </c>
      <c r="I1002" s="8" t="str">
        <f t="shared" si="45"/>
        <v/>
      </c>
      <c r="J1002" s="8" t="str">
        <f t="shared" si="46"/>
        <v/>
      </c>
      <c r="K1002" s="24"/>
      <c r="L1002" s="7" t="str">
        <f t="shared" si="47"/>
        <v/>
      </c>
    </row>
    <row r="1003" spans="1:12" x14ac:dyDescent="0.25">
      <c r="A1003" s="23"/>
      <c r="B1003" s="24"/>
      <c r="C1003" s="24"/>
      <c r="D1003" s="24"/>
      <c r="E1003" s="24"/>
      <c r="F1003" s="24"/>
      <c r="G1003" s="25"/>
      <c r="H1003" s="16" t="str">
        <f>IF(C1003="","",IFERROR(INDEX(Settings!$L$4:$L$56,MATCH(C1003,Settings!$K$4:$K$56,0)),"Unknown"))</f>
        <v/>
      </c>
      <c r="I1003" s="8" t="str">
        <f t="shared" si="45"/>
        <v/>
      </c>
      <c r="J1003" s="8" t="str">
        <f t="shared" si="46"/>
        <v/>
      </c>
      <c r="K1003" s="24"/>
      <c r="L1003" s="7" t="str">
        <f t="shared" si="47"/>
        <v/>
      </c>
    </row>
    <row r="1004" spans="1:12" x14ac:dyDescent="0.25">
      <c r="A1004" s="23"/>
      <c r="B1004" s="24"/>
      <c r="C1004" s="24"/>
      <c r="D1004" s="24"/>
      <c r="E1004" s="24"/>
      <c r="F1004" s="24"/>
      <c r="G1004" s="25"/>
      <c r="H1004" s="16" t="str">
        <f>IF(C1004="","",IFERROR(INDEX(Settings!$L$4:$L$56,MATCH(C1004,Settings!$K$4:$K$56,0)),"Unknown"))</f>
        <v/>
      </c>
      <c r="I1004" s="8" t="str">
        <f t="shared" si="45"/>
        <v/>
      </c>
      <c r="J1004" s="8" t="str">
        <f t="shared" si="46"/>
        <v/>
      </c>
      <c r="K1004" s="24"/>
      <c r="L1004" s="7" t="str">
        <f t="shared" si="47"/>
        <v/>
      </c>
    </row>
    <row r="1005" spans="1:12" x14ac:dyDescent="0.25">
      <c r="A1005" s="23"/>
      <c r="B1005" s="24"/>
      <c r="C1005" s="24"/>
      <c r="D1005" s="24"/>
      <c r="E1005" s="24"/>
      <c r="F1005" s="24"/>
      <c r="G1005" s="25"/>
      <c r="H1005" s="16" t="str">
        <f>IF(C1005="","",IFERROR(INDEX(Settings!$L$4:$L$56,MATCH(C1005,Settings!$K$4:$K$56,0)),"Unknown"))</f>
        <v/>
      </c>
      <c r="I1005" s="8" t="str">
        <f t="shared" si="45"/>
        <v/>
      </c>
      <c r="J1005" s="8" t="str">
        <f t="shared" si="46"/>
        <v/>
      </c>
      <c r="K1005" s="24"/>
      <c r="L1005" s="7" t="str">
        <f t="shared" si="47"/>
        <v/>
      </c>
    </row>
    <row r="1006" spans="1:12" x14ac:dyDescent="0.25">
      <c r="A1006" s="23"/>
      <c r="B1006" s="24"/>
      <c r="C1006" s="24"/>
      <c r="D1006" s="24"/>
      <c r="E1006" s="24"/>
      <c r="F1006" s="24"/>
      <c r="G1006" s="25"/>
      <c r="H1006" s="16" t="str">
        <f>IF(C1006="","",IFERROR(INDEX(Settings!$L$4:$L$56,MATCH(C1006,Settings!$K$4:$K$56,0)),"Unknown"))</f>
        <v/>
      </c>
      <c r="I1006" s="8" t="str">
        <f t="shared" si="45"/>
        <v/>
      </c>
      <c r="J1006" s="8" t="str">
        <f t="shared" si="46"/>
        <v/>
      </c>
      <c r="K1006" s="24"/>
      <c r="L1006" s="7" t="str">
        <f t="shared" si="47"/>
        <v/>
      </c>
    </row>
    <row r="1007" spans="1:12" x14ac:dyDescent="0.25">
      <c r="A1007" s="23"/>
      <c r="B1007" s="24"/>
      <c r="C1007" s="24"/>
      <c r="D1007" s="24"/>
      <c r="E1007" s="24"/>
      <c r="F1007" s="24"/>
      <c r="G1007" s="25"/>
      <c r="H1007" s="16" t="str">
        <f>IF(C1007="","",IFERROR(INDEX(Settings!$L$4:$L$56,MATCH(C1007,Settings!$K$4:$K$56,0)),"Unknown"))</f>
        <v/>
      </c>
      <c r="I1007" s="8" t="str">
        <f t="shared" si="45"/>
        <v/>
      </c>
      <c r="J1007" s="8" t="str">
        <f t="shared" si="46"/>
        <v/>
      </c>
      <c r="K1007" s="24"/>
      <c r="L1007" s="7" t="str">
        <f t="shared" si="47"/>
        <v/>
      </c>
    </row>
    <row r="1008" spans="1:12" x14ac:dyDescent="0.25">
      <c r="A1008" s="23"/>
      <c r="B1008" s="24"/>
      <c r="C1008" s="24"/>
      <c r="D1008" s="24"/>
      <c r="E1008" s="24"/>
      <c r="F1008" s="24"/>
      <c r="G1008" s="25"/>
      <c r="H1008" s="16" t="str">
        <f>IF(C1008="","",IFERROR(INDEX(Settings!$L$4:$L$56,MATCH(C1008,Settings!$K$4:$K$56,0)),"Unknown"))</f>
        <v/>
      </c>
      <c r="I1008" s="8" t="str">
        <f t="shared" si="45"/>
        <v/>
      </c>
      <c r="J1008" s="8" t="str">
        <f t="shared" si="46"/>
        <v/>
      </c>
      <c r="K1008" s="24"/>
      <c r="L1008" s="7" t="str">
        <f t="shared" si="47"/>
        <v/>
      </c>
    </row>
    <row r="1009" spans="1:12" x14ac:dyDescent="0.25">
      <c r="A1009" s="23"/>
      <c r="B1009" s="24"/>
      <c r="C1009" s="24"/>
      <c r="D1009" s="24"/>
      <c r="E1009" s="24"/>
      <c r="F1009" s="24"/>
      <c r="G1009" s="25"/>
      <c r="H1009" s="16" t="str">
        <f>IF(C1009="","",IFERROR(INDEX(Settings!$L$4:$L$56,MATCH(C1009,Settings!$K$4:$K$56,0)),"Unknown"))</f>
        <v/>
      </c>
      <c r="I1009" s="8" t="str">
        <f t="shared" si="45"/>
        <v/>
      </c>
      <c r="J1009" s="8" t="str">
        <f t="shared" si="46"/>
        <v/>
      </c>
      <c r="K1009" s="24"/>
      <c r="L1009" s="7" t="str">
        <f t="shared" si="47"/>
        <v/>
      </c>
    </row>
    <row r="1010" spans="1:12" x14ac:dyDescent="0.25">
      <c r="A1010" s="23"/>
      <c r="B1010" s="24"/>
      <c r="C1010" s="24"/>
      <c r="D1010" s="24"/>
      <c r="E1010" s="24"/>
      <c r="F1010" s="24"/>
      <c r="G1010" s="25"/>
      <c r="H1010" s="16" t="str">
        <f>IF(C1010="","",IFERROR(INDEX(Settings!$L$4:$L$56,MATCH(C1010,Settings!$K$4:$K$56,0)),"Unknown"))</f>
        <v/>
      </c>
      <c r="I1010" s="8" t="str">
        <f t="shared" si="45"/>
        <v/>
      </c>
      <c r="J1010" s="8" t="str">
        <f t="shared" si="46"/>
        <v/>
      </c>
      <c r="K1010" s="24"/>
      <c r="L1010" s="7" t="str">
        <f t="shared" si="47"/>
        <v/>
      </c>
    </row>
    <row r="1011" spans="1:12" x14ac:dyDescent="0.25">
      <c r="A1011" s="23"/>
      <c r="B1011" s="24"/>
      <c r="C1011" s="24"/>
      <c r="D1011" s="24"/>
      <c r="E1011" s="24"/>
      <c r="F1011" s="24"/>
      <c r="G1011" s="25"/>
      <c r="H1011" s="16" t="str">
        <f>IF(C1011="","",IFERROR(INDEX(Settings!$L$4:$L$56,MATCH(C1011,Settings!$K$4:$K$56,0)),"Unknown"))</f>
        <v/>
      </c>
      <c r="I1011" s="8" t="str">
        <f t="shared" si="45"/>
        <v/>
      </c>
      <c r="J1011" s="8" t="str">
        <f t="shared" si="46"/>
        <v/>
      </c>
      <c r="K1011" s="24"/>
      <c r="L1011" s="7" t="str">
        <f t="shared" si="47"/>
        <v/>
      </c>
    </row>
    <row r="1012" spans="1:12" x14ac:dyDescent="0.25">
      <c r="A1012" s="23"/>
      <c r="B1012" s="24"/>
      <c r="C1012" s="24"/>
      <c r="D1012" s="24"/>
      <c r="E1012" s="24"/>
      <c r="F1012" s="24"/>
      <c r="G1012" s="25"/>
      <c r="H1012" s="16" t="str">
        <f>IF(C1012="","",IFERROR(INDEX(Settings!$L$4:$L$56,MATCH(C1012,Settings!$K$4:$K$56,0)),"Unknown"))</f>
        <v/>
      </c>
      <c r="I1012" s="8" t="str">
        <f t="shared" si="45"/>
        <v/>
      </c>
      <c r="J1012" s="8" t="str">
        <f t="shared" si="46"/>
        <v/>
      </c>
      <c r="K1012" s="24"/>
      <c r="L1012" s="7" t="str">
        <f t="shared" si="47"/>
        <v/>
      </c>
    </row>
    <row r="1013" spans="1:12" x14ac:dyDescent="0.25">
      <c r="A1013" s="23"/>
      <c r="B1013" s="24"/>
      <c r="C1013" s="24"/>
      <c r="D1013" s="24"/>
      <c r="E1013" s="24"/>
      <c r="F1013" s="24"/>
      <c r="G1013" s="25"/>
      <c r="H1013" s="16" t="str">
        <f>IF(C1013="","",IFERROR(INDEX(Settings!$L$4:$L$56,MATCH(C1013,Settings!$K$4:$K$56,0)),"Unknown"))</f>
        <v/>
      </c>
      <c r="I1013" s="8" t="str">
        <f t="shared" si="45"/>
        <v/>
      </c>
      <c r="J1013" s="8" t="str">
        <f t="shared" si="46"/>
        <v/>
      </c>
      <c r="K1013" s="24"/>
      <c r="L1013" s="7" t="str">
        <f t="shared" si="47"/>
        <v/>
      </c>
    </row>
    <row r="1014" spans="1:12" x14ac:dyDescent="0.25">
      <c r="A1014" s="23"/>
      <c r="B1014" s="24"/>
      <c r="C1014" s="24"/>
      <c r="D1014" s="24"/>
      <c r="E1014" s="24"/>
      <c r="F1014" s="24"/>
      <c r="G1014" s="25"/>
      <c r="H1014" s="16" t="str">
        <f>IF(C1014="","",IFERROR(INDEX(Settings!$L$4:$L$56,MATCH(C1014,Settings!$K$4:$K$56,0)),"Unknown"))</f>
        <v/>
      </c>
      <c r="I1014" s="8" t="str">
        <f t="shared" si="45"/>
        <v/>
      </c>
      <c r="J1014" s="8" t="str">
        <f t="shared" si="46"/>
        <v/>
      </c>
      <c r="K1014" s="24"/>
      <c r="L1014" s="7" t="str">
        <f t="shared" si="47"/>
        <v/>
      </c>
    </row>
    <row r="1015" spans="1:12" x14ac:dyDescent="0.25">
      <c r="A1015" s="23"/>
      <c r="B1015" s="24"/>
      <c r="C1015" s="24"/>
      <c r="D1015" s="24"/>
      <c r="E1015" s="24"/>
      <c r="F1015" s="24"/>
      <c r="G1015" s="25"/>
      <c r="H1015" s="16" t="str">
        <f>IF(C1015="","",IFERROR(INDEX(Settings!$L$4:$L$56,MATCH(C1015,Settings!$K$4:$K$56,0)),"Unknown"))</f>
        <v/>
      </c>
      <c r="I1015" s="8" t="str">
        <f t="shared" si="45"/>
        <v/>
      </c>
      <c r="J1015" s="8" t="str">
        <f t="shared" si="46"/>
        <v/>
      </c>
      <c r="K1015" s="24"/>
      <c r="L1015" s="7" t="str">
        <f t="shared" si="47"/>
        <v/>
      </c>
    </row>
    <row r="1016" spans="1:12" x14ac:dyDescent="0.25">
      <c r="A1016" s="23"/>
      <c r="B1016" s="24"/>
      <c r="C1016" s="24"/>
      <c r="D1016" s="24"/>
      <c r="E1016" s="24"/>
      <c r="F1016" s="24"/>
      <c r="G1016" s="25"/>
      <c r="H1016" s="16" t="str">
        <f>IF(C1016="","",IFERROR(INDEX(Settings!$L$4:$L$56,MATCH(C1016,Settings!$K$4:$K$56,0)),"Unknown"))</f>
        <v/>
      </c>
      <c r="I1016" s="8" t="str">
        <f t="shared" si="45"/>
        <v/>
      </c>
      <c r="J1016" s="8" t="str">
        <f t="shared" si="46"/>
        <v/>
      </c>
      <c r="K1016" s="24"/>
      <c r="L1016" s="7" t="str">
        <f t="shared" si="47"/>
        <v/>
      </c>
    </row>
    <row r="1017" spans="1:12" x14ac:dyDescent="0.25">
      <c r="A1017" s="23"/>
      <c r="B1017" s="24"/>
      <c r="C1017" s="24"/>
      <c r="D1017" s="24"/>
      <c r="E1017" s="24"/>
      <c r="F1017" s="24"/>
      <c r="G1017" s="25"/>
      <c r="H1017" s="16" t="str">
        <f>IF(C1017="","",IFERROR(INDEX(Settings!$L$4:$L$56,MATCH(C1017,Settings!$K$4:$K$56,0)),"Unknown"))</f>
        <v/>
      </c>
      <c r="I1017" s="8" t="str">
        <f t="shared" si="45"/>
        <v/>
      </c>
      <c r="J1017" s="8" t="str">
        <f t="shared" si="46"/>
        <v/>
      </c>
      <c r="K1017" s="24"/>
      <c r="L1017" s="7" t="str">
        <f t="shared" si="47"/>
        <v/>
      </c>
    </row>
    <row r="1018" spans="1:12" x14ac:dyDescent="0.25">
      <c r="A1018" s="23"/>
      <c r="B1018" s="24"/>
      <c r="C1018" s="24"/>
      <c r="D1018" s="24"/>
      <c r="E1018" s="24"/>
      <c r="F1018" s="24"/>
      <c r="G1018" s="25"/>
      <c r="H1018" s="16" t="str">
        <f>IF(C1018="","",IFERROR(INDEX(Settings!$L$4:$L$56,MATCH(C1018,Settings!$K$4:$K$56,0)),"Unknown"))</f>
        <v/>
      </c>
      <c r="I1018" s="8" t="str">
        <f t="shared" si="45"/>
        <v/>
      </c>
      <c r="J1018" s="8" t="str">
        <f t="shared" si="46"/>
        <v/>
      </c>
      <c r="K1018" s="24"/>
      <c r="L1018" s="7" t="str">
        <f t="shared" si="47"/>
        <v/>
      </c>
    </row>
    <row r="1019" spans="1:12" x14ac:dyDescent="0.25">
      <c r="A1019" s="23"/>
      <c r="B1019" s="24"/>
      <c r="C1019" s="24"/>
      <c r="D1019" s="24"/>
      <c r="E1019" s="24"/>
      <c r="F1019" s="24"/>
      <c r="G1019" s="25"/>
      <c r="H1019" s="16" t="str">
        <f>IF(C1019="","",IFERROR(INDEX(Settings!$L$4:$L$56,MATCH(C1019,Settings!$K$4:$K$56,0)),"Unknown"))</f>
        <v/>
      </c>
      <c r="I1019" s="8" t="str">
        <f t="shared" si="45"/>
        <v/>
      </c>
      <c r="J1019" s="8" t="str">
        <f t="shared" si="46"/>
        <v/>
      </c>
      <c r="K1019" s="24"/>
      <c r="L1019" s="7" t="str">
        <f t="shared" si="47"/>
        <v/>
      </c>
    </row>
    <row r="1020" spans="1:12" x14ac:dyDescent="0.25">
      <c r="A1020" s="23"/>
      <c r="B1020" s="24"/>
      <c r="C1020" s="24"/>
      <c r="D1020" s="24"/>
      <c r="E1020" s="24"/>
      <c r="F1020" s="24"/>
      <c r="G1020" s="25"/>
      <c r="H1020" s="16" t="str">
        <f>IF(C1020="","",IFERROR(INDEX(Settings!$L$4:$L$56,MATCH(C1020,Settings!$K$4:$K$56,0)),"Unknown"))</f>
        <v/>
      </c>
      <c r="I1020" s="8" t="str">
        <f t="shared" si="45"/>
        <v/>
      </c>
      <c r="J1020" s="8" t="str">
        <f t="shared" si="46"/>
        <v/>
      </c>
      <c r="K1020" s="24"/>
      <c r="L1020" s="7" t="str">
        <f t="shared" si="47"/>
        <v/>
      </c>
    </row>
    <row r="1021" spans="1:12" x14ac:dyDescent="0.25">
      <c r="A1021" s="23"/>
      <c r="B1021" s="24"/>
      <c r="C1021" s="24"/>
      <c r="D1021" s="24"/>
      <c r="E1021" s="24"/>
      <c r="F1021" s="24"/>
      <c r="G1021" s="25"/>
      <c r="H1021" s="16" t="str">
        <f>IF(C1021="","",IFERROR(INDEX(Settings!$L$4:$L$56,MATCH(C1021,Settings!$K$4:$K$56,0)),"Unknown"))</f>
        <v/>
      </c>
      <c r="I1021" s="8" t="str">
        <f t="shared" si="45"/>
        <v/>
      </c>
      <c r="J1021" s="8" t="str">
        <f t="shared" si="46"/>
        <v/>
      </c>
      <c r="K1021" s="24"/>
      <c r="L1021" s="7" t="str">
        <f t="shared" si="47"/>
        <v/>
      </c>
    </row>
    <row r="1022" spans="1:12" x14ac:dyDescent="0.25">
      <c r="A1022" s="23"/>
      <c r="B1022" s="24"/>
      <c r="C1022" s="24"/>
      <c r="D1022" s="24"/>
      <c r="E1022" s="24"/>
      <c r="F1022" s="24"/>
      <c r="G1022" s="25"/>
      <c r="H1022" s="16" t="str">
        <f>IF(C1022="","",IFERROR(INDEX(Settings!$L$4:$L$56,MATCH(C1022,Settings!$K$4:$K$56,0)),"Unknown"))</f>
        <v/>
      </c>
      <c r="I1022" s="8" t="str">
        <f t="shared" si="45"/>
        <v/>
      </c>
      <c r="J1022" s="8" t="str">
        <f t="shared" si="46"/>
        <v/>
      </c>
      <c r="K1022" s="24"/>
      <c r="L1022" s="7" t="str">
        <f t="shared" si="47"/>
        <v/>
      </c>
    </row>
    <row r="1023" spans="1:12" x14ac:dyDescent="0.25">
      <c r="A1023" s="23"/>
      <c r="B1023" s="24"/>
      <c r="C1023" s="24"/>
      <c r="D1023" s="24"/>
      <c r="E1023" s="24"/>
      <c r="F1023" s="24"/>
      <c r="G1023" s="25"/>
      <c r="H1023" s="16" t="str">
        <f>IF(C1023="","",IFERROR(INDEX(Settings!$L$4:$L$56,MATCH(C1023,Settings!$K$4:$K$56,0)),"Unknown"))</f>
        <v/>
      </c>
      <c r="I1023" s="8" t="str">
        <f t="shared" si="45"/>
        <v/>
      </c>
      <c r="J1023" s="8" t="str">
        <f t="shared" si="46"/>
        <v/>
      </c>
      <c r="K1023" s="24"/>
      <c r="L1023" s="7" t="str">
        <f t="shared" si="47"/>
        <v/>
      </c>
    </row>
    <row r="1024" spans="1:12" x14ac:dyDescent="0.25">
      <c r="A1024" s="23"/>
      <c r="B1024" s="24"/>
      <c r="C1024" s="24"/>
      <c r="D1024" s="24"/>
      <c r="E1024" s="24"/>
      <c r="F1024" s="24"/>
      <c r="G1024" s="25"/>
      <c r="H1024" s="16" t="str">
        <f>IF(C1024="","",IFERROR(INDEX(Settings!$L$4:$L$56,MATCH(C1024,Settings!$K$4:$K$56,0)),"Unknown"))</f>
        <v/>
      </c>
      <c r="I1024" s="8" t="str">
        <f t="shared" si="45"/>
        <v/>
      </c>
      <c r="J1024" s="8" t="str">
        <f t="shared" si="46"/>
        <v/>
      </c>
      <c r="K1024" s="24"/>
      <c r="L1024" s="7" t="str">
        <f t="shared" si="47"/>
        <v/>
      </c>
    </row>
    <row r="1025" spans="1:12" x14ac:dyDescent="0.25">
      <c r="A1025" s="23"/>
      <c r="B1025" s="24"/>
      <c r="C1025" s="24"/>
      <c r="D1025" s="24"/>
      <c r="E1025" s="24"/>
      <c r="F1025" s="24"/>
      <c r="G1025" s="25"/>
      <c r="H1025" s="16" t="str">
        <f>IF(C1025="","",IFERROR(INDEX(Settings!$L$4:$L$56,MATCH(C1025,Settings!$K$4:$K$56,0)),"Unknown"))</f>
        <v/>
      </c>
      <c r="I1025" s="8" t="str">
        <f t="shared" si="45"/>
        <v/>
      </c>
      <c r="J1025" s="8" t="str">
        <f t="shared" si="46"/>
        <v/>
      </c>
      <c r="K1025" s="24"/>
      <c r="L1025" s="7" t="str">
        <f t="shared" si="47"/>
        <v/>
      </c>
    </row>
    <row r="1026" spans="1:12" x14ac:dyDescent="0.25">
      <c r="A1026" s="23"/>
      <c r="B1026" s="24"/>
      <c r="C1026" s="24"/>
      <c r="D1026" s="24"/>
      <c r="E1026" s="24"/>
      <c r="F1026" s="24"/>
      <c r="G1026" s="25"/>
      <c r="H1026" s="16" t="str">
        <f>IF(C1026="","",IFERROR(INDEX(Settings!$L$4:$L$56,MATCH(C1026,Settings!$K$4:$K$56,0)),"Unknown"))</f>
        <v/>
      </c>
      <c r="I1026" s="8" t="str">
        <f t="shared" si="45"/>
        <v/>
      </c>
      <c r="J1026" s="8" t="str">
        <f t="shared" si="46"/>
        <v/>
      </c>
      <c r="K1026" s="24"/>
      <c r="L1026" s="7" t="str">
        <f t="shared" si="47"/>
        <v/>
      </c>
    </row>
    <row r="1027" spans="1:12" x14ac:dyDescent="0.25">
      <c r="A1027" s="23"/>
      <c r="B1027" s="24"/>
      <c r="C1027" s="24"/>
      <c r="D1027" s="24"/>
      <c r="E1027" s="24"/>
      <c r="F1027" s="24"/>
      <c r="G1027" s="25"/>
      <c r="H1027" s="16" t="str">
        <f>IF(C1027="","",IFERROR(INDEX(Settings!$L$4:$L$56,MATCH(C1027,Settings!$K$4:$K$56,0)),"Unknown"))</f>
        <v/>
      </c>
      <c r="I1027" s="8" t="str">
        <f t="shared" si="45"/>
        <v/>
      </c>
      <c r="J1027" s="8" t="str">
        <f t="shared" si="46"/>
        <v/>
      </c>
      <c r="K1027" s="24"/>
      <c r="L1027" s="7" t="str">
        <f t="shared" si="47"/>
        <v/>
      </c>
    </row>
    <row r="1028" spans="1:12" x14ac:dyDescent="0.25">
      <c r="A1028" s="23"/>
      <c r="B1028" s="24"/>
      <c r="C1028" s="24"/>
      <c r="D1028" s="24"/>
      <c r="E1028" s="24"/>
      <c r="F1028" s="24"/>
      <c r="G1028" s="25"/>
      <c r="H1028" s="16" t="str">
        <f>IF(C1028="","",IFERROR(INDEX(Settings!$L$4:$L$56,MATCH(C1028,Settings!$K$4:$K$56,0)),"Unknown"))</f>
        <v/>
      </c>
      <c r="I1028" s="8" t="str">
        <f t="shared" si="45"/>
        <v/>
      </c>
      <c r="J1028" s="8" t="str">
        <f t="shared" si="46"/>
        <v/>
      </c>
      <c r="K1028" s="24"/>
      <c r="L1028" s="7" t="str">
        <f t="shared" si="47"/>
        <v/>
      </c>
    </row>
    <row r="1029" spans="1:12" x14ac:dyDescent="0.25">
      <c r="A1029" s="23"/>
      <c r="B1029" s="24"/>
      <c r="C1029" s="24"/>
      <c r="D1029" s="24"/>
      <c r="E1029" s="24"/>
      <c r="F1029" s="24"/>
      <c r="G1029" s="25"/>
      <c r="H1029" s="16" t="str">
        <f>IF(C1029="","",IFERROR(INDEX(Settings!$L$4:$L$56,MATCH(C1029,Settings!$K$4:$K$56,0)),"Unknown"))</f>
        <v/>
      </c>
      <c r="I1029" s="8" t="str">
        <f t="shared" si="45"/>
        <v/>
      </c>
      <c r="J1029" s="8" t="str">
        <f t="shared" si="46"/>
        <v/>
      </c>
      <c r="K1029" s="24"/>
      <c r="L1029" s="7" t="str">
        <f t="shared" si="47"/>
        <v/>
      </c>
    </row>
    <row r="1030" spans="1:12" x14ac:dyDescent="0.25">
      <c r="A1030" s="23"/>
      <c r="B1030" s="24"/>
      <c r="C1030" s="24"/>
      <c r="D1030" s="24"/>
      <c r="E1030" s="24"/>
      <c r="F1030" s="24"/>
      <c r="G1030" s="25"/>
      <c r="H1030" s="16" t="str">
        <f>IF(C1030="","",IFERROR(INDEX(Settings!$L$4:$L$56,MATCH(C1030,Settings!$K$4:$K$56,0)),"Unknown"))</f>
        <v/>
      </c>
      <c r="I1030" s="8" t="str">
        <f t="shared" ref="I1030:I1093" si="48">IF(A1030="","",MONTH(A1030))</f>
        <v/>
      </c>
      <c r="J1030" s="8" t="str">
        <f t="shared" ref="J1030:J1093" si="49">IF(A1030="","",YEAR(A1030))</f>
        <v/>
      </c>
      <c r="K1030" s="24"/>
      <c r="L1030" s="7" t="str">
        <f t="shared" ref="L1030:L1093" si="50">IF(OR(B1030="",C1030=""),"",IF(AND(B1030="Income",H1030&lt;&gt;"Income"),"Category is not an Income category",IF(AND(B1030="Expense",H1030="Income"),"Category is an Income category","OK")))</f>
        <v/>
      </c>
    </row>
    <row r="1031" spans="1:12" x14ac:dyDescent="0.25">
      <c r="A1031" s="23"/>
      <c r="B1031" s="24"/>
      <c r="C1031" s="24"/>
      <c r="D1031" s="24"/>
      <c r="E1031" s="24"/>
      <c r="F1031" s="24"/>
      <c r="G1031" s="25"/>
      <c r="H1031" s="16" t="str">
        <f>IF(C1031="","",IFERROR(INDEX(Settings!$L$4:$L$56,MATCH(C1031,Settings!$K$4:$K$56,0)),"Unknown"))</f>
        <v/>
      </c>
      <c r="I1031" s="8" t="str">
        <f t="shared" si="48"/>
        <v/>
      </c>
      <c r="J1031" s="8" t="str">
        <f t="shared" si="49"/>
        <v/>
      </c>
      <c r="K1031" s="24"/>
      <c r="L1031" s="7" t="str">
        <f t="shared" si="50"/>
        <v/>
      </c>
    </row>
    <row r="1032" spans="1:12" x14ac:dyDescent="0.25">
      <c r="A1032" s="23"/>
      <c r="B1032" s="24"/>
      <c r="C1032" s="24"/>
      <c r="D1032" s="24"/>
      <c r="E1032" s="24"/>
      <c r="F1032" s="24"/>
      <c r="G1032" s="25"/>
      <c r="H1032" s="16" t="str">
        <f>IF(C1032="","",IFERROR(INDEX(Settings!$L$4:$L$56,MATCH(C1032,Settings!$K$4:$K$56,0)),"Unknown"))</f>
        <v/>
      </c>
      <c r="I1032" s="8" t="str">
        <f t="shared" si="48"/>
        <v/>
      </c>
      <c r="J1032" s="8" t="str">
        <f t="shared" si="49"/>
        <v/>
      </c>
      <c r="K1032" s="24"/>
      <c r="L1032" s="7" t="str">
        <f t="shared" si="50"/>
        <v/>
      </c>
    </row>
    <row r="1033" spans="1:12" x14ac:dyDescent="0.25">
      <c r="A1033" s="23"/>
      <c r="B1033" s="24"/>
      <c r="C1033" s="24"/>
      <c r="D1033" s="24"/>
      <c r="E1033" s="24"/>
      <c r="F1033" s="24"/>
      <c r="G1033" s="25"/>
      <c r="H1033" s="16" t="str">
        <f>IF(C1033="","",IFERROR(INDEX(Settings!$L$4:$L$56,MATCH(C1033,Settings!$K$4:$K$56,0)),"Unknown"))</f>
        <v/>
      </c>
      <c r="I1033" s="8" t="str">
        <f t="shared" si="48"/>
        <v/>
      </c>
      <c r="J1033" s="8" t="str">
        <f t="shared" si="49"/>
        <v/>
      </c>
      <c r="K1033" s="24"/>
      <c r="L1033" s="7" t="str">
        <f t="shared" si="50"/>
        <v/>
      </c>
    </row>
    <row r="1034" spans="1:12" x14ac:dyDescent="0.25">
      <c r="A1034" s="23"/>
      <c r="B1034" s="24"/>
      <c r="C1034" s="24"/>
      <c r="D1034" s="24"/>
      <c r="E1034" s="24"/>
      <c r="F1034" s="24"/>
      <c r="G1034" s="25"/>
      <c r="H1034" s="16" t="str">
        <f>IF(C1034="","",IFERROR(INDEX(Settings!$L$4:$L$56,MATCH(C1034,Settings!$K$4:$K$56,0)),"Unknown"))</f>
        <v/>
      </c>
      <c r="I1034" s="8" t="str">
        <f t="shared" si="48"/>
        <v/>
      </c>
      <c r="J1034" s="8" t="str">
        <f t="shared" si="49"/>
        <v/>
      </c>
      <c r="K1034" s="24"/>
      <c r="L1034" s="7" t="str">
        <f t="shared" si="50"/>
        <v/>
      </c>
    </row>
    <row r="1035" spans="1:12" x14ac:dyDescent="0.25">
      <c r="A1035" s="23"/>
      <c r="B1035" s="24"/>
      <c r="C1035" s="24"/>
      <c r="D1035" s="24"/>
      <c r="E1035" s="24"/>
      <c r="F1035" s="24"/>
      <c r="G1035" s="25"/>
      <c r="H1035" s="16" t="str">
        <f>IF(C1035="","",IFERROR(INDEX(Settings!$L$4:$L$56,MATCH(C1035,Settings!$K$4:$K$56,0)),"Unknown"))</f>
        <v/>
      </c>
      <c r="I1035" s="8" t="str">
        <f t="shared" si="48"/>
        <v/>
      </c>
      <c r="J1035" s="8" t="str">
        <f t="shared" si="49"/>
        <v/>
      </c>
      <c r="K1035" s="24"/>
      <c r="L1035" s="7" t="str">
        <f t="shared" si="50"/>
        <v/>
      </c>
    </row>
    <row r="1036" spans="1:12" x14ac:dyDescent="0.25">
      <c r="A1036" s="23"/>
      <c r="B1036" s="24"/>
      <c r="C1036" s="24"/>
      <c r="D1036" s="24"/>
      <c r="E1036" s="24"/>
      <c r="F1036" s="24"/>
      <c r="G1036" s="25"/>
      <c r="H1036" s="16" t="str">
        <f>IF(C1036="","",IFERROR(INDEX(Settings!$L$4:$L$56,MATCH(C1036,Settings!$K$4:$K$56,0)),"Unknown"))</f>
        <v/>
      </c>
      <c r="I1036" s="8" t="str">
        <f t="shared" si="48"/>
        <v/>
      </c>
      <c r="J1036" s="8" t="str">
        <f t="shared" si="49"/>
        <v/>
      </c>
      <c r="K1036" s="24"/>
      <c r="L1036" s="7" t="str">
        <f t="shared" si="50"/>
        <v/>
      </c>
    </row>
    <row r="1037" spans="1:12" x14ac:dyDescent="0.25">
      <c r="A1037" s="23"/>
      <c r="B1037" s="24"/>
      <c r="C1037" s="24"/>
      <c r="D1037" s="24"/>
      <c r="E1037" s="24"/>
      <c r="F1037" s="24"/>
      <c r="G1037" s="25"/>
      <c r="H1037" s="16" t="str">
        <f>IF(C1037="","",IFERROR(INDEX(Settings!$L$4:$L$56,MATCH(C1037,Settings!$K$4:$K$56,0)),"Unknown"))</f>
        <v/>
      </c>
      <c r="I1037" s="8" t="str">
        <f t="shared" si="48"/>
        <v/>
      </c>
      <c r="J1037" s="8" t="str">
        <f t="shared" si="49"/>
        <v/>
      </c>
      <c r="K1037" s="24"/>
      <c r="L1037" s="7" t="str">
        <f t="shared" si="50"/>
        <v/>
      </c>
    </row>
    <row r="1038" spans="1:12" x14ac:dyDescent="0.25">
      <c r="A1038" s="23"/>
      <c r="B1038" s="24"/>
      <c r="C1038" s="24"/>
      <c r="D1038" s="24"/>
      <c r="E1038" s="24"/>
      <c r="F1038" s="24"/>
      <c r="G1038" s="25"/>
      <c r="H1038" s="16" t="str">
        <f>IF(C1038="","",IFERROR(INDEX(Settings!$L$4:$L$56,MATCH(C1038,Settings!$K$4:$K$56,0)),"Unknown"))</f>
        <v/>
      </c>
      <c r="I1038" s="8" t="str">
        <f t="shared" si="48"/>
        <v/>
      </c>
      <c r="J1038" s="8" t="str">
        <f t="shared" si="49"/>
        <v/>
      </c>
      <c r="K1038" s="24"/>
      <c r="L1038" s="7" t="str">
        <f t="shared" si="50"/>
        <v/>
      </c>
    </row>
    <row r="1039" spans="1:12" x14ac:dyDescent="0.25">
      <c r="A1039" s="23"/>
      <c r="B1039" s="24"/>
      <c r="C1039" s="24"/>
      <c r="D1039" s="24"/>
      <c r="E1039" s="24"/>
      <c r="F1039" s="24"/>
      <c r="G1039" s="25"/>
      <c r="H1039" s="16" t="str">
        <f>IF(C1039="","",IFERROR(INDEX(Settings!$L$4:$L$56,MATCH(C1039,Settings!$K$4:$K$56,0)),"Unknown"))</f>
        <v/>
      </c>
      <c r="I1039" s="8" t="str">
        <f t="shared" si="48"/>
        <v/>
      </c>
      <c r="J1039" s="8" t="str">
        <f t="shared" si="49"/>
        <v/>
      </c>
      <c r="K1039" s="24"/>
      <c r="L1039" s="7" t="str">
        <f t="shared" si="50"/>
        <v/>
      </c>
    </row>
    <row r="1040" spans="1:12" x14ac:dyDescent="0.25">
      <c r="A1040" s="23"/>
      <c r="B1040" s="24"/>
      <c r="C1040" s="24"/>
      <c r="D1040" s="24"/>
      <c r="E1040" s="24"/>
      <c r="F1040" s="24"/>
      <c r="G1040" s="25"/>
      <c r="H1040" s="16" t="str">
        <f>IF(C1040="","",IFERROR(INDEX(Settings!$L$4:$L$56,MATCH(C1040,Settings!$K$4:$K$56,0)),"Unknown"))</f>
        <v/>
      </c>
      <c r="I1040" s="8" t="str">
        <f t="shared" si="48"/>
        <v/>
      </c>
      <c r="J1040" s="8" t="str">
        <f t="shared" si="49"/>
        <v/>
      </c>
      <c r="K1040" s="24"/>
      <c r="L1040" s="7" t="str">
        <f t="shared" si="50"/>
        <v/>
      </c>
    </row>
    <row r="1041" spans="1:12" x14ac:dyDescent="0.25">
      <c r="A1041" s="23"/>
      <c r="B1041" s="24"/>
      <c r="C1041" s="24"/>
      <c r="D1041" s="24"/>
      <c r="E1041" s="24"/>
      <c r="F1041" s="24"/>
      <c r="G1041" s="25"/>
      <c r="H1041" s="16" t="str">
        <f>IF(C1041="","",IFERROR(INDEX(Settings!$L$4:$L$56,MATCH(C1041,Settings!$K$4:$K$56,0)),"Unknown"))</f>
        <v/>
      </c>
      <c r="I1041" s="8" t="str">
        <f t="shared" si="48"/>
        <v/>
      </c>
      <c r="J1041" s="8" t="str">
        <f t="shared" si="49"/>
        <v/>
      </c>
      <c r="K1041" s="24"/>
      <c r="L1041" s="7" t="str">
        <f t="shared" si="50"/>
        <v/>
      </c>
    </row>
    <row r="1042" spans="1:12" x14ac:dyDescent="0.25">
      <c r="A1042" s="23"/>
      <c r="B1042" s="24"/>
      <c r="C1042" s="24"/>
      <c r="D1042" s="24"/>
      <c r="E1042" s="24"/>
      <c r="F1042" s="24"/>
      <c r="G1042" s="25"/>
      <c r="H1042" s="16" t="str">
        <f>IF(C1042="","",IFERROR(INDEX(Settings!$L$4:$L$56,MATCH(C1042,Settings!$K$4:$K$56,0)),"Unknown"))</f>
        <v/>
      </c>
      <c r="I1042" s="8" t="str">
        <f t="shared" si="48"/>
        <v/>
      </c>
      <c r="J1042" s="8" t="str">
        <f t="shared" si="49"/>
        <v/>
      </c>
      <c r="K1042" s="24"/>
      <c r="L1042" s="7" t="str">
        <f t="shared" si="50"/>
        <v/>
      </c>
    </row>
    <row r="1043" spans="1:12" x14ac:dyDescent="0.25">
      <c r="A1043" s="23"/>
      <c r="B1043" s="24"/>
      <c r="C1043" s="24"/>
      <c r="D1043" s="24"/>
      <c r="E1043" s="24"/>
      <c r="F1043" s="24"/>
      <c r="G1043" s="25"/>
      <c r="H1043" s="16" t="str">
        <f>IF(C1043="","",IFERROR(INDEX(Settings!$L$4:$L$56,MATCH(C1043,Settings!$K$4:$K$56,0)),"Unknown"))</f>
        <v/>
      </c>
      <c r="I1043" s="8" t="str">
        <f t="shared" si="48"/>
        <v/>
      </c>
      <c r="J1043" s="8" t="str">
        <f t="shared" si="49"/>
        <v/>
      </c>
      <c r="K1043" s="24"/>
      <c r="L1043" s="7" t="str">
        <f t="shared" si="50"/>
        <v/>
      </c>
    </row>
    <row r="1044" spans="1:12" x14ac:dyDescent="0.25">
      <c r="A1044" s="23"/>
      <c r="B1044" s="24"/>
      <c r="C1044" s="24"/>
      <c r="D1044" s="24"/>
      <c r="E1044" s="24"/>
      <c r="F1044" s="24"/>
      <c r="G1044" s="25"/>
      <c r="H1044" s="16" t="str">
        <f>IF(C1044="","",IFERROR(INDEX(Settings!$L$4:$L$56,MATCH(C1044,Settings!$K$4:$K$56,0)),"Unknown"))</f>
        <v/>
      </c>
      <c r="I1044" s="8" t="str">
        <f t="shared" si="48"/>
        <v/>
      </c>
      <c r="J1044" s="8" t="str">
        <f t="shared" si="49"/>
        <v/>
      </c>
      <c r="K1044" s="24"/>
      <c r="L1044" s="7" t="str">
        <f t="shared" si="50"/>
        <v/>
      </c>
    </row>
    <row r="1045" spans="1:12" x14ac:dyDescent="0.25">
      <c r="A1045" s="23"/>
      <c r="B1045" s="24"/>
      <c r="C1045" s="24"/>
      <c r="D1045" s="24"/>
      <c r="E1045" s="24"/>
      <c r="F1045" s="24"/>
      <c r="G1045" s="25"/>
      <c r="H1045" s="16" t="str">
        <f>IF(C1045="","",IFERROR(INDEX(Settings!$L$4:$L$56,MATCH(C1045,Settings!$K$4:$K$56,0)),"Unknown"))</f>
        <v/>
      </c>
      <c r="I1045" s="8" t="str">
        <f t="shared" si="48"/>
        <v/>
      </c>
      <c r="J1045" s="8" t="str">
        <f t="shared" si="49"/>
        <v/>
      </c>
      <c r="K1045" s="24"/>
      <c r="L1045" s="7" t="str">
        <f t="shared" si="50"/>
        <v/>
      </c>
    </row>
    <row r="1046" spans="1:12" x14ac:dyDescent="0.25">
      <c r="A1046" s="23"/>
      <c r="B1046" s="24"/>
      <c r="C1046" s="24"/>
      <c r="D1046" s="24"/>
      <c r="E1046" s="24"/>
      <c r="F1046" s="24"/>
      <c r="G1046" s="25"/>
      <c r="H1046" s="16" t="str">
        <f>IF(C1046="","",IFERROR(INDEX(Settings!$L$4:$L$56,MATCH(C1046,Settings!$K$4:$K$56,0)),"Unknown"))</f>
        <v/>
      </c>
      <c r="I1046" s="8" t="str">
        <f t="shared" si="48"/>
        <v/>
      </c>
      <c r="J1046" s="8" t="str">
        <f t="shared" si="49"/>
        <v/>
      </c>
      <c r="K1046" s="24"/>
      <c r="L1046" s="7" t="str">
        <f t="shared" si="50"/>
        <v/>
      </c>
    </row>
    <row r="1047" spans="1:12" x14ac:dyDescent="0.25">
      <c r="A1047" s="23"/>
      <c r="B1047" s="24"/>
      <c r="C1047" s="24"/>
      <c r="D1047" s="24"/>
      <c r="E1047" s="24"/>
      <c r="F1047" s="24"/>
      <c r="G1047" s="25"/>
      <c r="H1047" s="16" t="str">
        <f>IF(C1047="","",IFERROR(INDEX(Settings!$L$4:$L$56,MATCH(C1047,Settings!$K$4:$K$56,0)),"Unknown"))</f>
        <v/>
      </c>
      <c r="I1047" s="8" t="str">
        <f t="shared" si="48"/>
        <v/>
      </c>
      <c r="J1047" s="8" t="str">
        <f t="shared" si="49"/>
        <v/>
      </c>
      <c r="K1047" s="24"/>
      <c r="L1047" s="7" t="str">
        <f t="shared" si="50"/>
        <v/>
      </c>
    </row>
    <row r="1048" spans="1:12" x14ac:dyDescent="0.25">
      <c r="A1048" s="23"/>
      <c r="B1048" s="24"/>
      <c r="C1048" s="24"/>
      <c r="D1048" s="24"/>
      <c r="E1048" s="24"/>
      <c r="F1048" s="24"/>
      <c r="G1048" s="25"/>
      <c r="H1048" s="16" t="str">
        <f>IF(C1048="","",IFERROR(INDEX(Settings!$L$4:$L$56,MATCH(C1048,Settings!$K$4:$K$56,0)),"Unknown"))</f>
        <v/>
      </c>
      <c r="I1048" s="8" t="str">
        <f t="shared" si="48"/>
        <v/>
      </c>
      <c r="J1048" s="8" t="str">
        <f t="shared" si="49"/>
        <v/>
      </c>
      <c r="K1048" s="24"/>
      <c r="L1048" s="7" t="str">
        <f t="shared" si="50"/>
        <v/>
      </c>
    </row>
    <row r="1049" spans="1:12" x14ac:dyDescent="0.25">
      <c r="A1049" s="23"/>
      <c r="B1049" s="24"/>
      <c r="C1049" s="24"/>
      <c r="D1049" s="24"/>
      <c r="E1049" s="24"/>
      <c r="F1049" s="24"/>
      <c r="G1049" s="25"/>
      <c r="H1049" s="16" t="str">
        <f>IF(C1049="","",IFERROR(INDEX(Settings!$L$4:$L$56,MATCH(C1049,Settings!$K$4:$K$56,0)),"Unknown"))</f>
        <v/>
      </c>
      <c r="I1049" s="8" t="str">
        <f t="shared" si="48"/>
        <v/>
      </c>
      <c r="J1049" s="8" t="str">
        <f t="shared" si="49"/>
        <v/>
      </c>
      <c r="K1049" s="24"/>
      <c r="L1049" s="7" t="str">
        <f t="shared" si="50"/>
        <v/>
      </c>
    </row>
    <row r="1050" spans="1:12" x14ac:dyDescent="0.25">
      <c r="A1050" s="23"/>
      <c r="B1050" s="24"/>
      <c r="C1050" s="24"/>
      <c r="D1050" s="24"/>
      <c r="E1050" s="24"/>
      <c r="F1050" s="24"/>
      <c r="G1050" s="25"/>
      <c r="H1050" s="16" t="str">
        <f>IF(C1050="","",IFERROR(INDEX(Settings!$L$4:$L$56,MATCH(C1050,Settings!$K$4:$K$56,0)),"Unknown"))</f>
        <v/>
      </c>
      <c r="I1050" s="8" t="str">
        <f t="shared" si="48"/>
        <v/>
      </c>
      <c r="J1050" s="8" t="str">
        <f t="shared" si="49"/>
        <v/>
      </c>
      <c r="K1050" s="24"/>
      <c r="L1050" s="7" t="str">
        <f t="shared" si="50"/>
        <v/>
      </c>
    </row>
    <row r="1051" spans="1:12" x14ac:dyDescent="0.25">
      <c r="A1051" s="23"/>
      <c r="B1051" s="24"/>
      <c r="C1051" s="24"/>
      <c r="D1051" s="24"/>
      <c r="E1051" s="24"/>
      <c r="F1051" s="24"/>
      <c r="G1051" s="25"/>
      <c r="H1051" s="16" t="str">
        <f>IF(C1051="","",IFERROR(INDEX(Settings!$L$4:$L$56,MATCH(C1051,Settings!$K$4:$K$56,0)),"Unknown"))</f>
        <v/>
      </c>
      <c r="I1051" s="8" t="str">
        <f t="shared" si="48"/>
        <v/>
      </c>
      <c r="J1051" s="8" t="str">
        <f t="shared" si="49"/>
        <v/>
      </c>
      <c r="K1051" s="24"/>
      <c r="L1051" s="7" t="str">
        <f t="shared" si="50"/>
        <v/>
      </c>
    </row>
    <row r="1052" spans="1:12" x14ac:dyDescent="0.25">
      <c r="A1052" s="23"/>
      <c r="B1052" s="24"/>
      <c r="C1052" s="24"/>
      <c r="D1052" s="24"/>
      <c r="E1052" s="24"/>
      <c r="F1052" s="24"/>
      <c r="G1052" s="25"/>
      <c r="H1052" s="16" t="str">
        <f>IF(C1052="","",IFERROR(INDEX(Settings!$L$4:$L$56,MATCH(C1052,Settings!$K$4:$K$56,0)),"Unknown"))</f>
        <v/>
      </c>
      <c r="I1052" s="8" t="str">
        <f t="shared" si="48"/>
        <v/>
      </c>
      <c r="J1052" s="8" t="str">
        <f t="shared" si="49"/>
        <v/>
      </c>
      <c r="K1052" s="24"/>
      <c r="L1052" s="7" t="str">
        <f t="shared" si="50"/>
        <v/>
      </c>
    </row>
    <row r="1053" spans="1:12" x14ac:dyDescent="0.25">
      <c r="A1053" s="23"/>
      <c r="B1053" s="24"/>
      <c r="C1053" s="24"/>
      <c r="D1053" s="24"/>
      <c r="E1053" s="24"/>
      <c r="F1053" s="24"/>
      <c r="G1053" s="25"/>
      <c r="H1053" s="16" t="str">
        <f>IF(C1053="","",IFERROR(INDEX(Settings!$L$4:$L$56,MATCH(C1053,Settings!$K$4:$K$56,0)),"Unknown"))</f>
        <v/>
      </c>
      <c r="I1053" s="8" t="str">
        <f t="shared" si="48"/>
        <v/>
      </c>
      <c r="J1053" s="8" t="str">
        <f t="shared" si="49"/>
        <v/>
      </c>
      <c r="K1053" s="24"/>
      <c r="L1053" s="7" t="str">
        <f t="shared" si="50"/>
        <v/>
      </c>
    </row>
    <row r="1054" spans="1:12" x14ac:dyDescent="0.25">
      <c r="A1054" s="23"/>
      <c r="B1054" s="24"/>
      <c r="C1054" s="24"/>
      <c r="D1054" s="24"/>
      <c r="E1054" s="24"/>
      <c r="F1054" s="24"/>
      <c r="G1054" s="25"/>
      <c r="H1054" s="16" t="str">
        <f>IF(C1054="","",IFERROR(INDEX(Settings!$L$4:$L$56,MATCH(C1054,Settings!$K$4:$K$56,0)),"Unknown"))</f>
        <v/>
      </c>
      <c r="I1054" s="8" t="str">
        <f t="shared" si="48"/>
        <v/>
      </c>
      <c r="J1054" s="8" t="str">
        <f t="shared" si="49"/>
        <v/>
      </c>
      <c r="K1054" s="24"/>
      <c r="L1054" s="7" t="str">
        <f t="shared" si="50"/>
        <v/>
      </c>
    </row>
    <row r="1055" spans="1:12" x14ac:dyDescent="0.25">
      <c r="A1055" s="23"/>
      <c r="B1055" s="24"/>
      <c r="C1055" s="24"/>
      <c r="D1055" s="24"/>
      <c r="E1055" s="24"/>
      <c r="F1055" s="24"/>
      <c r="G1055" s="25"/>
      <c r="H1055" s="16" t="str">
        <f>IF(C1055="","",IFERROR(INDEX(Settings!$L$4:$L$56,MATCH(C1055,Settings!$K$4:$K$56,0)),"Unknown"))</f>
        <v/>
      </c>
      <c r="I1055" s="8" t="str">
        <f t="shared" si="48"/>
        <v/>
      </c>
      <c r="J1055" s="8" t="str">
        <f t="shared" si="49"/>
        <v/>
      </c>
      <c r="K1055" s="24"/>
      <c r="L1055" s="7" t="str">
        <f t="shared" si="50"/>
        <v/>
      </c>
    </row>
    <row r="1056" spans="1:12" x14ac:dyDescent="0.25">
      <c r="A1056" s="23"/>
      <c r="B1056" s="24"/>
      <c r="C1056" s="24"/>
      <c r="D1056" s="24"/>
      <c r="E1056" s="24"/>
      <c r="F1056" s="24"/>
      <c r="G1056" s="25"/>
      <c r="H1056" s="16" t="str">
        <f>IF(C1056="","",IFERROR(INDEX(Settings!$L$4:$L$56,MATCH(C1056,Settings!$K$4:$K$56,0)),"Unknown"))</f>
        <v/>
      </c>
      <c r="I1056" s="8" t="str">
        <f t="shared" si="48"/>
        <v/>
      </c>
      <c r="J1056" s="8" t="str">
        <f t="shared" si="49"/>
        <v/>
      </c>
      <c r="K1056" s="24"/>
      <c r="L1056" s="7" t="str">
        <f t="shared" si="50"/>
        <v/>
      </c>
    </row>
    <row r="1057" spans="1:12" x14ac:dyDescent="0.25">
      <c r="A1057" s="23"/>
      <c r="B1057" s="24"/>
      <c r="C1057" s="24"/>
      <c r="D1057" s="24"/>
      <c r="E1057" s="24"/>
      <c r="F1057" s="24"/>
      <c r="G1057" s="25"/>
      <c r="H1057" s="16" t="str">
        <f>IF(C1057="","",IFERROR(INDEX(Settings!$L$4:$L$56,MATCH(C1057,Settings!$K$4:$K$56,0)),"Unknown"))</f>
        <v/>
      </c>
      <c r="I1057" s="8" t="str">
        <f t="shared" si="48"/>
        <v/>
      </c>
      <c r="J1057" s="8" t="str">
        <f t="shared" si="49"/>
        <v/>
      </c>
      <c r="K1057" s="24"/>
      <c r="L1057" s="7" t="str">
        <f t="shared" si="50"/>
        <v/>
      </c>
    </row>
    <row r="1058" spans="1:12" x14ac:dyDescent="0.25">
      <c r="A1058" s="23"/>
      <c r="B1058" s="24"/>
      <c r="C1058" s="24"/>
      <c r="D1058" s="24"/>
      <c r="E1058" s="24"/>
      <c r="F1058" s="24"/>
      <c r="G1058" s="25"/>
      <c r="H1058" s="16" t="str">
        <f>IF(C1058="","",IFERROR(INDEX(Settings!$L$4:$L$56,MATCH(C1058,Settings!$K$4:$K$56,0)),"Unknown"))</f>
        <v/>
      </c>
      <c r="I1058" s="8" t="str">
        <f t="shared" si="48"/>
        <v/>
      </c>
      <c r="J1058" s="8" t="str">
        <f t="shared" si="49"/>
        <v/>
      </c>
      <c r="K1058" s="24"/>
      <c r="L1058" s="7" t="str">
        <f t="shared" si="50"/>
        <v/>
      </c>
    </row>
    <row r="1059" spans="1:12" x14ac:dyDescent="0.25">
      <c r="A1059" s="23"/>
      <c r="B1059" s="24"/>
      <c r="C1059" s="24"/>
      <c r="D1059" s="24"/>
      <c r="E1059" s="24"/>
      <c r="F1059" s="24"/>
      <c r="G1059" s="25"/>
      <c r="H1059" s="16" t="str">
        <f>IF(C1059="","",IFERROR(INDEX(Settings!$L$4:$L$56,MATCH(C1059,Settings!$K$4:$K$56,0)),"Unknown"))</f>
        <v/>
      </c>
      <c r="I1059" s="8" t="str">
        <f t="shared" si="48"/>
        <v/>
      </c>
      <c r="J1059" s="8" t="str">
        <f t="shared" si="49"/>
        <v/>
      </c>
      <c r="K1059" s="24"/>
      <c r="L1059" s="7" t="str">
        <f t="shared" si="50"/>
        <v/>
      </c>
    </row>
    <row r="1060" spans="1:12" x14ac:dyDescent="0.25">
      <c r="A1060" s="23"/>
      <c r="B1060" s="24"/>
      <c r="C1060" s="24"/>
      <c r="D1060" s="24"/>
      <c r="E1060" s="24"/>
      <c r="F1060" s="24"/>
      <c r="G1060" s="25"/>
      <c r="H1060" s="16" t="str">
        <f>IF(C1060="","",IFERROR(INDEX(Settings!$L$4:$L$56,MATCH(C1060,Settings!$K$4:$K$56,0)),"Unknown"))</f>
        <v/>
      </c>
      <c r="I1060" s="8" t="str">
        <f t="shared" si="48"/>
        <v/>
      </c>
      <c r="J1060" s="8" t="str">
        <f t="shared" si="49"/>
        <v/>
      </c>
      <c r="K1060" s="24"/>
      <c r="L1060" s="7" t="str">
        <f t="shared" si="50"/>
        <v/>
      </c>
    </row>
    <row r="1061" spans="1:12" x14ac:dyDescent="0.25">
      <c r="A1061" s="23"/>
      <c r="B1061" s="24"/>
      <c r="C1061" s="24"/>
      <c r="D1061" s="24"/>
      <c r="E1061" s="24"/>
      <c r="F1061" s="24"/>
      <c r="G1061" s="25"/>
      <c r="H1061" s="16" t="str">
        <f>IF(C1061="","",IFERROR(INDEX(Settings!$L$4:$L$56,MATCH(C1061,Settings!$K$4:$K$56,0)),"Unknown"))</f>
        <v/>
      </c>
      <c r="I1061" s="8" t="str">
        <f t="shared" si="48"/>
        <v/>
      </c>
      <c r="J1061" s="8" t="str">
        <f t="shared" si="49"/>
        <v/>
      </c>
      <c r="K1061" s="24"/>
      <c r="L1061" s="7" t="str">
        <f t="shared" si="50"/>
        <v/>
      </c>
    </row>
    <row r="1062" spans="1:12" x14ac:dyDescent="0.25">
      <c r="A1062" s="23"/>
      <c r="B1062" s="24"/>
      <c r="C1062" s="24"/>
      <c r="D1062" s="24"/>
      <c r="E1062" s="24"/>
      <c r="F1062" s="24"/>
      <c r="G1062" s="25"/>
      <c r="H1062" s="16" t="str">
        <f>IF(C1062="","",IFERROR(INDEX(Settings!$L$4:$L$56,MATCH(C1062,Settings!$K$4:$K$56,0)),"Unknown"))</f>
        <v/>
      </c>
      <c r="I1062" s="8" t="str">
        <f t="shared" si="48"/>
        <v/>
      </c>
      <c r="J1062" s="8" t="str">
        <f t="shared" si="49"/>
        <v/>
      </c>
      <c r="K1062" s="24"/>
      <c r="L1062" s="7" t="str">
        <f t="shared" si="50"/>
        <v/>
      </c>
    </row>
    <row r="1063" spans="1:12" x14ac:dyDescent="0.25">
      <c r="A1063" s="23"/>
      <c r="B1063" s="24"/>
      <c r="C1063" s="24"/>
      <c r="D1063" s="24"/>
      <c r="E1063" s="24"/>
      <c r="F1063" s="24"/>
      <c r="G1063" s="25"/>
      <c r="H1063" s="16" t="str">
        <f>IF(C1063="","",IFERROR(INDEX(Settings!$L$4:$L$56,MATCH(C1063,Settings!$K$4:$K$56,0)),"Unknown"))</f>
        <v/>
      </c>
      <c r="I1063" s="8" t="str">
        <f t="shared" si="48"/>
        <v/>
      </c>
      <c r="J1063" s="8" t="str">
        <f t="shared" si="49"/>
        <v/>
      </c>
      <c r="K1063" s="24"/>
      <c r="L1063" s="7" t="str">
        <f t="shared" si="50"/>
        <v/>
      </c>
    </row>
    <row r="1064" spans="1:12" x14ac:dyDescent="0.25">
      <c r="A1064" s="23"/>
      <c r="B1064" s="24"/>
      <c r="C1064" s="24"/>
      <c r="D1064" s="24"/>
      <c r="E1064" s="24"/>
      <c r="F1064" s="24"/>
      <c r="G1064" s="25"/>
      <c r="H1064" s="16" t="str">
        <f>IF(C1064="","",IFERROR(INDEX(Settings!$L$4:$L$56,MATCH(C1064,Settings!$K$4:$K$56,0)),"Unknown"))</f>
        <v/>
      </c>
      <c r="I1064" s="8" t="str">
        <f t="shared" si="48"/>
        <v/>
      </c>
      <c r="J1064" s="8" t="str">
        <f t="shared" si="49"/>
        <v/>
      </c>
      <c r="K1064" s="24"/>
      <c r="L1064" s="7" t="str">
        <f t="shared" si="50"/>
        <v/>
      </c>
    </row>
    <row r="1065" spans="1:12" x14ac:dyDescent="0.25">
      <c r="A1065" s="23"/>
      <c r="B1065" s="24"/>
      <c r="C1065" s="24"/>
      <c r="D1065" s="24"/>
      <c r="E1065" s="24"/>
      <c r="F1065" s="24"/>
      <c r="G1065" s="25"/>
      <c r="H1065" s="16" t="str">
        <f>IF(C1065="","",IFERROR(INDEX(Settings!$L$4:$L$56,MATCH(C1065,Settings!$K$4:$K$56,0)),"Unknown"))</f>
        <v/>
      </c>
      <c r="I1065" s="8" t="str">
        <f t="shared" si="48"/>
        <v/>
      </c>
      <c r="J1065" s="8" t="str">
        <f t="shared" si="49"/>
        <v/>
      </c>
      <c r="K1065" s="24"/>
      <c r="L1065" s="7" t="str">
        <f t="shared" si="50"/>
        <v/>
      </c>
    </row>
    <row r="1066" spans="1:12" x14ac:dyDescent="0.25">
      <c r="A1066" s="23"/>
      <c r="B1066" s="24"/>
      <c r="C1066" s="24"/>
      <c r="D1066" s="24"/>
      <c r="E1066" s="24"/>
      <c r="F1066" s="24"/>
      <c r="G1066" s="25"/>
      <c r="H1066" s="16" t="str">
        <f>IF(C1066="","",IFERROR(INDEX(Settings!$L$4:$L$56,MATCH(C1066,Settings!$K$4:$K$56,0)),"Unknown"))</f>
        <v/>
      </c>
      <c r="I1066" s="8" t="str">
        <f t="shared" si="48"/>
        <v/>
      </c>
      <c r="J1066" s="8" t="str">
        <f t="shared" si="49"/>
        <v/>
      </c>
      <c r="K1066" s="24"/>
      <c r="L1066" s="7" t="str">
        <f t="shared" si="50"/>
        <v/>
      </c>
    </row>
    <row r="1067" spans="1:12" x14ac:dyDescent="0.25">
      <c r="A1067" s="23"/>
      <c r="B1067" s="24"/>
      <c r="C1067" s="24"/>
      <c r="D1067" s="24"/>
      <c r="E1067" s="24"/>
      <c r="F1067" s="24"/>
      <c r="G1067" s="25"/>
      <c r="H1067" s="16" t="str">
        <f>IF(C1067="","",IFERROR(INDEX(Settings!$L$4:$L$56,MATCH(C1067,Settings!$K$4:$K$56,0)),"Unknown"))</f>
        <v/>
      </c>
      <c r="I1067" s="8" t="str">
        <f t="shared" si="48"/>
        <v/>
      </c>
      <c r="J1067" s="8" t="str">
        <f t="shared" si="49"/>
        <v/>
      </c>
      <c r="K1067" s="24"/>
      <c r="L1067" s="7" t="str">
        <f t="shared" si="50"/>
        <v/>
      </c>
    </row>
    <row r="1068" spans="1:12" x14ac:dyDescent="0.25">
      <c r="A1068" s="23"/>
      <c r="B1068" s="24"/>
      <c r="C1068" s="24"/>
      <c r="D1068" s="24"/>
      <c r="E1068" s="24"/>
      <c r="F1068" s="24"/>
      <c r="G1068" s="25"/>
      <c r="H1068" s="16" t="str">
        <f>IF(C1068="","",IFERROR(INDEX(Settings!$L$4:$L$56,MATCH(C1068,Settings!$K$4:$K$56,0)),"Unknown"))</f>
        <v/>
      </c>
      <c r="I1068" s="8" t="str">
        <f t="shared" si="48"/>
        <v/>
      </c>
      <c r="J1068" s="8" t="str">
        <f t="shared" si="49"/>
        <v/>
      </c>
      <c r="K1068" s="24"/>
      <c r="L1068" s="7" t="str">
        <f t="shared" si="50"/>
        <v/>
      </c>
    </row>
    <row r="1069" spans="1:12" x14ac:dyDescent="0.25">
      <c r="A1069" s="23"/>
      <c r="B1069" s="24"/>
      <c r="C1069" s="24"/>
      <c r="D1069" s="24"/>
      <c r="E1069" s="24"/>
      <c r="F1069" s="24"/>
      <c r="G1069" s="25"/>
      <c r="H1069" s="16" t="str">
        <f>IF(C1069="","",IFERROR(INDEX(Settings!$L$4:$L$56,MATCH(C1069,Settings!$K$4:$K$56,0)),"Unknown"))</f>
        <v/>
      </c>
      <c r="I1069" s="8" t="str">
        <f t="shared" si="48"/>
        <v/>
      </c>
      <c r="J1069" s="8" t="str">
        <f t="shared" si="49"/>
        <v/>
      </c>
      <c r="K1069" s="24"/>
      <c r="L1069" s="7" t="str">
        <f t="shared" si="50"/>
        <v/>
      </c>
    </row>
    <row r="1070" spans="1:12" x14ac:dyDescent="0.25">
      <c r="A1070" s="23"/>
      <c r="B1070" s="24"/>
      <c r="C1070" s="24"/>
      <c r="D1070" s="24"/>
      <c r="E1070" s="24"/>
      <c r="F1070" s="24"/>
      <c r="G1070" s="25"/>
      <c r="H1070" s="16" t="str">
        <f>IF(C1070="","",IFERROR(INDEX(Settings!$L$4:$L$56,MATCH(C1070,Settings!$K$4:$K$56,0)),"Unknown"))</f>
        <v/>
      </c>
      <c r="I1070" s="8" t="str">
        <f t="shared" si="48"/>
        <v/>
      </c>
      <c r="J1070" s="8" t="str">
        <f t="shared" si="49"/>
        <v/>
      </c>
      <c r="K1070" s="24"/>
      <c r="L1070" s="7" t="str">
        <f t="shared" si="50"/>
        <v/>
      </c>
    </row>
    <row r="1071" spans="1:12" x14ac:dyDescent="0.25">
      <c r="A1071" s="23"/>
      <c r="B1071" s="24"/>
      <c r="C1071" s="24"/>
      <c r="D1071" s="24"/>
      <c r="E1071" s="24"/>
      <c r="F1071" s="24"/>
      <c r="G1071" s="25"/>
      <c r="H1071" s="16" t="str">
        <f>IF(C1071="","",IFERROR(INDEX(Settings!$L$4:$L$56,MATCH(C1071,Settings!$K$4:$K$56,0)),"Unknown"))</f>
        <v/>
      </c>
      <c r="I1071" s="8" t="str">
        <f t="shared" si="48"/>
        <v/>
      </c>
      <c r="J1071" s="8" t="str">
        <f t="shared" si="49"/>
        <v/>
      </c>
      <c r="K1071" s="24"/>
      <c r="L1071" s="7" t="str">
        <f t="shared" si="50"/>
        <v/>
      </c>
    </row>
    <row r="1072" spans="1:12" x14ac:dyDescent="0.25">
      <c r="A1072" s="23"/>
      <c r="B1072" s="24"/>
      <c r="C1072" s="24"/>
      <c r="D1072" s="24"/>
      <c r="E1072" s="24"/>
      <c r="F1072" s="24"/>
      <c r="G1072" s="25"/>
      <c r="H1072" s="16" t="str">
        <f>IF(C1072="","",IFERROR(INDEX(Settings!$L$4:$L$56,MATCH(C1072,Settings!$K$4:$K$56,0)),"Unknown"))</f>
        <v/>
      </c>
      <c r="I1072" s="8" t="str">
        <f t="shared" si="48"/>
        <v/>
      </c>
      <c r="J1072" s="8" t="str">
        <f t="shared" si="49"/>
        <v/>
      </c>
      <c r="K1072" s="24"/>
      <c r="L1072" s="7" t="str">
        <f t="shared" si="50"/>
        <v/>
      </c>
    </row>
    <row r="1073" spans="1:12" x14ac:dyDescent="0.25">
      <c r="A1073" s="23"/>
      <c r="B1073" s="24"/>
      <c r="C1073" s="24"/>
      <c r="D1073" s="24"/>
      <c r="E1073" s="24"/>
      <c r="F1073" s="24"/>
      <c r="G1073" s="25"/>
      <c r="H1073" s="16" t="str">
        <f>IF(C1073="","",IFERROR(INDEX(Settings!$L$4:$L$56,MATCH(C1073,Settings!$K$4:$K$56,0)),"Unknown"))</f>
        <v/>
      </c>
      <c r="I1073" s="8" t="str">
        <f t="shared" si="48"/>
        <v/>
      </c>
      <c r="J1073" s="8" t="str">
        <f t="shared" si="49"/>
        <v/>
      </c>
      <c r="K1073" s="24"/>
      <c r="L1073" s="7" t="str">
        <f t="shared" si="50"/>
        <v/>
      </c>
    </row>
    <row r="1074" spans="1:12" x14ac:dyDescent="0.25">
      <c r="A1074" s="23"/>
      <c r="B1074" s="24"/>
      <c r="C1074" s="24"/>
      <c r="D1074" s="24"/>
      <c r="E1074" s="24"/>
      <c r="F1074" s="24"/>
      <c r="G1074" s="25"/>
      <c r="H1074" s="16" t="str">
        <f>IF(C1074="","",IFERROR(INDEX(Settings!$L$4:$L$56,MATCH(C1074,Settings!$K$4:$K$56,0)),"Unknown"))</f>
        <v/>
      </c>
      <c r="I1074" s="8" t="str">
        <f t="shared" si="48"/>
        <v/>
      </c>
      <c r="J1074" s="8" t="str">
        <f t="shared" si="49"/>
        <v/>
      </c>
      <c r="K1074" s="24"/>
      <c r="L1074" s="7" t="str">
        <f t="shared" si="50"/>
        <v/>
      </c>
    </row>
    <row r="1075" spans="1:12" x14ac:dyDescent="0.25">
      <c r="A1075" s="23"/>
      <c r="B1075" s="24"/>
      <c r="C1075" s="24"/>
      <c r="D1075" s="24"/>
      <c r="E1075" s="24"/>
      <c r="F1075" s="24"/>
      <c r="G1075" s="25"/>
      <c r="H1075" s="16" t="str">
        <f>IF(C1075="","",IFERROR(INDEX(Settings!$L$4:$L$56,MATCH(C1075,Settings!$K$4:$K$56,0)),"Unknown"))</f>
        <v/>
      </c>
      <c r="I1075" s="8" t="str">
        <f t="shared" si="48"/>
        <v/>
      </c>
      <c r="J1075" s="8" t="str">
        <f t="shared" si="49"/>
        <v/>
      </c>
      <c r="K1075" s="24"/>
      <c r="L1075" s="7" t="str">
        <f t="shared" si="50"/>
        <v/>
      </c>
    </row>
    <row r="1076" spans="1:12" x14ac:dyDescent="0.25">
      <c r="A1076" s="23"/>
      <c r="B1076" s="24"/>
      <c r="C1076" s="24"/>
      <c r="D1076" s="24"/>
      <c r="E1076" s="24"/>
      <c r="F1076" s="24"/>
      <c r="G1076" s="25"/>
      <c r="H1076" s="16" t="str">
        <f>IF(C1076="","",IFERROR(INDEX(Settings!$L$4:$L$56,MATCH(C1076,Settings!$K$4:$K$56,0)),"Unknown"))</f>
        <v/>
      </c>
      <c r="I1076" s="8" t="str">
        <f t="shared" si="48"/>
        <v/>
      </c>
      <c r="J1076" s="8" t="str">
        <f t="shared" si="49"/>
        <v/>
      </c>
      <c r="K1076" s="24"/>
      <c r="L1076" s="7" t="str">
        <f t="shared" si="50"/>
        <v/>
      </c>
    </row>
    <row r="1077" spans="1:12" x14ac:dyDescent="0.25">
      <c r="A1077" s="23"/>
      <c r="B1077" s="24"/>
      <c r="C1077" s="24"/>
      <c r="D1077" s="24"/>
      <c r="E1077" s="24"/>
      <c r="F1077" s="24"/>
      <c r="G1077" s="25"/>
      <c r="H1077" s="16" t="str">
        <f>IF(C1077="","",IFERROR(INDEX(Settings!$L$4:$L$56,MATCH(C1077,Settings!$K$4:$K$56,0)),"Unknown"))</f>
        <v/>
      </c>
      <c r="I1077" s="8" t="str">
        <f t="shared" si="48"/>
        <v/>
      </c>
      <c r="J1077" s="8" t="str">
        <f t="shared" si="49"/>
        <v/>
      </c>
      <c r="K1077" s="24"/>
      <c r="L1077" s="7" t="str">
        <f t="shared" si="50"/>
        <v/>
      </c>
    </row>
    <row r="1078" spans="1:12" x14ac:dyDescent="0.25">
      <c r="A1078" s="23"/>
      <c r="B1078" s="24"/>
      <c r="C1078" s="24"/>
      <c r="D1078" s="24"/>
      <c r="E1078" s="24"/>
      <c r="F1078" s="24"/>
      <c r="G1078" s="25"/>
      <c r="H1078" s="16" t="str">
        <f>IF(C1078="","",IFERROR(INDEX(Settings!$L$4:$L$56,MATCH(C1078,Settings!$K$4:$K$56,0)),"Unknown"))</f>
        <v/>
      </c>
      <c r="I1078" s="8" t="str">
        <f t="shared" si="48"/>
        <v/>
      </c>
      <c r="J1078" s="8" t="str">
        <f t="shared" si="49"/>
        <v/>
      </c>
      <c r="K1078" s="24"/>
      <c r="L1078" s="7" t="str">
        <f t="shared" si="50"/>
        <v/>
      </c>
    </row>
    <row r="1079" spans="1:12" x14ac:dyDescent="0.25">
      <c r="A1079" s="23"/>
      <c r="B1079" s="24"/>
      <c r="C1079" s="24"/>
      <c r="D1079" s="24"/>
      <c r="E1079" s="24"/>
      <c r="F1079" s="24"/>
      <c r="G1079" s="25"/>
      <c r="H1079" s="16" t="str">
        <f>IF(C1079="","",IFERROR(INDEX(Settings!$L$4:$L$56,MATCH(C1079,Settings!$K$4:$K$56,0)),"Unknown"))</f>
        <v/>
      </c>
      <c r="I1079" s="8" t="str">
        <f t="shared" si="48"/>
        <v/>
      </c>
      <c r="J1079" s="8" t="str">
        <f t="shared" si="49"/>
        <v/>
      </c>
      <c r="K1079" s="24"/>
      <c r="L1079" s="7" t="str">
        <f t="shared" si="50"/>
        <v/>
      </c>
    </row>
    <row r="1080" spans="1:12" x14ac:dyDescent="0.25">
      <c r="A1080" s="23"/>
      <c r="B1080" s="24"/>
      <c r="C1080" s="24"/>
      <c r="D1080" s="24"/>
      <c r="E1080" s="24"/>
      <c r="F1080" s="24"/>
      <c r="G1080" s="25"/>
      <c r="H1080" s="16" t="str">
        <f>IF(C1080="","",IFERROR(INDEX(Settings!$L$4:$L$56,MATCH(C1080,Settings!$K$4:$K$56,0)),"Unknown"))</f>
        <v/>
      </c>
      <c r="I1080" s="8" t="str">
        <f t="shared" si="48"/>
        <v/>
      </c>
      <c r="J1080" s="8" t="str">
        <f t="shared" si="49"/>
        <v/>
      </c>
      <c r="K1080" s="24"/>
      <c r="L1080" s="7" t="str">
        <f t="shared" si="50"/>
        <v/>
      </c>
    </row>
    <row r="1081" spans="1:12" x14ac:dyDescent="0.25">
      <c r="A1081" s="23"/>
      <c r="B1081" s="24"/>
      <c r="C1081" s="24"/>
      <c r="D1081" s="24"/>
      <c r="E1081" s="24"/>
      <c r="F1081" s="24"/>
      <c r="G1081" s="25"/>
      <c r="H1081" s="16" t="str">
        <f>IF(C1081="","",IFERROR(INDEX(Settings!$L$4:$L$56,MATCH(C1081,Settings!$K$4:$K$56,0)),"Unknown"))</f>
        <v/>
      </c>
      <c r="I1081" s="8" t="str">
        <f t="shared" si="48"/>
        <v/>
      </c>
      <c r="J1081" s="8" t="str">
        <f t="shared" si="49"/>
        <v/>
      </c>
      <c r="K1081" s="24"/>
      <c r="L1081" s="7" t="str">
        <f t="shared" si="50"/>
        <v/>
      </c>
    </row>
    <row r="1082" spans="1:12" x14ac:dyDescent="0.25">
      <c r="A1082" s="23"/>
      <c r="B1082" s="24"/>
      <c r="C1082" s="24"/>
      <c r="D1082" s="24"/>
      <c r="E1082" s="24"/>
      <c r="F1082" s="24"/>
      <c r="G1082" s="25"/>
      <c r="H1082" s="16" t="str">
        <f>IF(C1082="","",IFERROR(INDEX(Settings!$L$4:$L$56,MATCH(C1082,Settings!$K$4:$K$56,0)),"Unknown"))</f>
        <v/>
      </c>
      <c r="I1082" s="8" t="str">
        <f t="shared" si="48"/>
        <v/>
      </c>
      <c r="J1082" s="8" t="str">
        <f t="shared" si="49"/>
        <v/>
      </c>
      <c r="K1082" s="24"/>
      <c r="L1082" s="7" t="str">
        <f t="shared" si="50"/>
        <v/>
      </c>
    </row>
    <row r="1083" spans="1:12" x14ac:dyDescent="0.25">
      <c r="A1083" s="23"/>
      <c r="B1083" s="24"/>
      <c r="C1083" s="24"/>
      <c r="D1083" s="24"/>
      <c r="E1083" s="24"/>
      <c r="F1083" s="24"/>
      <c r="G1083" s="25"/>
      <c r="H1083" s="16" t="str">
        <f>IF(C1083="","",IFERROR(INDEX(Settings!$L$4:$L$56,MATCH(C1083,Settings!$K$4:$K$56,0)),"Unknown"))</f>
        <v/>
      </c>
      <c r="I1083" s="8" t="str">
        <f t="shared" si="48"/>
        <v/>
      </c>
      <c r="J1083" s="8" t="str">
        <f t="shared" si="49"/>
        <v/>
      </c>
      <c r="K1083" s="24"/>
      <c r="L1083" s="7" t="str">
        <f t="shared" si="50"/>
        <v/>
      </c>
    </row>
    <row r="1084" spans="1:12" x14ac:dyDescent="0.25">
      <c r="A1084" s="23"/>
      <c r="B1084" s="24"/>
      <c r="C1084" s="24"/>
      <c r="D1084" s="24"/>
      <c r="E1084" s="24"/>
      <c r="F1084" s="24"/>
      <c r="G1084" s="25"/>
      <c r="H1084" s="16" t="str">
        <f>IF(C1084="","",IFERROR(INDEX(Settings!$L$4:$L$56,MATCH(C1084,Settings!$K$4:$K$56,0)),"Unknown"))</f>
        <v/>
      </c>
      <c r="I1084" s="8" t="str">
        <f t="shared" si="48"/>
        <v/>
      </c>
      <c r="J1084" s="8" t="str">
        <f t="shared" si="49"/>
        <v/>
      </c>
      <c r="K1084" s="24"/>
      <c r="L1084" s="7" t="str">
        <f t="shared" si="50"/>
        <v/>
      </c>
    </row>
    <row r="1085" spans="1:12" x14ac:dyDescent="0.25">
      <c r="A1085" s="23"/>
      <c r="B1085" s="24"/>
      <c r="C1085" s="24"/>
      <c r="D1085" s="24"/>
      <c r="E1085" s="24"/>
      <c r="F1085" s="24"/>
      <c r="G1085" s="25"/>
      <c r="H1085" s="16" t="str">
        <f>IF(C1085="","",IFERROR(INDEX(Settings!$L$4:$L$56,MATCH(C1085,Settings!$K$4:$K$56,0)),"Unknown"))</f>
        <v/>
      </c>
      <c r="I1085" s="8" t="str">
        <f t="shared" si="48"/>
        <v/>
      </c>
      <c r="J1085" s="8" t="str">
        <f t="shared" si="49"/>
        <v/>
      </c>
      <c r="K1085" s="24"/>
      <c r="L1085" s="7" t="str">
        <f t="shared" si="50"/>
        <v/>
      </c>
    </row>
    <row r="1086" spans="1:12" x14ac:dyDescent="0.25">
      <c r="A1086" s="23"/>
      <c r="B1086" s="24"/>
      <c r="C1086" s="24"/>
      <c r="D1086" s="24"/>
      <c r="E1086" s="24"/>
      <c r="F1086" s="24"/>
      <c r="G1086" s="25"/>
      <c r="H1086" s="16" t="str">
        <f>IF(C1086="","",IFERROR(INDEX(Settings!$L$4:$L$56,MATCH(C1086,Settings!$K$4:$K$56,0)),"Unknown"))</f>
        <v/>
      </c>
      <c r="I1086" s="8" t="str">
        <f t="shared" si="48"/>
        <v/>
      </c>
      <c r="J1086" s="8" t="str">
        <f t="shared" si="49"/>
        <v/>
      </c>
      <c r="K1086" s="24"/>
      <c r="L1086" s="7" t="str">
        <f t="shared" si="50"/>
        <v/>
      </c>
    </row>
    <row r="1087" spans="1:12" x14ac:dyDescent="0.25">
      <c r="A1087" s="23"/>
      <c r="B1087" s="24"/>
      <c r="C1087" s="24"/>
      <c r="D1087" s="24"/>
      <c r="E1087" s="24"/>
      <c r="F1087" s="24"/>
      <c r="G1087" s="25"/>
      <c r="H1087" s="16" t="str">
        <f>IF(C1087="","",IFERROR(INDEX(Settings!$L$4:$L$56,MATCH(C1087,Settings!$K$4:$K$56,0)),"Unknown"))</f>
        <v/>
      </c>
      <c r="I1087" s="8" t="str">
        <f t="shared" si="48"/>
        <v/>
      </c>
      <c r="J1087" s="8" t="str">
        <f t="shared" si="49"/>
        <v/>
      </c>
      <c r="K1087" s="24"/>
      <c r="L1087" s="7" t="str">
        <f t="shared" si="50"/>
        <v/>
      </c>
    </row>
    <row r="1088" spans="1:12" x14ac:dyDescent="0.25">
      <c r="A1088" s="23"/>
      <c r="B1088" s="24"/>
      <c r="C1088" s="24"/>
      <c r="D1088" s="24"/>
      <c r="E1088" s="24"/>
      <c r="F1088" s="24"/>
      <c r="G1088" s="25"/>
      <c r="H1088" s="16" t="str">
        <f>IF(C1088="","",IFERROR(INDEX(Settings!$L$4:$L$56,MATCH(C1088,Settings!$K$4:$K$56,0)),"Unknown"))</f>
        <v/>
      </c>
      <c r="I1088" s="8" t="str">
        <f t="shared" si="48"/>
        <v/>
      </c>
      <c r="J1088" s="8" t="str">
        <f t="shared" si="49"/>
        <v/>
      </c>
      <c r="K1088" s="24"/>
      <c r="L1088" s="7" t="str">
        <f t="shared" si="50"/>
        <v/>
      </c>
    </row>
    <row r="1089" spans="1:12" x14ac:dyDescent="0.25">
      <c r="A1089" s="23"/>
      <c r="B1089" s="24"/>
      <c r="C1089" s="24"/>
      <c r="D1089" s="24"/>
      <c r="E1089" s="24"/>
      <c r="F1089" s="24"/>
      <c r="G1089" s="25"/>
      <c r="H1089" s="16" t="str">
        <f>IF(C1089="","",IFERROR(INDEX(Settings!$L$4:$L$56,MATCH(C1089,Settings!$K$4:$K$56,0)),"Unknown"))</f>
        <v/>
      </c>
      <c r="I1089" s="8" t="str">
        <f t="shared" si="48"/>
        <v/>
      </c>
      <c r="J1089" s="8" t="str">
        <f t="shared" si="49"/>
        <v/>
      </c>
      <c r="K1089" s="24"/>
      <c r="L1089" s="7" t="str">
        <f t="shared" si="50"/>
        <v/>
      </c>
    </row>
    <row r="1090" spans="1:12" x14ac:dyDescent="0.25">
      <c r="A1090" s="23"/>
      <c r="B1090" s="24"/>
      <c r="C1090" s="24"/>
      <c r="D1090" s="24"/>
      <c r="E1090" s="24"/>
      <c r="F1090" s="24"/>
      <c r="G1090" s="25"/>
      <c r="H1090" s="16" t="str">
        <f>IF(C1090="","",IFERROR(INDEX(Settings!$L$4:$L$56,MATCH(C1090,Settings!$K$4:$K$56,0)),"Unknown"))</f>
        <v/>
      </c>
      <c r="I1090" s="8" t="str">
        <f t="shared" si="48"/>
        <v/>
      </c>
      <c r="J1090" s="8" t="str">
        <f t="shared" si="49"/>
        <v/>
      </c>
      <c r="K1090" s="24"/>
      <c r="L1090" s="7" t="str">
        <f t="shared" si="50"/>
        <v/>
      </c>
    </row>
    <row r="1091" spans="1:12" x14ac:dyDescent="0.25">
      <c r="A1091" s="23"/>
      <c r="B1091" s="24"/>
      <c r="C1091" s="24"/>
      <c r="D1091" s="24"/>
      <c r="E1091" s="24"/>
      <c r="F1091" s="24"/>
      <c r="G1091" s="25"/>
      <c r="H1091" s="16" t="str">
        <f>IF(C1091="","",IFERROR(INDEX(Settings!$L$4:$L$56,MATCH(C1091,Settings!$K$4:$K$56,0)),"Unknown"))</f>
        <v/>
      </c>
      <c r="I1091" s="8" t="str">
        <f t="shared" si="48"/>
        <v/>
      </c>
      <c r="J1091" s="8" t="str">
        <f t="shared" si="49"/>
        <v/>
      </c>
      <c r="K1091" s="24"/>
      <c r="L1091" s="7" t="str">
        <f t="shared" si="50"/>
        <v/>
      </c>
    </row>
    <row r="1092" spans="1:12" x14ac:dyDescent="0.25">
      <c r="A1092" s="23"/>
      <c r="B1092" s="24"/>
      <c r="C1092" s="24"/>
      <c r="D1092" s="24"/>
      <c r="E1092" s="24"/>
      <c r="F1092" s="24"/>
      <c r="G1092" s="25"/>
      <c r="H1092" s="16" t="str">
        <f>IF(C1092="","",IFERROR(INDEX(Settings!$L$4:$L$56,MATCH(C1092,Settings!$K$4:$K$56,0)),"Unknown"))</f>
        <v/>
      </c>
      <c r="I1092" s="8" t="str">
        <f t="shared" si="48"/>
        <v/>
      </c>
      <c r="J1092" s="8" t="str">
        <f t="shared" si="49"/>
        <v/>
      </c>
      <c r="K1092" s="24"/>
      <c r="L1092" s="7" t="str">
        <f t="shared" si="50"/>
        <v/>
      </c>
    </row>
    <row r="1093" spans="1:12" x14ac:dyDescent="0.25">
      <c r="A1093" s="23"/>
      <c r="B1093" s="24"/>
      <c r="C1093" s="24"/>
      <c r="D1093" s="24"/>
      <c r="E1093" s="24"/>
      <c r="F1093" s="24"/>
      <c r="G1093" s="25"/>
      <c r="H1093" s="16" t="str">
        <f>IF(C1093="","",IFERROR(INDEX(Settings!$L$4:$L$56,MATCH(C1093,Settings!$K$4:$K$56,0)),"Unknown"))</f>
        <v/>
      </c>
      <c r="I1093" s="8" t="str">
        <f t="shared" si="48"/>
        <v/>
      </c>
      <c r="J1093" s="8" t="str">
        <f t="shared" si="49"/>
        <v/>
      </c>
      <c r="K1093" s="24"/>
      <c r="L1093" s="7" t="str">
        <f t="shared" si="50"/>
        <v/>
      </c>
    </row>
    <row r="1094" spans="1:12" x14ac:dyDescent="0.25">
      <c r="A1094" s="23"/>
      <c r="B1094" s="24"/>
      <c r="C1094" s="24"/>
      <c r="D1094" s="24"/>
      <c r="E1094" s="24"/>
      <c r="F1094" s="24"/>
      <c r="G1094" s="25"/>
      <c r="H1094" s="16" t="str">
        <f>IF(C1094="","",IFERROR(INDEX(Settings!$L$4:$L$56,MATCH(C1094,Settings!$K$4:$K$56,0)),"Unknown"))</f>
        <v/>
      </c>
      <c r="I1094" s="8" t="str">
        <f t="shared" ref="I1094:I1157" si="51">IF(A1094="","",MONTH(A1094))</f>
        <v/>
      </c>
      <c r="J1094" s="8" t="str">
        <f t="shared" ref="J1094:J1157" si="52">IF(A1094="","",YEAR(A1094))</f>
        <v/>
      </c>
      <c r="K1094" s="24"/>
      <c r="L1094" s="7" t="str">
        <f t="shared" ref="L1094:L1157" si="53">IF(OR(B1094="",C1094=""),"",IF(AND(B1094="Income",H1094&lt;&gt;"Income"),"Category is not an Income category",IF(AND(B1094="Expense",H1094="Income"),"Category is an Income category","OK")))</f>
        <v/>
      </c>
    </row>
    <row r="1095" spans="1:12" x14ac:dyDescent="0.25">
      <c r="A1095" s="23"/>
      <c r="B1095" s="24"/>
      <c r="C1095" s="24"/>
      <c r="D1095" s="24"/>
      <c r="E1095" s="24"/>
      <c r="F1095" s="24"/>
      <c r="G1095" s="25"/>
      <c r="H1095" s="16" t="str">
        <f>IF(C1095="","",IFERROR(INDEX(Settings!$L$4:$L$56,MATCH(C1095,Settings!$K$4:$K$56,0)),"Unknown"))</f>
        <v/>
      </c>
      <c r="I1095" s="8" t="str">
        <f t="shared" si="51"/>
        <v/>
      </c>
      <c r="J1095" s="8" t="str">
        <f t="shared" si="52"/>
        <v/>
      </c>
      <c r="K1095" s="24"/>
      <c r="L1095" s="7" t="str">
        <f t="shared" si="53"/>
        <v/>
      </c>
    </row>
    <row r="1096" spans="1:12" x14ac:dyDescent="0.25">
      <c r="A1096" s="23"/>
      <c r="B1096" s="24"/>
      <c r="C1096" s="24"/>
      <c r="D1096" s="24"/>
      <c r="E1096" s="24"/>
      <c r="F1096" s="24"/>
      <c r="G1096" s="25"/>
      <c r="H1096" s="16" t="str">
        <f>IF(C1096="","",IFERROR(INDEX(Settings!$L$4:$L$56,MATCH(C1096,Settings!$K$4:$K$56,0)),"Unknown"))</f>
        <v/>
      </c>
      <c r="I1096" s="8" t="str">
        <f t="shared" si="51"/>
        <v/>
      </c>
      <c r="J1096" s="8" t="str">
        <f t="shared" si="52"/>
        <v/>
      </c>
      <c r="K1096" s="24"/>
      <c r="L1096" s="7" t="str">
        <f t="shared" si="53"/>
        <v/>
      </c>
    </row>
    <row r="1097" spans="1:12" x14ac:dyDescent="0.25">
      <c r="A1097" s="23"/>
      <c r="B1097" s="24"/>
      <c r="C1097" s="24"/>
      <c r="D1097" s="24"/>
      <c r="E1097" s="24"/>
      <c r="F1097" s="24"/>
      <c r="G1097" s="25"/>
      <c r="H1097" s="16" t="str">
        <f>IF(C1097="","",IFERROR(INDEX(Settings!$L$4:$L$56,MATCH(C1097,Settings!$K$4:$K$56,0)),"Unknown"))</f>
        <v/>
      </c>
      <c r="I1097" s="8" t="str">
        <f t="shared" si="51"/>
        <v/>
      </c>
      <c r="J1097" s="8" t="str">
        <f t="shared" si="52"/>
        <v/>
      </c>
      <c r="K1097" s="24"/>
      <c r="L1097" s="7" t="str">
        <f t="shared" si="53"/>
        <v/>
      </c>
    </row>
    <row r="1098" spans="1:12" x14ac:dyDescent="0.25">
      <c r="A1098" s="23"/>
      <c r="B1098" s="24"/>
      <c r="C1098" s="24"/>
      <c r="D1098" s="24"/>
      <c r="E1098" s="24"/>
      <c r="F1098" s="24"/>
      <c r="G1098" s="25"/>
      <c r="H1098" s="16" t="str">
        <f>IF(C1098="","",IFERROR(INDEX(Settings!$L$4:$L$56,MATCH(C1098,Settings!$K$4:$K$56,0)),"Unknown"))</f>
        <v/>
      </c>
      <c r="I1098" s="8" t="str">
        <f t="shared" si="51"/>
        <v/>
      </c>
      <c r="J1098" s="8" t="str">
        <f t="shared" si="52"/>
        <v/>
      </c>
      <c r="K1098" s="24"/>
      <c r="L1098" s="7" t="str">
        <f t="shared" si="53"/>
        <v/>
      </c>
    </row>
    <row r="1099" spans="1:12" x14ac:dyDescent="0.25">
      <c r="A1099" s="23"/>
      <c r="B1099" s="24"/>
      <c r="C1099" s="24"/>
      <c r="D1099" s="24"/>
      <c r="E1099" s="24"/>
      <c r="F1099" s="24"/>
      <c r="G1099" s="25"/>
      <c r="H1099" s="16" t="str">
        <f>IF(C1099="","",IFERROR(INDEX(Settings!$L$4:$L$56,MATCH(C1099,Settings!$K$4:$K$56,0)),"Unknown"))</f>
        <v/>
      </c>
      <c r="I1099" s="8" t="str">
        <f t="shared" si="51"/>
        <v/>
      </c>
      <c r="J1099" s="8" t="str">
        <f t="shared" si="52"/>
        <v/>
      </c>
      <c r="K1099" s="24"/>
      <c r="L1099" s="7" t="str">
        <f t="shared" si="53"/>
        <v/>
      </c>
    </row>
    <row r="1100" spans="1:12" x14ac:dyDescent="0.25">
      <c r="A1100" s="23"/>
      <c r="B1100" s="24"/>
      <c r="C1100" s="24"/>
      <c r="D1100" s="24"/>
      <c r="E1100" s="24"/>
      <c r="F1100" s="24"/>
      <c r="G1100" s="25"/>
      <c r="H1100" s="16" t="str">
        <f>IF(C1100="","",IFERROR(INDEX(Settings!$L$4:$L$56,MATCH(C1100,Settings!$K$4:$K$56,0)),"Unknown"))</f>
        <v/>
      </c>
      <c r="I1100" s="8" t="str">
        <f t="shared" si="51"/>
        <v/>
      </c>
      <c r="J1100" s="8" t="str">
        <f t="shared" si="52"/>
        <v/>
      </c>
      <c r="K1100" s="24"/>
      <c r="L1100" s="7" t="str">
        <f t="shared" si="53"/>
        <v/>
      </c>
    </row>
    <row r="1101" spans="1:12" x14ac:dyDescent="0.25">
      <c r="A1101" s="23"/>
      <c r="B1101" s="24"/>
      <c r="C1101" s="24"/>
      <c r="D1101" s="24"/>
      <c r="E1101" s="24"/>
      <c r="F1101" s="24"/>
      <c r="G1101" s="25"/>
      <c r="H1101" s="16" t="str">
        <f>IF(C1101="","",IFERROR(INDEX(Settings!$L$4:$L$56,MATCH(C1101,Settings!$K$4:$K$56,0)),"Unknown"))</f>
        <v/>
      </c>
      <c r="I1101" s="8" t="str">
        <f t="shared" si="51"/>
        <v/>
      </c>
      <c r="J1101" s="8" t="str">
        <f t="shared" si="52"/>
        <v/>
      </c>
      <c r="K1101" s="24"/>
      <c r="L1101" s="7" t="str">
        <f t="shared" si="53"/>
        <v/>
      </c>
    </row>
    <row r="1102" spans="1:12" x14ac:dyDescent="0.25">
      <c r="A1102" s="23"/>
      <c r="B1102" s="24"/>
      <c r="C1102" s="24"/>
      <c r="D1102" s="24"/>
      <c r="E1102" s="24"/>
      <c r="F1102" s="24"/>
      <c r="G1102" s="25"/>
      <c r="H1102" s="16" t="str">
        <f>IF(C1102="","",IFERROR(INDEX(Settings!$L$4:$L$56,MATCH(C1102,Settings!$K$4:$K$56,0)),"Unknown"))</f>
        <v/>
      </c>
      <c r="I1102" s="8" t="str">
        <f t="shared" si="51"/>
        <v/>
      </c>
      <c r="J1102" s="8" t="str">
        <f t="shared" si="52"/>
        <v/>
      </c>
      <c r="K1102" s="24"/>
      <c r="L1102" s="7" t="str">
        <f t="shared" si="53"/>
        <v/>
      </c>
    </row>
    <row r="1103" spans="1:12" x14ac:dyDescent="0.25">
      <c r="A1103" s="23"/>
      <c r="B1103" s="24"/>
      <c r="C1103" s="24"/>
      <c r="D1103" s="24"/>
      <c r="E1103" s="24"/>
      <c r="F1103" s="24"/>
      <c r="G1103" s="25"/>
      <c r="H1103" s="16" t="str">
        <f>IF(C1103="","",IFERROR(INDEX(Settings!$L$4:$L$56,MATCH(C1103,Settings!$K$4:$K$56,0)),"Unknown"))</f>
        <v/>
      </c>
      <c r="I1103" s="8" t="str">
        <f t="shared" si="51"/>
        <v/>
      </c>
      <c r="J1103" s="8" t="str">
        <f t="shared" si="52"/>
        <v/>
      </c>
      <c r="K1103" s="24"/>
      <c r="L1103" s="7" t="str">
        <f t="shared" si="53"/>
        <v/>
      </c>
    </row>
    <row r="1104" spans="1:12" x14ac:dyDescent="0.25">
      <c r="A1104" s="23"/>
      <c r="B1104" s="24"/>
      <c r="C1104" s="24"/>
      <c r="D1104" s="24"/>
      <c r="E1104" s="24"/>
      <c r="F1104" s="24"/>
      <c r="G1104" s="25"/>
      <c r="H1104" s="16" t="str">
        <f>IF(C1104="","",IFERROR(INDEX(Settings!$L$4:$L$56,MATCH(C1104,Settings!$K$4:$K$56,0)),"Unknown"))</f>
        <v/>
      </c>
      <c r="I1104" s="8" t="str">
        <f t="shared" si="51"/>
        <v/>
      </c>
      <c r="J1104" s="8" t="str">
        <f t="shared" si="52"/>
        <v/>
      </c>
      <c r="K1104" s="24"/>
      <c r="L1104" s="7" t="str">
        <f t="shared" si="53"/>
        <v/>
      </c>
    </row>
    <row r="1105" spans="1:12" x14ac:dyDescent="0.25">
      <c r="A1105" s="23"/>
      <c r="B1105" s="24"/>
      <c r="C1105" s="24"/>
      <c r="D1105" s="24"/>
      <c r="E1105" s="24"/>
      <c r="F1105" s="24"/>
      <c r="G1105" s="25"/>
      <c r="H1105" s="16" t="str">
        <f>IF(C1105="","",IFERROR(INDEX(Settings!$L$4:$L$56,MATCH(C1105,Settings!$K$4:$K$56,0)),"Unknown"))</f>
        <v/>
      </c>
      <c r="I1105" s="8" t="str">
        <f t="shared" si="51"/>
        <v/>
      </c>
      <c r="J1105" s="8" t="str">
        <f t="shared" si="52"/>
        <v/>
      </c>
      <c r="K1105" s="24"/>
      <c r="L1105" s="7" t="str">
        <f t="shared" si="53"/>
        <v/>
      </c>
    </row>
    <row r="1106" spans="1:12" x14ac:dyDescent="0.25">
      <c r="A1106" s="23"/>
      <c r="B1106" s="24"/>
      <c r="C1106" s="24"/>
      <c r="D1106" s="24"/>
      <c r="E1106" s="24"/>
      <c r="F1106" s="24"/>
      <c r="G1106" s="25"/>
      <c r="H1106" s="16" t="str">
        <f>IF(C1106="","",IFERROR(INDEX(Settings!$L$4:$L$56,MATCH(C1106,Settings!$K$4:$K$56,0)),"Unknown"))</f>
        <v/>
      </c>
      <c r="I1106" s="8" t="str">
        <f t="shared" si="51"/>
        <v/>
      </c>
      <c r="J1106" s="8" t="str">
        <f t="shared" si="52"/>
        <v/>
      </c>
      <c r="K1106" s="24"/>
      <c r="L1106" s="7" t="str">
        <f t="shared" si="53"/>
        <v/>
      </c>
    </row>
    <row r="1107" spans="1:12" x14ac:dyDescent="0.25">
      <c r="A1107" s="23"/>
      <c r="B1107" s="24"/>
      <c r="C1107" s="24"/>
      <c r="D1107" s="24"/>
      <c r="E1107" s="24"/>
      <c r="F1107" s="24"/>
      <c r="G1107" s="25"/>
      <c r="H1107" s="16" t="str">
        <f>IF(C1107="","",IFERROR(INDEX(Settings!$L$4:$L$56,MATCH(C1107,Settings!$K$4:$K$56,0)),"Unknown"))</f>
        <v/>
      </c>
      <c r="I1107" s="8" t="str">
        <f t="shared" si="51"/>
        <v/>
      </c>
      <c r="J1107" s="8" t="str">
        <f t="shared" si="52"/>
        <v/>
      </c>
      <c r="K1107" s="24"/>
      <c r="L1107" s="7" t="str">
        <f t="shared" si="53"/>
        <v/>
      </c>
    </row>
    <row r="1108" spans="1:12" x14ac:dyDescent="0.25">
      <c r="A1108" s="23"/>
      <c r="B1108" s="24"/>
      <c r="C1108" s="24"/>
      <c r="D1108" s="24"/>
      <c r="E1108" s="24"/>
      <c r="F1108" s="24"/>
      <c r="G1108" s="25"/>
      <c r="H1108" s="16" t="str">
        <f>IF(C1108="","",IFERROR(INDEX(Settings!$L$4:$L$56,MATCH(C1108,Settings!$K$4:$K$56,0)),"Unknown"))</f>
        <v/>
      </c>
      <c r="I1108" s="8" t="str">
        <f t="shared" si="51"/>
        <v/>
      </c>
      <c r="J1108" s="8" t="str">
        <f t="shared" si="52"/>
        <v/>
      </c>
      <c r="K1108" s="24"/>
      <c r="L1108" s="7" t="str">
        <f t="shared" si="53"/>
        <v/>
      </c>
    </row>
    <row r="1109" spans="1:12" x14ac:dyDescent="0.25">
      <c r="A1109" s="23"/>
      <c r="B1109" s="24"/>
      <c r="C1109" s="24"/>
      <c r="D1109" s="24"/>
      <c r="E1109" s="24"/>
      <c r="F1109" s="24"/>
      <c r="G1109" s="25"/>
      <c r="H1109" s="16" t="str">
        <f>IF(C1109="","",IFERROR(INDEX(Settings!$L$4:$L$56,MATCH(C1109,Settings!$K$4:$K$56,0)),"Unknown"))</f>
        <v/>
      </c>
      <c r="I1109" s="8" t="str">
        <f t="shared" si="51"/>
        <v/>
      </c>
      <c r="J1109" s="8" t="str">
        <f t="shared" si="52"/>
        <v/>
      </c>
      <c r="K1109" s="24"/>
      <c r="L1109" s="7" t="str">
        <f t="shared" si="53"/>
        <v/>
      </c>
    </row>
    <row r="1110" spans="1:12" x14ac:dyDescent="0.25">
      <c r="A1110" s="23"/>
      <c r="B1110" s="24"/>
      <c r="C1110" s="24"/>
      <c r="D1110" s="24"/>
      <c r="E1110" s="24"/>
      <c r="F1110" s="24"/>
      <c r="G1110" s="25"/>
      <c r="H1110" s="16" t="str">
        <f>IF(C1110="","",IFERROR(INDEX(Settings!$L$4:$L$56,MATCH(C1110,Settings!$K$4:$K$56,0)),"Unknown"))</f>
        <v/>
      </c>
      <c r="I1110" s="8" t="str">
        <f t="shared" si="51"/>
        <v/>
      </c>
      <c r="J1110" s="8" t="str">
        <f t="shared" si="52"/>
        <v/>
      </c>
      <c r="K1110" s="24"/>
      <c r="L1110" s="7" t="str">
        <f t="shared" si="53"/>
        <v/>
      </c>
    </row>
    <row r="1111" spans="1:12" x14ac:dyDescent="0.25">
      <c r="A1111" s="23"/>
      <c r="B1111" s="24"/>
      <c r="C1111" s="24"/>
      <c r="D1111" s="24"/>
      <c r="E1111" s="24"/>
      <c r="F1111" s="24"/>
      <c r="G1111" s="25"/>
      <c r="H1111" s="16" t="str">
        <f>IF(C1111="","",IFERROR(INDEX(Settings!$L$4:$L$56,MATCH(C1111,Settings!$K$4:$K$56,0)),"Unknown"))</f>
        <v/>
      </c>
      <c r="I1111" s="8" t="str">
        <f t="shared" si="51"/>
        <v/>
      </c>
      <c r="J1111" s="8" t="str">
        <f t="shared" si="52"/>
        <v/>
      </c>
      <c r="K1111" s="24"/>
      <c r="L1111" s="7" t="str">
        <f t="shared" si="53"/>
        <v/>
      </c>
    </row>
    <row r="1112" spans="1:12" x14ac:dyDescent="0.25">
      <c r="A1112" s="23"/>
      <c r="B1112" s="24"/>
      <c r="C1112" s="24"/>
      <c r="D1112" s="24"/>
      <c r="E1112" s="24"/>
      <c r="F1112" s="24"/>
      <c r="G1112" s="25"/>
      <c r="H1112" s="16" t="str">
        <f>IF(C1112="","",IFERROR(INDEX(Settings!$L$4:$L$56,MATCH(C1112,Settings!$K$4:$K$56,0)),"Unknown"))</f>
        <v/>
      </c>
      <c r="I1112" s="8" t="str">
        <f t="shared" si="51"/>
        <v/>
      </c>
      <c r="J1112" s="8" t="str">
        <f t="shared" si="52"/>
        <v/>
      </c>
      <c r="K1112" s="24"/>
      <c r="L1112" s="7" t="str">
        <f t="shared" si="53"/>
        <v/>
      </c>
    </row>
    <row r="1113" spans="1:12" x14ac:dyDescent="0.25">
      <c r="A1113" s="23"/>
      <c r="B1113" s="24"/>
      <c r="C1113" s="24"/>
      <c r="D1113" s="24"/>
      <c r="E1113" s="24"/>
      <c r="F1113" s="24"/>
      <c r="G1113" s="25"/>
      <c r="H1113" s="16" t="str">
        <f>IF(C1113="","",IFERROR(INDEX(Settings!$L$4:$L$56,MATCH(C1113,Settings!$K$4:$K$56,0)),"Unknown"))</f>
        <v/>
      </c>
      <c r="I1113" s="8" t="str">
        <f t="shared" si="51"/>
        <v/>
      </c>
      <c r="J1113" s="8" t="str">
        <f t="shared" si="52"/>
        <v/>
      </c>
      <c r="K1113" s="24"/>
      <c r="L1113" s="7" t="str">
        <f t="shared" si="53"/>
        <v/>
      </c>
    </row>
    <row r="1114" spans="1:12" x14ac:dyDescent="0.25">
      <c r="A1114" s="23"/>
      <c r="B1114" s="24"/>
      <c r="C1114" s="24"/>
      <c r="D1114" s="24"/>
      <c r="E1114" s="24"/>
      <c r="F1114" s="24"/>
      <c r="G1114" s="25"/>
      <c r="H1114" s="16" t="str">
        <f>IF(C1114="","",IFERROR(INDEX(Settings!$L$4:$L$56,MATCH(C1114,Settings!$K$4:$K$56,0)),"Unknown"))</f>
        <v/>
      </c>
      <c r="I1114" s="8" t="str">
        <f t="shared" si="51"/>
        <v/>
      </c>
      <c r="J1114" s="8" t="str">
        <f t="shared" si="52"/>
        <v/>
      </c>
      <c r="K1114" s="24"/>
      <c r="L1114" s="7" t="str">
        <f t="shared" si="53"/>
        <v/>
      </c>
    </row>
    <row r="1115" spans="1:12" x14ac:dyDescent="0.25">
      <c r="A1115" s="23"/>
      <c r="B1115" s="24"/>
      <c r="C1115" s="24"/>
      <c r="D1115" s="24"/>
      <c r="E1115" s="24"/>
      <c r="F1115" s="24"/>
      <c r="G1115" s="25"/>
      <c r="H1115" s="16" t="str">
        <f>IF(C1115="","",IFERROR(INDEX(Settings!$L$4:$L$56,MATCH(C1115,Settings!$K$4:$K$56,0)),"Unknown"))</f>
        <v/>
      </c>
      <c r="I1115" s="8" t="str">
        <f t="shared" si="51"/>
        <v/>
      </c>
      <c r="J1115" s="8" t="str">
        <f t="shared" si="52"/>
        <v/>
      </c>
      <c r="K1115" s="24"/>
      <c r="L1115" s="7" t="str">
        <f t="shared" si="53"/>
        <v/>
      </c>
    </row>
    <row r="1116" spans="1:12" x14ac:dyDescent="0.25">
      <c r="A1116" s="23"/>
      <c r="B1116" s="24"/>
      <c r="C1116" s="24"/>
      <c r="D1116" s="24"/>
      <c r="E1116" s="24"/>
      <c r="F1116" s="24"/>
      <c r="G1116" s="25"/>
      <c r="H1116" s="16" t="str">
        <f>IF(C1116="","",IFERROR(INDEX(Settings!$L$4:$L$56,MATCH(C1116,Settings!$K$4:$K$56,0)),"Unknown"))</f>
        <v/>
      </c>
      <c r="I1116" s="8" t="str">
        <f t="shared" si="51"/>
        <v/>
      </c>
      <c r="J1116" s="8" t="str">
        <f t="shared" si="52"/>
        <v/>
      </c>
      <c r="K1116" s="24"/>
      <c r="L1116" s="7" t="str">
        <f t="shared" si="53"/>
        <v/>
      </c>
    </row>
    <row r="1117" spans="1:12" x14ac:dyDescent="0.25">
      <c r="A1117" s="23"/>
      <c r="B1117" s="24"/>
      <c r="C1117" s="24"/>
      <c r="D1117" s="24"/>
      <c r="E1117" s="24"/>
      <c r="F1117" s="24"/>
      <c r="G1117" s="25"/>
      <c r="H1117" s="16" t="str">
        <f>IF(C1117="","",IFERROR(INDEX(Settings!$L$4:$L$56,MATCH(C1117,Settings!$K$4:$K$56,0)),"Unknown"))</f>
        <v/>
      </c>
      <c r="I1117" s="8" t="str">
        <f t="shared" si="51"/>
        <v/>
      </c>
      <c r="J1117" s="8" t="str">
        <f t="shared" si="52"/>
        <v/>
      </c>
      <c r="K1117" s="24"/>
      <c r="L1117" s="7" t="str">
        <f t="shared" si="53"/>
        <v/>
      </c>
    </row>
    <row r="1118" spans="1:12" x14ac:dyDescent="0.25">
      <c r="A1118" s="23"/>
      <c r="B1118" s="24"/>
      <c r="C1118" s="24"/>
      <c r="D1118" s="24"/>
      <c r="E1118" s="24"/>
      <c r="F1118" s="24"/>
      <c r="G1118" s="25"/>
      <c r="H1118" s="16" t="str">
        <f>IF(C1118="","",IFERROR(INDEX(Settings!$L$4:$L$56,MATCH(C1118,Settings!$K$4:$K$56,0)),"Unknown"))</f>
        <v/>
      </c>
      <c r="I1118" s="8" t="str">
        <f t="shared" si="51"/>
        <v/>
      </c>
      <c r="J1118" s="8" t="str">
        <f t="shared" si="52"/>
        <v/>
      </c>
      <c r="K1118" s="24"/>
      <c r="L1118" s="7" t="str">
        <f t="shared" si="53"/>
        <v/>
      </c>
    </row>
    <row r="1119" spans="1:12" x14ac:dyDescent="0.25">
      <c r="A1119" s="23"/>
      <c r="B1119" s="24"/>
      <c r="C1119" s="24"/>
      <c r="D1119" s="24"/>
      <c r="E1119" s="24"/>
      <c r="F1119" s="24"/>
      <c r="G1119" s="25"/>
      <c r="H1119" s="16" t="str">
        <f>IF(C1119="","",IFERROR(INDEX(Settings!$L$4:$L$56,MATCH(C1119,Settings!$K$4:$K$56,0)),"Unknown"))</f>
        <v/>
      </c>
      <c r="I1119" s="8" t="str">
        <f t="shared" si="51"/>
        <v/>
      </c>
      <c r="J1119" s="8" t="str">
        <f t="shared" si="52"/>
        <v/>
      </c>
      <c r="K1119" s="24"/>
      <c r="L1119" s="7" t="str">
        <f t="shared" si="53"/>
        <v/>
      </c>
    </row>
    <row r="1120" spans="1:12" x14ac:dyDescent="0.25">
      <c r="A1120" s="23"/>
      <c r="B1120" s="24"/>
      <c r="C1120" s="24"/>
      <c r="D1120" s="24"/>
      <c r="E1120" s="24"/>
      <c r="F1120" s="24"/>
      <c r="G1120" s="25"/>
      <c r="H1120" s="16" t="str">
        <f>IF(C1120="","",IFERROR(INDEX(Settings!$L$4:$L$56,MATCH(C1120,Settings!$K$4:$K$56,0)),"Unknown"))</f>
        <v/>
      </c>
      <c r="I1120" s="8" t="str">
        <f t="shared" si="51"/>
        <v/>
      </c>
      <c r="J1120" s="8" t="str">
        <f t="shared" si="52"/>
        <v/>
      </c>
      <c r="K1120" s="24"/>
      <c r="L1120" s="7" t="str">
        <f t="shared" si="53"/>
        <v/>
      </c>
    </row>
    <row r="1121" spans="1:12" x14ac:dyDescent="0.25">
      <c r="A1121" s="23"/>
      <c r="B1121" s="24"/>
      <c r="C1121" s="24"/>
      <c r="D1121" s="24"/>
      <c r="E1121" s="24"/>
      <c r="F1121" s="24"/>
      <c r="G1121" s="25"/>
      <c r="H1121" s="16" t="str">
        <f>IF(C1121="","",IFERROR(INDEX(Settings!$L$4:$L$56,MATCH(C1121,Settings!$K$4:$K$56,0)),"Unknown"))</f>
        <v/>
      </c>
      <c r="I1121" s="8" t="str">
        <f t="shared" si="51"/>
        <v/>
      </c>
      <c r="J1121" s="8" t="str">
        <f t="shared" si="52"/>
        <v/>
      </c>
      <c r="K1121" s="24"/>
      <c r="L1121" s="7" t="str">
        <f t="shared" si="53"/>
        <v/>
      </c>
    </row>
    <row r="1122" spans="1:12" x14ac:dyDescent="0.25">
      <c r="A1122" s="23"/>
      <c r="B1122" s="24"/>
      <c r="C1122" s="24"/>
      <c r="D1122" s="24"/>
      <c r="E1122" s="24"/>
      <c r="F1122" s="24"/>
      <c r="G1122" s="25"/>
      <c r="H1122" s="16" t="str">
        <f>IF(C1122="","",IFERROR(INDEX(Settings!$L$4:$L$56,MATCH(C1122,Settings!$K$4:$K$56,0)),"Unknown"))</f>
        <v/>
      </c>
      <c r="I1122" s="8" t="str">
        <f t="shared" si="51"/>
        <v/>
      </c>
      <c r="J1122" s="8" t="str">
        <f t="shared" si="52"/>
        <v/>
      </c>
      <c r="K1122" s="24"/>
      <c r="L1122" s="7" t="str">
        <f t="shared" si="53"/>
        <v/>
      </c>
    </row>
    <row r="1123" spans="1:12" x14ac:dyDescent="0.25">
      <c r="A1123" s="23"/>
      <c r="B1123" s="24"/>
      <c r="C1123" s="24"/>
      <c r="D1123" s="24"/>
      <c r="E1123" s="24"/>
      <c r="F1123" s="24"/>
      <c r="G1123" s="25"/>
      <c r="H1123" s="16" t="str">
        <f>IF(C1123="","",IFERROR(INDEX(Settings!$L$4:$L$56,MATCH(C1123,Settings!$K$4:$K$56,0)),"Unknown"))</f>
        <v/>
      </c>
      <c r="I1123" s="8" t="str">
        <f t="shared" si="51"/>
        <v/>
      </c>
      <c r="J1123" s="8" t="str">
        <f t="shared" si="52"/>
        <v/>
      </c>
      <c r="K1123" s="24"/>
      <c r="L1123" s="7" t="str">
        <f t="shared" si="53"/>
        <v/>
      </c>
    </row>
    <row r="1124" spans="1:12" x14ac:dyDescent="0.25">
      <c r="A1124" s="23"/>
      <c r="B1124" s="24"/>
      <c r="C1124" s="24"/>
      <c r="D1124" s="24"/>
      <c r="E1124" s="24"/>
      <c r="F1124" s="24"/>
      <c r="G1124" s="25"/>
      <c r="H1124" s="16" t="str">
        <f>IF(C1124="","",IFERROR(INDEX(Settings!$L$4:$L$56,MATCH(C1124,Settings!$K$4:$K$56,0)),"Unknown"))</f>
        <v/>
      </c>
      <c r="I1124" s="8" t="str">
        <f t="shared" si="51"/>
        <v/>
      </c>
      <c r="J1124" s="8" t="str">
        <f t="shared" si="52"/>
        <v/>
      </c>
      <c r="K1124" s="24"/>
      <c r="L1124" s="7" t="str">
        <f t="shared" si="53"/>
        <v/>
      </c>
    </row>
    <row r="1125" spans="1:12" x14ac:dyDescent="0.25">
      <c r="A1125" s="23"/>
      <c r="B1125" s="24"/>
      <c r="C1125" s="24"/>
      <c r="D1125" s="24"/>
      <c r="E1125" s="24"/>
      <c r="F1125" s="24"/>
      <c r="G1125" s="25"/>
      <c r="H1125" s="16" t="str">
        <f>IF(C1125="","",IFERROR(INDEX(Settings!$L$4:$L$56,MATCH(C1125,Settings!$K$4:$K$56,0)),"Unknown"))</f>
        <v/>
      </c>
      <c r="I1125" s="8" t="str">
        <f t="shared" si="51"/>
        <v/>
      </c>
      <c r="J1125" s="8" t="str">
        <f t="shared" si="52"/>
        <v/>
      </c>
      <c r="K1125" s="24"/>
      <c r="L1125" s="7" t="str">
        <f t="shared" si="53"/>
        <v/>
      </c>
    </row>
    <row r="1126" spans="1:12" x14ac:dyDescent="0.25">
      <c r="A1126" s="23"/>
      <c r="B1126" s="24"/>
      <c r="C1126" s="24"/>
      <c r="D1126" s="24"/>
      <c r="E1126" s="24"/>
      <c r="F1126" s="24"/>
      <c r="G1126" s="25"/>
      <c r="H1126" s="16" t="str">
        <f>IF(C1126="","",IFERROR(INDEX(Settings!$L$4:$L$56,MATCH(C1126,Settings!$K$4:$K$56,0)),"Unknown"))</f>
        <v/>
      </c>
      <c r="I1126" s="8" t="str">
        <f t="shared" si="51"/>
        <v/>
      </c>
      <c r="J1126" s="8" t="str">
        <f t="shared" si="52"/>
        <v/>
      </c>
      <c r="K1126" s="24"/>
      <c r="L1126" s="7" t="str">
        <f t="shared" si="53"/>
        <v/>
      </c>
    </row>
    <row r="1127" spans="1:12" x14ac:dyDescent="0.25">
      <c r="A1127" s="23"/>
      <c r="B1127" s="24"/>
      <c r="C1127" s="24"/>
      <c r="D1127" s="24"/>
      <c r="E1127" s="24"/>
      <c r="F1127" s="24"/>
      <c r="G1127" s="25"/>
      <c r="H1127" s="16" t="str">
        <f>IF(C1127="","",IFERROR(INDEX(Settings!$L$4:$L$56,MATCH(C1127,Settings!$K$4:$K$56,0)),"Unknown"))</f>
        <v/>
      </c>
      <c r="I1127" s="8" t="str">
        <f t="shared" si="51"/>
        <v/>
      </c>
      <c r="J1127" s="8" t="str">
        <f t="shared" si="52"/>
        <v/>
      </c>
      <c r="K1127" s="24"/>
      <c r="L1127" s="7" t="str">
        <f t="shared" si="53"/>
        <v/>
      </c>
    </row>
    <row r="1128" spans="1:12" x14ac:dyDescent="0.25">
      <c r="A1128" s="23"/>
      <c r="B1128" s="24"/>
      <c r="C1128" s="24"/>
      <c r="D1128" s="24"/>
      <c r="E1128" s="24"/>
      <c r="F1128" s="24"/>
      <c r="G1128" s="25"/>
      <c r="H1128" s="16" t="str">
        <f>IF(C1128="","",IFERROR(INDEX(Settings!$L$4:$L$56,MATCH(C1128,Settings!$K$4:$K$56,0)),"Unknown"))</f>
        <v/>
      </c>
      <c r="I1128" s="8" t="str">
        <f t="shared" si="51"/>
        <v/>
      </c>
      <c r="J1128" s="8" t="str">
        <f t="shared" si="52"/>
        <v/>
      </c>
      <c r="K1128" s="24"/>
      <c r="L1128" s="7" t="str">
        <f t="shared" si="53"/>
        <v/>
      </c>
    </row>
    <row r="1129" spans="1:12" x14ac:dyDescent="0.25">
      <c r="A1129" s="23"/>
      <c r="B1129" s="24"/>
      <c r="C1129" s="24"/>
      <c r="D1129" s="24"/>
      <c r="E1129" s="24"/>
      <c r="F1129" s="24"/>
      <c r="G1129" s="25"/>
      <c r="H1129" s="16" t="str">
        <f>IF(C1129="","",IFERROR(INDEX(Settings!$L$4:$L$56,MATCH(C1129,Settings!$K$4:$K$56,0)),"Unknown"))</f>
        <v/>
      </c>
      <c r="I1129" s="8" t="str">
        <f t="shared" si="51"/>
        <v/>
      </c>
      <c r="J1129" s="8" t="str">
        <f t="shared" si="52"/>
        <v/>
      </c>
      <c r="K1129" s="24"/>
      <c r="L1129" s="7" t="str">
        <f t="shared" si="53"/>
        <v/>
      </c>
    </row>
    <row r="1130" spans="1:12" x14ac:dyDescent="0.25">
      <c r="A1130" s="23"/>
      <c r="B1130" s="24"/>
      <c r="C1130" s="24"/>
      <c r="D1130" s="24"/>
      <c r="E1130" s="24"/>
      <c r="F1130" s="24"/>
      <c r="G1130" s="25"/>
      <c r="H1130" s="16" t="str">
        <f>IF(C1130="","",IFERROR(INDEX(Settings!$L$4:$L$56,MATCH(C1130,Settings!$K$4:$K$56,0)),"Unknown"))</f>
        <v/>
      </c>
      <c r="I1130" s="8" t="str">
        <f t="shared" si="51"/>
        <v/>
      </c>
      <c r="J1130" s="8" t="str">
        <f t="shared" si="52"/>
        <v/>
      </c>
      <c r="K1130" s="24"/>
      <c r="L1130" s="7" t="str">
        <f t="shared" si="53"/>
        <v/>
      </c>
    </row>
    <row r="1131" spans="1:12" x14ac:dyDescent="0.25">
      <c r="A1131" s="23"/>
      <c r="B1131" s="24"/>
      <c r="C1131" s="24"/>
      <c r="D1131" s="24"/>
      <c r="E1131" s="24"/>
      <c r="F1131" s="24"/>
      <c r="G1131" s="25"/>
      <c r="H1131" s="16" t="str">
        <f>IF(C1131="","",IFERROR(INDEX(Settings!$L$4:$L$56,MATCH(C1131,Settings!$K$4:$K$56,0)),"Unknown"))</f>
        <v/>
      </c>
      <c r="I1131" s="8" t="str">
        <f t="shared" si="51"/>
        <v/>
      </c>
      <c r="J1131" s="8" t="str">
        <f t="shared" si="52"/>
        <v/>
      </c>
      <c r="K1131" s="24"/>
      <c r="L1131" s="7" t="str">
        <f t="shared" si="53"/>
        <v/>
      </c>
    </row>
    <row r="1132" spans="1:12" x14ac:dyDescent="0.25">
      <c r="A1132" s="23"/>
      <c r="B1132" s="24"/>
      <c r="C1132" s="24"/>
      <c r="D1132" s="24"/>
      <c r="E1132" s="24"/>
      <c r="F1132" s="24"/>
      <c r="G1132" s="25"/>
      <c r="H1132" s="16" t="str">
        <f>IF(C1132="","",IFERROR(INDEX(Settings!$L$4:$L$56,MATCH(C1132,Settings!$K$4:$K$56,0)),"Unknown"))</f>
        <v/>
      </c>
      <c r="I1132" s="8" t="str">
        <f t="shared" si="51"/>
        <v/>
      </c>
      <c r="J1132" s="8" t="str">
        <f t="shared" si="52"/>
        <v/>
      </c>
      <c r="K1132" s="24"/>
      <c r="L1132" s="7" t="str">
        <f t="shared" si="53"/>
        <v/>
      </c>
    </row>
    <row r="1133" spans="1:12" x14ac:dyDescent="0.25">
      <c r="A1133" s="23"/>
      <c r="B1133" s="24"/>
      <c r="C1133" s="24"/>
      <c r="D1133" s="24"/>
      <c r="E1133" s="24"/>
      <c r="F1133" s="24"/>
      <c r="G1133" s="25"/>
      <c r="H1133" s="16" t="str">
        <f>IF(C1133="","",IFERROR(INDEX(Settings!$L$4:$L$56,MATCH(C1133,Settings!$K$4:$K$56,0)),"Unknown"))</f>
        <v/>
      </c>
      <c r="I1133" s="8" t="str">
        <f t="shared" si="51"/>
        <v/>
      </c>
      <c r="J1133" s="8" t="str">
        <f t="shared" si="52"/>
        <v/>
      </c>
      <c r="K1133" s="24"/>
      <c r="L1133" s="7" t="str">
        <f t="shared" si="53"/>
        <v/>
      </c>
    </row>
    <row r="1134" spans="1:12" x14ac:dyDescent="0.25">
      <c r="A1134" s="23"/>
      <c r="B1134" s="24"/>
      <c r="C1134" s="24"/>
      <c r="D1134" s="24"/>
      <c r="E1134" s="24"/>
      <c r="F1134" s="24"/>
      <c r="G1134" s="25"/>
      <c r="H1134" s="16" t="str">
        <f>IF(C1134="","",IFERROR(INDEX(Settings!$L$4:$L$56,MATCH(C1134,Settings!$K$4:$K$56,0)),"Unknown"))</f>
        <v/>
      </c>
      <c r="I1134" s="8" t="str">
        <f t="shared" si="51"/>
        <v/>
      </c>
      <c r="J1134" s="8" t="str">
        <f t="shared" si="52"/>
        <v/>
      </c>
      <c r="K1134" s="24"/>
      <c r="L1134" s="7" t="str">
        <f t="shared" si="53"/>
        <v/>
      </c>
    </row>
    <row r="1135" spans="1:12" x14ac:dyDescent="0.25">
      <c r="A1135" s="23"/>
      <c r="B1135" s="24"/>
      <c r="C1135" s="24"/>
      <c r="D1135" s="24"/>
      <c r="E1135" s="24"/>
      <c r="F1135" s="24"/>
      <c r="G1135" s="25"/>
      <c r="H1135" s="16" t="str">
        <f>IF(C1135="","",IFERROR(INDEX(Settings!$L$4:$L$56,MATCH(C1135,Settings!$K$4:$K$56,0)),"Unknown"))</f>
        <v/>
      </c>
      <c r="I1135" s="8" t="str">
        <f t="shared" si="51"/>
        <v/>
      </c>
      <c r="J1135" s="8" t="str">
        <f t="shared" si="52"/>
        <v/>
      </c>
      <c r="K1135" s="24"/>
      <c r="L1135" s="7" t="str">
        <f t="shared" si="53"/>
        <v/>
      </c>
    </row>
    <row r="1136" spans="1:12" x14ac:dyDescent="0.25">
      <c r="A1136" s="23"/>
      <c r="B1136" s="24"/>
      <c r="C1136" s="24"/>
      <c r="D1136" s="24"/>
      <c r="E1136" s="24"/>
      <c r="F1136" s="24"/>
      <c r="G1136" s="25"/>
      <c r="H1136" s="16" t="str">
        <f>IF(C1136="","",IFERROR(INDEX(Settings!$L$4:$L$56,MATCH(C1136,Settings!$K$4:$K$56,0)),"Unknown"))</f>
        <v/>
      </c>
      <c r="I1136" s="8" t="str">
        <f t="shared" si="51"/>
        <v/>
      </c>
      <c r="J1136" s="8" t="str">
        <f t="shared" si="52"/>
        <v/>
      </c>
      <c r="K1136" s="24"/>
      <c r="L1136" s="7" t="str">
        <f t="shared" si="53"/>
        <v/>
      </c>
    </row>
    <row r="1137" spans="1:12" x14ac:dyDescent="0.25">
      <c r="A1137" s="23"/>
      <c r="B1137" s="24"/>
      <c r="C1137" s="24"/>
      <c r="D1137" s="24"/>
      <c r="E1137" s="24"/>
      <c r="F1137" s="24"/>
      <c r="G1137" s="25"/>
      <c r="H1137" s="16" t="str">
        <f>IF(C1137="","",IFERROR(INDEX(Settings!$L$4:$L$56,MATCH(C1137,Settings!$K$4:$K$56,0)),"Unknown"))</f>
        <v/>
      </c>
      <c r="I1137" s="8" t="str">
        <f t="shared" si="51"/>
        <v/>
      </c>
      <c r="J1137" s="8" t="str">
        <f t="shared" si="52"/>
        <v/>
      </c>
      <c r="K1137" s="24"/>
      <c r="L1137" s="7" t="str">
        <f t="shared" si="53"/>
        <v/>
      </c>
    </row>
    <row r="1138" spans="1:12" x14ac:dyDescent="0.25">
      <c r="A1138" s="23"/>
      <c r="B1138" s="24"/>
      <c r="C1138" s="24"/>
      <c r="D1138" s="24"/>
      <c r="E1138" s="24"/>
      <c r="F1138" s="24"/>
      <c r="G1138" s="25"/>
      <c r="H1138" s="16" t="str">
        <f>IF(C1138="","",IFERROR(INDEX(Settings!$L$4:$L$56,MATCH(C1138,Settings!$K$4:$K$56,0)),"Unknown"))</f>
        <v/>
      </c>
      <c r="I1138" s="8" t="str">
        <f t="shared" si="51"/>
        <v/>
      </c>
      <c r="J1138" s="8" t="str">
        <f t="shared" si="52"/>
        <v/>
      </c>
      <c r="K1138" s="24"/>
      <c r="L1138" s="7" t="str">
        <f t="shared" si="53"/>
        <v/>
      </c>
    </row>
    <row r="1139" spans="1:12" x14ac:dyDescent="0.25">
      <c r="A1139" s="23"/>
      <c r="B1139" s="24"/>
      <c r="C1139" s="24"/>
      <c r="D1139" s="24"/>
      <c r="E1139" s="24"/>
      <c r="F1139" s="24"/>
      <c r="G1139" s="25"/>
      <c r="H1139" s="16" t="str">
        <f>IF(C1139="","",IFERROR(INDEX(Settings!$L$4:$L$56,MATCH(C1139,Settings!$K$4:$K$56,0)),"Unknown"))</f>
        <v/>
      </c>
      <c r="I1139" s="8" t="str">
        <f t="shared" si="51"/>
        <v/>
      </c>
      <c r="J1139" s="8" t="str">
        <f t="shared" si="52"/>
        <v/>
      </c>
      <c r="K1139" s="24"/>
      <c r="L1139" s="7" t="str">
        <f t="shared" si="53"/>
        <v/>
      </c>
    </row>
    <row r="1140" spans="1:12" x14ac:dyDescent="0.25">
      <c r="A1140" s="23"/>
      <c r="B1140" s="24"/>
      <c r="C1140" s="24"/>
      <c r="D1140" s="24"/>
      <c r="E1140" s="24"/>
      <c r="F1140" s="24"/>
      <c r="G1140" s="25"/>
      <c r="H1140" s="16" t="str">
        <f>IF(C1140="","",IFERROR(INDEX(Settings!$L$4:$L$56,MATCH(C1140,Settings!$K$4:$K$56,0)),"Unknown"))</f>
        <v/>
      </c>
      <c r="I1140" s="8" t="str">
        <f t="shared" si="51"/>
        <v/>
      </c>
      <c r="J1140" s="8" t="str">
        <f t="shared" si="52"/>
        <v/>
      </c>
      <c r="K1140" s="24"/>
      <c r="L1140" s="7" t="str">
        <f t="shared" si="53"/>
        <v/>
      </c>
    </row>
    <row r="1141" spans="1:12" x14ac:dyDescent="0.25">
      <c r="A1141" s="23"/>
      <c r="B1141" s="24"/>
      <c r="C1141" s="24"/>
      <c r="D1141" s="24"/>
      <c r="E1141" s="24"/>
      <c r="F1141" s="24"/>
      <c r="G1141" s="25"/>
      <c r="H1141" s="16" t="str">
        <f>IF(C1141="","",IFERROR(INDEX(Settings!$L$4:$L$56,MATCH(C1141,Settings!$K$4:$K$56,0)),"Unknown"))</f>
        <v/>
      </c>
      <c r="I1141" s="8" t="str">
        <f t="shared" si="51"/>
        <v/>
      </c>
      <c r="J1141" s="8" t="str">
        <f t="shared" si="52"/>
        <v/>
      </c>
      <c r="K1141" s="24"/>
      <c r="L1141" s="7" t="str">
        <f t="shared" si="53"/>
        <v/>
      </c>
    </row>
    <row r="1142" spans="1:12" x14ac:dyDescent="0.25">
      <c r="A1142" s="23"/>
      <c r="B1142" s="24"/>
      <c r="C1142" s="24"/>
      <c r="D1142" s="24"/>
      <c r="E1142" s="24"/>
      <c r="F1142" s="24"/>
      <c r="G1142" s="25"/>
      <c r="H1142" s="16" t="str">
        <f>IF(C1142="","",IFERROR(INDEX(Settings!$L$4:$L$56,MATCH(C1142,Settings!$K$4:$K$56,0)),"Unknown"))</f>
        <v/>
      </c>
      <c r="I1142" s="8" t="str">
        <f t="shared" si="51"/>
        <v/>
      </c>
      <c r="J1142" s="8" t="str">
        <f t="shared" si="52"/>
        <v/>
      </c>
      <c r="K1142" s="24"/>
      <c r="L1142" s="7" t="str">
        <f t="shared" si="53"/>
        <v/>
      </c>
    </row>
    <row r="1143" spans="1:12" x14ac:dyDescent="0.25">
      <c r="A1143" s="23"/>
      <c r="B1143" s="24"/>
      <c r="C1143" s="24"/>
      <c r="D1143" s="24"/>
      <c r="E1143" s="24"/>
      <c r="F1143" s="24"/>
      <c r="G1143" s="25"/>
      <c r="H1143" s="16" t="str">
        <f>IF(C1143="","",IFERROR(INDEX(Settings!$L$4:$L$56,MATCH(C1143,Settings!$K$4:$K$56,0)),"Unknown"))</f>
        <v/>
      </c>
      <c r="I1143" s="8" t="str">
        <f t="shared" si="51"/>
        <v/>
      </c>
      <c r="J1143" s="8" t="str">
        <f t="shared" si="52"/>
        <v/>
      </c>
      <c r="K1143" s="24"/>
      <c r="L1143" s="7" t="str">
        <f t="shared" si="53"/>
        <v/>
      </c>
    </row>
    <row r="1144" spans="1:12" x14ac:dyDescent="0.25">
      <c r="A1144" s="23"/>
      <c r="B1144" s="24"/>
      <c r="C1144" s="24"/>
      <c r="D1144" s="24"/>
      <c r="E1144" s="24"/>
      <c r="F1144" s="24"/>
      <c r="G1144" s="25"/>
      <c r="H1144" s="16" t="str">
        <f>IF(C1144="","",IFERROR(INDEX(Settings!$L$4:$L$56,MATCH(C1144,Settings!$K$4:$K$56,0)),"Unknown"))</f>
        <v/>
      </c>
      <c r="I1144" s="8" t="str">
        <f t="shared" si="51"/>
        <v/>
      </c>
      <c r="J1144" s="8" t="str">
        <f t="shared" si="52"/>
        <v/>
      </c>
      <c r="K1144" s="24"/>
      <c r="L1144" s="7" t="str">
        <f t="shared" si="53"/>
        <v/>
      </c>
    </row>
    <row r="1145" spans="1:12" x14ac:dyDescent="0.25">
      <c r="A1145" s="23"/>
      <c r="B1145" s="24"/>
      <c r="C1145" s="24"/>
      <c r="D1145" s="24"/>
      <c r="E1145" s="24"/>
      <c r="F1145" s="24"/>
      <c r="G1145" s="25"/>
      <c r="H1145" s="16" t="str">
        <f>IF(C1145="","",IFERROR(INDEX(Settings!$L$4:$L$56,MATCH(C1145,Settings!$K$4:$K$56,0)),"Unknown"))</f>
        <v/>
      </c>
      <c r="I1145" s="8" t="str">
        <f t="shared" si="51"/>
        <v/>
      </c>
      <c r="J1145" s="8" t="str">
        <f t="shared" si="52"/>
        <v/>
      </c>
      <c r="K1145" s="24"/>
      <c r="L1145" s="7" t="str">
        <f t="shared" si="53"/>
        <v/>
      </c>
    </row>
    <row r="1146" spans="1:12" x14ac:dyDescent="0.25">
      <c r="A1146" s="23"/>
      <c r="B1146" s="24"/>
      <c r="C1146" s="24"/>
      <c r="D1146" s="24"/>
      <c r="E1146" s="24"/>
      <c r="F1146" s="24"/>
      <c r="G1146" s="25"/>
      <c r="H1146" s="16" t="str">
        <f>IF(C1146="","",IFERROR(INDEX(Settings!$L$4:$L$56,MATCH(C1146,Settings!$K$4:$K$56,0)),"Unknown"))</f>
        <v/>
      </c>
      <c r="I1146" s="8" t="str">
        <f t="shared" si="51"/>
        <v/>
      </c>
      <c r="J1146" s="8" t="str">
        <f t="shared" si="52"/>
        <v/>
      </c>
      <c r="K1146" s="24"/>
      <c r="L1146" s="7" t="str">
        <f t="shared" si="53"/>
        <v/>
      </c>
    </row>
    <row r="1147" spans="1:12" x14ac:dyDescent="0.25">
      <c r="A1147" s="23"/>
      <c r="B1147" s="24"/>
      <c r="C1147" s="24"/>
      <c r="D1147" s="24"/>
      <c r="E1147" s="24"/>
      <c r="F1147" s="24"/>
      <c r="G1147" s="25"/>
      <c r="H1147" s="16" t="str">
        <f>IF(C1147="","",IFERROR(INDEX(Settings!$L$4:$L$56,MATCH(C1147,Settings!$K$4:$K$56,0)),"Unknown"))</f>
        <v/>
      </c>
      <c r="I1147" s="8" t="str">
        <f t="shared" si="51"/>
        <v/>
      </c>
      <c r="J1147" s="8" t="str">
        <f t="shared" si="52"/>
        <v/>
      </c>
      <c r="K1147" s="24"/>
      <c r="L1147" s="7" t="str">
        <f t="shared" si="53"/>
        <v/>
      </c>
    </row>
    <row r="1148" spans="1:12" x14ac:dyDescent="0.25">
      <c r="A1148" s="23"/>
      <c r="B1148" s="24"/>
      <c r="C1148" s="24"/>
      <c r="D1148" s="24"/>
      <c r="E1148" s="24"/>
      <c r="F1148" s="24"/>
      <c r="G1148" s="25"/>
      <c r="H1148" s="16" t="str">
        <f>IF(C1148="","",IFERROR(INDEX(Settings!$L$4:$L$56,MATCH(C1148,Settings!$K$4:$K$56,0)),"Unknown"))</f>
        <v/>
      </c>
      <c r="I1148" s="8" t="str">
        <f t="shared" si="51"/>
        <v/>
      </c>
      <c r="J1148" s="8" t="str">
        <f t="shared" si="52"/>
        <v/>
      </c>
      <c r="K1148" s="24"/>
      <c r="L1148" s="7" t="str">
        <f t="shared" si="53"/>
        <v/>
      </c>
    </row>
    <row r="1149" spans="1:12" x14ac:dyDescent="0.25">
      <c r="A1149" s="23"/>
      <c r="B1149" s="24"/>
      <c r="C1149" s="24"/>
      <c r="D1149" s="24"/>
      <c r="E1149" s="24"/>
      <c r="F1149" s="24"/>
      <c r="G1149" s="25"/>
      <c r="H1149" s="16" t="str">
        <f>IF(C1149="","",IFERROR(INDEX(Settings!$L$4:$L$56,MATCH(C1149,Settings!$K$4:$K$56,0)),"Unknown"))</f>
        <v/>
      </c>
      <c r="I1149" s="8" t="str">
        <f t="shared" si="51"/>
        <v/>
      </c>
      <c r="J1149" s="8" t="str">
        <f t="shared" si="52"/>
        <v/>
      </c>
      <c r="K1149" s="24"/>
      <c r="L1149" s="7" t="str">
        <f t="shared" si="53"/>
        <v/>
      </c>
    </row>
    <row r="1150" spans="1:12" x14ac:dyDescent="0.25">
      <c r="A1150" s="23"/>
      <c r="B1150" s="24"/>
      <c r="C1150" s="24"/>
      <c r="D1150" s="24"/>
      <c r="E1150" s="24"/>
      <c r="F1150" s="24"/>
      <c r="G1150" s="25"/>
      <c r="H1150" s="16" t="str">
        <f>IF(C1150="","",IFERROR(INDEX(Settings!$L$4:$L$56,MATCH(C1150,Settings!$K$4:$K$56,0)),"Unknown"))</f>
        <v/>
      </c>
      <c r="I1150" s="8" t="str">
        <f t="shared" si="51"/>
        <v/>
      </c>
      <c r="J1150" s="8" t="str">
        <f t="shared" si="52"/>
        <v/>
      </c>
      <c r="K1150" s="24"/>
      <c r="L1150" s="7" t="str">
        <f t="shared" si="53"/>
        <v/>
      </c>
    </row>
    <row r="1151" spans="1:12" x14ac:dyDescent="0.25">
      <c r="A1151" s="23"/>
      <c r="B1151" s="24"/>
      <c r="C1151" s="24"/>
      <c r="D1151" s="24"/>
      <c r="E1151" s="24"/>
      <c r="F1151" s="24"/>
      <c r="G1151" s="25"/>
      <c r="H1151" s="16" t="str">
        <f>IF(C1151="","",IFERROR(INDEX(Settings!$L$4:$L$56,MATCH(C1151,Settings!$K$4:$K$56,0)),"Unknown"))</f>
        <v/>
      </c>
      <c r="I1151" s="8" t="str">
        <f t="shared" si="51"/>
        <v/>
      </c>
      <c r="J1151" s="8" t="str">
        <f t="shared" si="52"/>
        <v/>
      </c>
      <c r="K1151" s="24"/>
      <c r="L1151" s="7" t="str">
        <f t="shared" si="53"/>
        <v/>
      </c>
    </row>
    <row r="1152" spans="1:12" x14ac:dyDescent="0.25">
      <c r="A1152" s="23"/>
      <c r="B1152" s="24"/>
      <c r="C1152" s="24"/>
      <c r="D1152" s="24"/>
      <c r="E1152" s="24"/>
      <c r="F1152" s="24"/>
      <c r="G1152" s="25"/>
      <c r="H1152" s="16" t="str">
        <f>IF(C1152="","",IFERROR(INDEX(Settings!$L$4:$L$56,MATCH(C1152,Settings!$K$4:$K$56,0)),"Unknown"))</f>
        <v/>
      </c>
      <c r="I1152" s="8" t="str">
        <f t="shared" si="51"/>
        <v/>
      </c>
      <c r="J1152" s="8" t="str">
        <f t="shared" si="52"/>
        <v/>
      </c>
      <c r="K1152" s="24"/>
      <c r="L1152" s="7" t="str">
        <f t="shared" si="53"/>
        <v/>
      </c>
    </row>
    <row r="1153" spans="1:12" x14ac:dyDescent="0.25">
      <c r="A1153" s="23"/>
      <c r="B1153" s="24"/>
      <c r="C1153" s="24"/>
      <c r="D1153" s="24"/>
      <c r="E1153" s="24"/>
      <c r="F1153" s="24"/>
      <c r="G1153" s="25"/>
      <c r="H1153" s="16" t="str">
        <f>IF(C1153="","",IFERROR(INDEX(Settings!$L$4:$L$56,MATCH(C1153,Settings!$K$4:$K$56,0)),"Unknown"))</f>
        <v/>
      </c>
      <c r="I1153" s="8" t="str">
        <f t="shared" si="51"/>
        <v/>
      </c>
      <c r="J1153" s="8" t="str">
        <f t="shared" si="52"/>
        <v/>
      </c>
      <c r="K1153" s="24"/>
      <c r="L1153" s="7" t="str">
        <f t="shared" si="53"/>
        <v/>
      </c>
    </row>
    <row r="1154" spans="1:12" x14ac:dyDescent="0.25">
      <c r="A1154" s="23"/>
      <c r="B1154" s="24"/>
      <c r="C1154" s="24"/>
      <c r="D1154" s="24"/>
      <c r="E1154" s="24"/>
      <c r="F1154" s="24"/>
      <c r="G1154" s="25"/>
      <c r="H1154" s="16" t="str">
        <f>IF(C1154="","",IFERROR(INDEX(Settings!$L$4:$L$56,MATCH(C1154,Settings!$K$4:$K$56,0)),"Unknown"))</f>
        <v/>
      </c>
      <c r="I1154" s="8" t="str">
        <f t="shared" si="51"/>
        <v/>
      </c>
      <c r="J1154" s="8" t="str">
        <f t="shared" si="52"/>
        <v/>
      </c>
      <c r="K1154" s="24"/>
      <c r="L1154" s="7" t="str">
        <f t="shared" si="53"/>
        <v/>
      </c>
    </row>
    <row r="1155" spans="1:12" x14ac:dyDescent="0.25">
      <c r="A1155" s="23"/>
      <c r="B1155" s="24"/>
      <c r="C1155" s="24"/>
      <c r="D1155" s="24"/>
      <c r="E1155" s="24"/>
      <c r="F1155" s="24"/>
      <c r="G1155" s="25"/>
      <c r="H1155" s="16" t="str">
        <f>IF(C1155="","",IFERROR(INDEX(Settings!$L$4:$L$56,MATCH(C1155,Settings!$K$4:$K$56,0)),"Unknown"))</f>
        <v/>
      </c>
      <c r="I1155" s="8" t="str">
        <f t="shared" si="51"/>
        <v/>
      </c>
      <c r="J1155" s="8" t="str">
        <f t="shared" si="52"/>
        <v/>
      </c>
      <c r="K1155" s="24"/>
      <c r="L1155" s="7" t="str">
        <f t="shared" si="53"/>
        <v/>
      </c>
    </row>
    <row r="1156" spans="1:12" x14ac:dyDescent="0.25">
      <c r="A1156" s="23"/>
      <c r="B1156" s="24"/>
      <c r="C1156" s="24"/>
      <c r="D1156" s="24"/>
      <c r="E1156" s="24"/>
      <c r="F1156" s="24"/>
      <c r="G1156" s="25"/>
      <c r="H1156" s="16" t="str">
        <f>IF(C1156="","",IFERROR(INDEX(Settings!$L$4:$L$56,MATCH(C1156,Settings!$K$4:$K$56,0)),"Unknown"))</f>
        <v/>
      </c>
      <c r="I1156" s="8" t="str">
        <f t="shared" si="51"/>
        <v/>
      </c>
      <c r="J1156" s="8" t="str">
        <f t="shared" si="52"/>
        <v/>
      </c>
      <c r="K1156" s="24"/>
      <c r="L1156" s="7" t="str">
        <f t="shared" si="53"/>
        <v/>
      </c>
    </row>
    <row r="1157" spans="1:12" x14ac:dyDescent="0.25">
      <c r="A1157" s="23"/>
      <c r="B1157" s="24"/>
      <c r="C1157" s="24"/>
      <c r="D1157" s="24"/>
      <c r="E1157" s="24"/>
      <c r="F1157" s="24"/>
      <c r="G1157" s="25"/>
      <c r="H1157" s="16" t="str">
        <f>IF(C1157="","",IFERROR(INDEX(Settings!$L$4:$L$56,MATCH(C1157,Settings!$K$4:$K$56,0)),"Unknown"))</f>
        <v/>
      </c>
      <c r="I1157" s="8" t="str">
        <f t="shared" si="51"/>
        <v/>
      </c>
      <c r="J1157" s="8" t="str">
        <f t="shared" si="52"/>
        <v/>
      </c>
      <c r="K1157" s="24"/>
      <c r="L1157" s="7" t="str">
        <f t="shared" si="53"/>
        <v/>
      </c>
    </row>
    <row r="1158" spans="1:12" x14ac:dyDescent="0.25">
      <c r="A1158" s="23"/>
      <c r="B1158" s="24"/>
      <c r="C1158" s="24"/>
      <c r="D1158" s="24"/>
      <c r="E1158" s="24"/>
      <c r="F1158" s="24"/>
      <c r="G1158" s="25"/>
      <c r="H1158" s="16" t="str">
        <f>IF(C1158="","",IFERROR(INDEX(Settings!$L$4:$L$56,MATCH(C1158,Settings!$K$4:$K$56,0)),"Unknown"))</f>
        <v/>
      </c>
      <c r="I1158" s="8" t="str">
        <f t="shared" ref="I1158:I1221" si="54">IF(A1158="","",MONTH(A1158))</f>
        <v/>
      </c>
      <c r="J1158" s="8" t="str">
        <f t="shared" ref="J1158:J1221" si="55">IF(A1158="","",YEAR(A1158))</f>
        <v/>
      </c>
      <c r="K1158" s="24"/>
      <c r="L1158" s="7" t="str">
        <f t="shared" ref="L1158:L1221" si="56">IF(OR(B1158="",C1158=""),"",IF(AND(B1158="Income",H1158&lt;&gt;"Income"),"Category is not an Income category",IF(AND(B1158="Expense",H1158="Income"),"Category is an Income category","OK")))</f>
        <v/>
      </c>
    </row>
    <row r="1159" spans="1:12" x14ac:dyDescent="0.25">
      <c r="A1159" s="23"/>
      <c r="B1159" s="24"/>
      <c r="C1159" s="24"/>
      <c r="D1159" s="24"/>
      <c r="E1159" s="24"/>
      <c r="F1159" s="24"/>
      <c r="G1159" s="25"/>
      <c r="H1159" s="16" t="str">
        <f>IF(C1159="","",IFERROR(INDEX(Settings!$L$4:$L$56,MATCH(C1159,Settings!$K$4:$K$56,0)),"Unknown"))</f>
        <v/>
      </c>
      <c r="I1159" s="8" t="str">
        <f t="shared" si="54"/>
        <v/>
      </c>
      <c r="J1159" s="8" t="str">
        <f t="shared" si="55"/>
        <v/>
      </c>
      <c r="K1159" s="24"/>
      <c r="L1159" s="7" t="str">
        <f t="shared" si="56"/>
        <v/>
      </c>
    </row>
    <row r="1160" spans="1:12" x14ac:dyDescent="0.25">
      <c r="A1160" s="23"/>
      <c r="B1160" s="24"/>
      <c r="C1160" s="24"/>
      <c r="D1160" s="24"/>
      <c r="E1160" s="24"/>
      <c r="F1160" s="24"/>
      <c r="G1160" s="25"/>
      <c r="H1160" s="16" t="str">
        <f>IF(C1160="","",IFERROR(INDEX(Settings!$L$4:$L$56,MATCH(C1160,Settings!$K$4:$K$56,0)),"Unknown"))</f>
        <v/>
      </c>
      <c r="I1160" s="8" t="str">
        <f t="shared" si="54"/>
        <v/>
      </c>
      <c r="J1160" s="8" t="str">
        <f t="shared" si="55"/>
        <v/>
      </c>
      <c r="K1160" s="24"/>
      <c r="L1160" s="7" t="str">
        <f t="shared" si="56"/>
        <v/>
      </c>
    </row>
    <row r="1161" spans="1:12" x14ac:dyDescent="0.25">
      <c r="A1161" s="23"/>
      <c r="B1161" s="24"/>
      <c r="C1161" s="24"/>
      <c r="D1161" s="24"/>
      <c r="E1161" s="24"/>
      <c r="F1161" s="24"/>
      <c r="G1161" s="25"/>
      <c r="H1161" s="16" t="str">
        <f>IF(C1161="","",IFERROR(INDEX(Settings!$L$4:$L$56,MATCH(C1161,Settings!$K$4:$K$56,0)),"Unknown"))</f>
        <v/>
      </c>
      <c r="I1161" s="8" t="str">
        <f t="shared" si="54"/>
        <v/>
      </c>
      <c r="J1161" s="8" t="str">
        <f t="shared" si="55"/>
        <v/>
      </c>
      <c r="K1161" s="24"/>
      <c r="L1161" s="7" t="str">
        <f t="shared" si="56"/>
        <v/>
      </c>
    </row>
    <row r="1162" spans="1:12" x14ac:dyDescent="0.25">
      <c r="A1162" s="23"/>
      <c r="B1162" s="24"/>
      <c r="C1162" s="24"/>
      <c r="D1162" s="24"/>
      <c r="E1162" s="24"/>
      <c r="F1162" s="24"/>
      <c r="G1162" s="25"/>
      <c r="H1162" s="16" t="str">
        <f>IF(C1162="","",IFERROR(INDEX(Settings!$L$4:$L$56,MATCH(C1162,Settings!$K$4:$K$56,0)),"Unknown"))</f>
        <v/>
      </c>
      <c r="I1162" s="8" t="str">
        <f t="shared" si="54"/>
        <v/>
      </c>
      <c r="J1162" s="8" t="str">
        <f t="shared" si="55"/>
        <v/>
      </c>
      <c r="K1162" s="24"/>
      <c r="L1162" s="7" t="str">
        <f t="shared" si="56"/>
        <v/>
      </c>
    </row>
    <row r="1163" spans="1:12" x14ac:dyDescent="0.25">
      <c r="A1163" s="23"/>
      <c r="B1163" s="24"/>
      <c r="C1163" s="24"/>
      <c r="D1163" s="24"/>
      <c r="E1163" s="24"/>
      <c r="F1163" s="24"/>
      <c r="G1163" s="25"/>
      <c r="H1163" s="16" t="str">
        <f>IF(C1163="","",IFERROR(INDEX(Settings!$L$4:$L$56,MATCH(C1163,Settings!$K$4:$K$56,0)),"Unknown"))</f>
        <v/>
      </c>
      <c r="I1163" s="8" t="str">
        <f t="shared" si="54"/>
        <v/>
      </c>
      <c r="J1163" s="8" t="str">
        <f t="shared" si="55"/>
        <v/>
      </c>
      <c r="K1163" s="24"/>
      <c r="L1163" s="7" t="str">
        <f t="shared" si="56"/>
        <v/>
      </c>
    </row>
    <row r="1164" spans="1:12" x14ac:dyDescent="0.25">
      <c r="A1164" s="23"/>
      <c r="B1164" s="24"/>
      <c r="C1164" s="24"/>
      <c r="D1164" s="24"/>
      <c r="E1164" s="24"/>
      <c r="F1164" s="24"/>
      <c r="G1164" s="25"/>
      <c r="H1164" s="16" t="str">
        <f>IF(C1164="","",IFERROR(INDEX(Settings!$L$4:$L$56,MATCH(C1164,Settings!$K$4:$K$56,0)),"Unknown"))</f>
        <v/>
      </c>
      <c r="I1164" s="8" t="str">
        <f t="shared" si="54"/>
        <v/>
      </c>
      <c r="J1164" s="8" t="str">
        <f t="shared" si="55"/>
        <v/>
      </c>
      <c r="K1164" s="24"/>
      <c r="L1164" s="7" t="str">
        <f t="shared" si="56"/>
        <v/>
      </c>
    </row>
    <row r="1165" spans="1:12" x14ac:dyDescent="0.25">
      <c r="A1165" s="23"/>
      <c r="B1165" s="24"/>
      <c r="C1165" s="24"/>
      <c r="D1165" s="24"/>
      <c r="E1165" s="24"/>
      <c r="F1165" s="24"/>
      <c r="G1165" s="25"/>
      <c r="H1165" s="16" t="str">
        <f>IF(C1165="","",IFERROR(INDEX(Settings!$L$4:$L$56,MATCH(C1165,Settings!$K$4:$K$56,0)),"Unknown"))</f>
        <v/>
      </c>
      <c r="I1165" s="8" t="str">
        <f t="shared" si="54"/>
        <v/>
      </c>
      <c r="J1165" s="8" t="str">
        <f t="shared" si="55"/>
        <v/>
      </c>
      <c r="K1165" s="24"/>
      <c r="L1165" s="7" t="str">
        <f t="shared" si="56"/>
        <v/>
      </c>
    </row>
    <row r="1166" spans="1:12" x14ac:dyDescent="0.25">
      <c r="A1166" s="23"/>
      <c r="B1166" s="24"/>
      <c r="C1166" s="24"/>
      <c r="D1166" s="24"/>
      <c r="E1166" s="24"/>
      <c r="F1166" s="24"/>
      <c r="G1166" s="25"/>
      <c r="H1166" s="16" t="str">
        <f>IF(C1166="","",IFERROR(INDEX(Settings!$L$4:$L$56,MATCH(C1166,Settings!$K$4:$K$56,0)),"Unknown"))</f>
        <v/>
      </c>
      <c r="I1166" s="8" t="str">
        <f t="shared" si="54"/>
        <v/>
      </c>
      <c r="J1166" s="8" t="str">
        <f t="shared" si="55"/>
        <v/>
      </c>
      <c r="K1166" s="24"/>
      <c r="L1166" s="7" t="str">
        <f t="shared" si="56"/>
        <v/>
      </c>
    </row>
    <row r="1167" spans="1:12" x14ac:dyDescent="0.25">
      <c r="A1167" s="23"/>
      <c r="B1167" s="24"/>
      <c r="C1167" s="24"/>
      <c r="D1167" s="24"/>
      <c r="E1167" s="24"/>
      <c r="F1167" s="24"/>
      <c r="G1167" s="25"/>
      <c r="H1167" s="16" t="str">
        <f>IF(C1167="","",IFERROR(INDEX(Settings!$L$4:$L$56,MATCH(C1167,Settings!$K$4:$K$56,0)),"Unknown"))</f>
        <v/>
      </c>
      <c r="I1167" s="8" t="str">
        <f t="shared" si="54"/>
        <v/>
      </c>
      <c r="J1167" s="8" t="str">
        <f t="shared" si="55"/>
        <v/>
      </c>
      <c r="K1167" s="24"/>
      <c r="L1167" s="7" t="str">
        <f t="shared" si="56"/>
        <v/>
      </c>
    </row>
    <row r="1168" spans="1:12" x14ac:dyDescent="0.25">
      <c r="A1168" s="23"/>
      <c r="B1168" s="24"/>
      <c r="C1168" s="24"/>
      <c r="D1168" s="24"/>
      <c r="E1168" s="24"/>
      <c r="F1168" s="24"/>
      <c r="G1168" s="25"/>
      <c r="H1168" s="16" t="str">
        <f>IF(C1168="","",IFERROR(INDEX(Settings!$L$4:$L$56,MATCH(C1168,Settings!$K$4:$K$56,0)),"Unknown"))</f>
        <v/>
      </c>
      <c r="I1168" s="8" t="str">
        <f t="shared" si="54"/>
        <v/>
      </c>
      <c r="J1168" s="8" t="str">
        <f t="shared" si="55"/>
        <v/>
      </c>
      <c r="K1168" s="24"/>
      <c r="L1168" s="7" t="str">
        <f t="shared" si="56"/>
        <v/>
      </c>
    </row>
    <row r="1169" spans="1:12" x14ac:dyDescent="0.25">
      <c r="A1169" s="23"/>
      <c r="B1169" s="24"/>
      <c r="C1169" s="24"/>
      <c r="D1169" s="24"/>
      <c r="E1169" s="24"/>
      <c r="F1169" s="24"/>
      <c r="G1169" s="25"/>
      <c r="H1169" s="16" t="str">
        <f>IF(C1169="","",IFERROR(INDEX(Settings!$L$4:$L$56,MATCH(C1169,Settings!$K$4:$K$56,0)),"Unknown"))</f>
        <v/>
      </c>
      <c r="I1169" s="8" t="str">
        <f t="shared" si="54"/>
        <v/>
      </c>
      <c r="J1169" s="8" t="str">
        <f t="shared" si="55"/>
        <v/>
      </c>
      <c r="K1169" s="24"/>
      <c r="L1169" s="7" t="str">
        <f t="shared" si="56"/>
        <v/>
      </c>
    </row>
    <row r="1170" spans="1:12" x14ac:dyDescent="0.25">
      <c r="A1170" s="23"/>
      <c r="B1170" s="24"/>
      <c r="C1170" s="24"/>
      <c r="D1170" s="24"/>
      <c r="E1170" s="24"/>
      <c r="F1170" s="24"/>
      <c r="G1170" s="25"/>
      <c r="H1170" s="16" t="str">
        <f>IF(C1170="","",IFERROR(INDEX(Settings!$L$4:$L$56,MATCH(C1170,Settings!$K$4:$K$56,0)),"Unknown"))</f>
        <v/>
      </c>
      <c r="I1170" s="8" t="str">
        <f t="shared" si="54"/>
        <v/>
      </c>
      <c r="J1170" s="8" t="str">
        <f t="shared" si="55"/>
        <v/>
      </c>
      <c r="K1170" s="24"/>
      <c r="L1170" s="7" t="str">
        <f t="shared" si="56"/>
        <v/>
      </c>
    </row>
    <row r="1171" spans="1:12" x14ac:dyDescent="0.25">
      <c r="A1171" s="23"/>
      <c r="B1171" s="24"/>
      <c r="C1171" s="24"/>
      <c r="D1171" s="24"/>
      <c r="E1171" s="24"/>
      <c r="F1171" s="24"/>
      <c r="G1171" s="25"/>
      <c r="H1171" s="16" t="str">
        <f>IF(C1171="","",IFERROR(INDEX(Settings!$L$4:$L$56,MATCH(C1171,Settings!$K$4:$K$56,0)),"Unknown"))</f>
        <v/>
      </c>
      <c r="I1171" s="8" t="str">
        <f t="shared" si="54"/>
        <v/>
      </c>
      <c r="J1171" s="8" t="str">
        <f t="shared" si="55"/>
        <v/>
      </c>
      <c r="K1171" s="24"/>
      <c r="L1171" s="7" t="str">
        <f t="shared" si="56"/>
        <v/>
      </c>
    </row>
    <row r="1172" spans="1:12" x14ac:dyDescent="0.25">
      <c r="A1172" s="23"/>
      <c r="B1172" s="24"/>
      <c r="C1172" s="24"/>
      <c r="D1172" s="24"/>
      <c r="E1172" s="24"/>
      <c r="F1172" s="24"/>
      <c r="G1172" s="25"/>
      <c r="H1172" s="16" t="str">
        <f>IF(C1172="","",IFERROR(INDEX(Settings!$L$4:$L$56,MATCH(C1172,Settings!$K$4:$K$56,0)),"Unknown"))</f>
        <v/>
      </c>
      <c r="I1172" s="8" t="str">
        <f t="shared" si="54"/>
        <v/>
      </c>
      <c r="J1172" s="8" t="str">
        <f t="shared" si="55"/>
        <v/>
      </c>
      <c r="K1172" s="24"/>
      <c r="L1172" s="7" t="str">
        <f t="shared" si="56"/>
        <v/>
      </c>
    </row>
    <row r="1173" spans="1:12" x14ac:dyDescent="0.25">
      <c r="A1173" s="23"/>
      <c r="B1173" s="24"/>
      <c r="C1173" s="24"/>
      <c r="D1173" s="24"/>
      <c r="E1173" s="24"/>
      <c r="F1173" s="24"/>
      <c r="G1173" s="25"/>
      <c r="H1173" s="16" t="str">
        <f>IF(C1173="","",IFERROR(INDEX(Settings!$L$4:$L$56,MATCH(C1173,Settings!$K$4:$K$56,0)),"Unknown"))</f>
        <v/>
      </c>
      <c r="I1173" s="8" t="str">
        <f t="shared" si="54"/>
        <v/>
      </c>
      <c r="J1173" s="8" t="str">
        <f t="shared" si="55"/>
        <v/>
      </c>
      <c r="K1173" s="24"/>
      <c r="L1173" s="7" t="str">
        <f t="shared" si="56"/>
        <v/>
      </c>
    </row>
    <row r="1174" spans="1:12" x14ac:dyDescent="0.25">
      <c r="A1174" s="23"/>
      <c r="B1174" s="24"/>
      <c r="C1174" s="24"/>
      <c r="D1174" s="24"/>
      <c r="E1174" s="24"/>
      <c r="F1174" s="24"/>
      <c r="G1174" s="25"/>
      <c r="H1174" s="16" t="str">
        <f>IF(C1174="","",IFERROR(INDEX(Settings!$L$4:$L$56,MATCH(C1174,Settings!$K$4:$K$56,0)),"Unknown"))</f>
        <v/>
      </c>
      <c r="I1174" s="8" t="str">
        <f t="shared" si="54"/>
        <v/>
      </c>
      <c r="J1174" s="8" t="str">
        <f t="shared" si="55"/>
        <v/>
      </c>
      <c r="K1174" s="24"/>
      <c r="L1174" s="7" t="str">
        <f t="shared" si="56"/>
        <v/>
      </c>
    </row>
    <row r="1175" spans="1:12" x14ac:dyDescent="0.25">
      <c r="A1175" s="23"/>
      <c r="B1175" s="24"/>
      <c r="C1175" s="24"/>
      <c r="D1175" s="24"/>
      <c r="E1175" s="24"/>
      <c r="F1175" s="24"/>
      <c r="G1175" s="25"/>
      <c r="H1175" s="16" t="str">
        <f>IF(C1175="","",IFERROR(INDEX(Settings!$L$4:$L$56,MATCH(C1175,Settings!$K$4:$K$56,0)),"Unknown"))</f>
        <v/>
      </c>
      <c r="I1175" s="8" t="str">
        <f t="shared" si="54"/>
        <v/>
      </c>
      <c r="J1175" s="8" t="str">
        <f t="shared" si="55"/>
        <v/>
      </c>
      <c r="K1175" s="24"/>
      <c r="L1175" s="7" t="str">
        <f t="shared" si="56"/>
        <v/>
      </c>
    </row>
    <row r="1176" spans="1:12" x14ac:dyDescent="0.25">
      <c r="A1176" s="23"/>
      <c r="B1176" s="24"/>
      <c r="C1176" s="24"/>
      <c r="D1176" s="24"/>
      <c r="E1176" s="24"/>
      <c r="F1176" s="24"/>
      <c r="G1176" s="25"/>
      <c r="H1176" s="16" t="str">
        <f>IF(C1176="","",IFERROR(INDEX(Settings!$L$4:$L$56,MATCH(C1176,Settings!$K$4:$K$56,0)),"Unknown"))</f>
        <v/>
      </c>
      <c r="I1176" s="8" t="str">
        <f t="shared" si="54"/>
        <v/>
      </c>
      <c r="J1176" s="8" t="str">
        <f t="shared" si="55"/>
        <v/>
      </c>
      <c r="K1176" s="24"/>
      <c r="L1176" s="7" t="str">
        <f t="shared" si="56"/>
        <v/>
      </c>
    </row>
    <row r="1177" spans="1:12" x14ac:dyDescent="0.25">
      <c r="A1177" s="23"/>
      <c r="B1177" s="24"/>
      <c r="C1177" s="24"/>
      <c r="D1177" s="24"/>
      <c r="E1177" s="24"/>
      <c r="F1177" s="24"/>
      <c r="G1177" s="25"/>
      <c r="H1177" s="16" t="str">
        <f>IF(C1177="","",IFERROR(INDEX(Settings!$L$4:$L$56,MATCH(C1177,Settings!$K$4:$K$56,0)),"Unknown"))</f>
        <v/>
      </c>
      <c r="I1177" s="8" t="str">
        <f t="shared" si="54"/>
        <v/>
      </c>
      <c r="J1177" s="8" t="str">
        <f t="shared" si="55"/>
        <v/>
      </c>
      <c r="K1177" s="24"/>
      <c r="L1177" s="7" t="str">
        <f t="shared" si="56"/>
        <v/>
      </c>
    </row>
    <row r="1178" spans="1:12" x14ac:dyDescent="0.25">
      <c r="A1178" s="23"/>
      <c r="B1178" s="24"/>
      <c r="C1178" s="24"/>
      <c r="D1178" s="24"/>
      <c r="E1178" s="24"/>
      <c r="F1178" s="24"/>
      <c r="G1178" s="25"/>
      <c r="H1178" s="16" t="str">
        <f>IF(C1178="","",IFERROR(INDEX(Settings!$L$4:$L$56,MATCH(C1178,Settings!$K$4:$K$56,0)),"Unknown"))</f>
        <v/>
      </c>
      <c r="I1178" s="8" t="str">
        <f t="shared" si="54"/>
        <v/>
      </c>
      <c r="J1178" s="8" t="str">
        <f t="shared" si="55"/>
        <v/>
      </c>
      <c r="K1178" s="24"/>
      <c r="L1178" s="7" t="str">
        <f t="shared" si="56"/>
        <v/>
      </c>
    </row>
    <row r="1179" spans="1:12" x14ac:dyDescent="0.25">
      <c r="A1179" s="23"/>
      <c r="B1179" s="24"/>
      <c r="C1179" s="24"/>
      <c r="D1179" s="24"/>
      <c r="E1179" s="24"/>
      <c r="F1179" s="24"/>
      <c r="G1179" s="25"/>
      <c r="H1179" s="16" t="str">
        <f>IF(C1179="","",IFERROR(INDEX(Settings!$L$4:$L$56,MATCH(C1179,Settings!$K$4:$K$56,0)),"Unknown"))</f>
        <v/>
      </c>
      <c r="I1179" s="8" t="str">
        <f t="shared" si="54"/>
        <v/>
      </c>
      <c r="J1179" s="8" t="str">
        <f t="shared" si="55"/>
        <v/>
      </c>
      <c r="K1179" s="24"/>
      <c r="L1179" s="7" t="str">
        <f t="shared" si="56"/>
        <v/>
      </c>
    </row>
    <row r="1180" spans="1:12" x14ac:dyDescent="0.25">
      <c r="A1180" s="23"/>
      <c r="B1180" s="24"/>
      <c r="C1180" s="24"/>
      <c r="D1180" s="24"/>
      <c r="E1180" s="24"/>
      <c r="F1180" s="24"/>
      <c r="G1180" s="25"/>
      <c r="H1180" s="16" t="str">
        <f>IF(C1180="","",IFERROR(INDEX(Settings!$L$4:$L$56,MATCH(C1180,Settings!$K$4:$K$56,0)),"Unknown"))</f>
        <v/>
      </c>
      <c r="I1180" s="8" t="str">
        <f t="shared" si="54"/>
        <v/>
      </c>
      <c r="J1180" s="8" t="str">
        <f t="shared" si="55"/>
        <v/>
      </c>
      <c r="K1180" s="24"/>
      <c r="L1180" s="7" t="str">
        <f t="shared" si="56"/>
        <v/>
      </c>
    </row>
    <row r="1181" spans="1:12" x14ac:dyDescent="0.25">
      <c r="A1181" s="23"/>
      <c r="B1181" s="24"/>
      <c r="C1181" s="24"/>
      <c r="D1181" s="24"/>
      <c r="E1181" s="24"/>
      <c r="F1181" s="24"/>
      <c r="G1181" s="25"/>
      <c r="H1181" s="16" t="str">
        <f>IF(C1181="","",IFERROR(INDEX(Settings!$L$4:$L$56,MATCH(C1181,Settings!$K$4:$K$56,0)),"Unknown"))</f>
        <v/>
      </c>
      <c r="I1181" s="8" t="str">
        <f t="shared" si="54"/>
        <v/>
      </c>
      <c r="J1181" s="8" t="str">
        <f t="shared" si="55"/>
        <v/>
      </c>
      <c r="K1181" s="24"/>
      <c r="L1181" s="7" t="str">
        <f t="shared" si="56"/>
        <v/>
      </c>
    </row>
    <row r="1182" spans="1:12" x14ac:dyDescent="0.25">
      <c r="A1182" s="23"/>
      <c r="B1182" s="24"/>
      <c r="C1182" s="24"/>
      <c r="D1182" s="24"/>
      <c r="E1182" s="24"/>
      <c r="F1182" s="24"/>
      <c r="G1182" s="25"/>
      <c r="H1182" s="16" t="str">
        <f>IF(C1182="","",IFERROR(INDEX(Settings!$L$4:$L$56,MATCH(C1182,Settings!$K$4:$K$56,0)),"Unknown"))</f>
        <v/>
      </c>
      <c r="I1182" s="8" t="str">
        <f t="shared" si="54"/>
        <v/>
      </c>
      <c r="J1182" s="8" t="str">
        <f t="shared" si="55"/>
        <v/>
      </c>
      <c r="K1182" s="24"/>
      <c r="L1182" s="7" t="str">
        <f t="shared" si="56"/>
        <v/>
      </c>
    </row>
    <row r="1183" spans="1:12" x14ac:dyDescent="0.25">
      <c r="A1183" s="23"/>
      <c r="B1183" s="24"/>
      <c r="C1183" s="24"/>
      <c r="D1183" s="24"/>
      <c r="E1183" s="24"/>
      <c r="F1183" s="24"/>
      <c r="G1183" s="25"/>
      <c r="H1183" s="16" t="str">
        <f>IF(C1183="","",IFERROR(INDEX(Settings!$L$4:$L$56,MATCH(C1183,Settings!$K$4:$K$56,0)),"Unknown"))</f>
        <v/>
      </c>
      <c r="I1183" s="8" t="str">
        <f t="shared" si="54"/>
        <v/>
      </c>
      <c r="J1183" s="8" t="str">
        <f t="shared" si="55"/>
        <v/>
      </c>
      <c r="K1183" s="24"/>
      <c r="L1183" s="7" t="str">
        <f t="shared" si="56"/>
        <v/>
      </c>
    </row>
    <row r="1184" spans="1:12" x14ac:dyDescent="0.25">
      <c r="A1184" s="23"/>
      <c r="B1184" s="24"/>
      <c r="C1184" s="24"/>
      <c r="D1184" s="24"/>
      <c r="E1184" s="24"/>
      <c r="F1184" s="24"/>
      <c r="G1184" s="25"/>
      <c r="H1184" s="16" t="str">
        <f>IF(C1184="","",IFERROR(INDEX(Settings!$L$4:$L$56,MATCH(C1184,Settings!$K$4:$K$56,0)),"Unknown"))</f>
        <v/>
      </c>
      <c r="I1184" s="8" t="str">
        <f t="shared" si="54"/>
        <v/>
      </c>
      <c r="J1184" s="8" t="str">
        <f t="shared" si="55"/>
        <v/>
      </c>
      <c r="K1184" s="24"/>
      <c r="L1184" s="7" t="str">
        <f t="shared" si="56"/>
        <v/>
      </c>
    </row>
    <row r="1185" spans="1:12" x14ac:dyDescent="0.25">
      <c r="A1185" s="23"/>
      <c r="B1185" s="24"/>
      <c r="C1185" s="24"/>
      <c r="D1185" s="24"/>
      <c r="E1185" s="24"/>
      <c r="F1185" s="24"/>
      <c r="G1185" s="25"/>
      <c r="H1185" s="16" t="str">
        <f>IF(C1185="","",IFERROR(INDEX(Settings!$L$4:$L$56,MATCH(C1185,Settings!$K$4:$K$56,0)),"Unknown"))</f>
        <v/>
      </c>
      <c r="I1185" s="8" t="str">
        <f t="shared" si="54"/>
        <v/>
      </c>
      <c r="J1185" s="8" t="str">
        <f t="shared" si="55"/>
        <v/>
      </c>
      <c r="K1185" s="24"/>
      <c r="L1185" s="7" t="str">
        <f t="shared" si="56"/>
        <v/>
      </c>
    </row>
    <row r="1186" spans="1:12" x14ac:dyDescent="0.25">
      <c r="A1186" s="23"/>
      <c r="B1186" s="24"/>
      <c r="C1186" s="24"/>
      <c r="D1186" s="24"/>
      <c r="E1186" s="24"/>
      <c r="F1186" s="24"/>
      <c r="G1186" s="25"/>
      <c r="H1186" s="16" t="str">
        <f>IF(C1186="","",IFERROR(INDEX(Settings!$L$4:$L$56,MATCH(C1186,Settings!$K$4:$K$56,0)),"Unknown"))</f>
        <v/>
      </c>
      <c r="I1186" s="8" t="str">
        <f t="shared" si="54"/>
        <v/>
      </c>
      <c r="J1186" s="8" t="str">
        <f t="shared" si="55"/>
        <v/>
      </c>
      <c r="K1186" s="24"/>
      <c r="L1186" s="7" t="str">
        <f t="shared" si="56"/>
        <v/>
      </c>
    </row>
    <row r="1187" spans="1:12" x14ac:dyDescent="0.25">
      <c r="A1187" s="23"/>
      <c r="B1187" s="24"/>
      <c r="C1187" s="24"/>
      <c r="D1187" s="24"/>
      <c r="E1187" s="24"/>
      <c r="F1187" s="24"/>
      <c r="G1187" s="25"/>
      <c r="H1187" s="16" t="str">
        <f>IF(C1187="","",IFERROR(INDEX(Settings!$L$4:$L$56,MATCH(C1187,Settings!$K$4:$K$56,0)),"Unknown"))</f>
        <v/>
      </c>
      <c r="I1187" s="8" t="str">
        <f t="shared" si="54"/>
        <v/>
      </c>
      <c r="J1187" s="8" t="str">
        <f t="shared" si="55"/>
        <v/>
      </c>
      <c r="K1187" s="24"/>
      <c r="L1187" s="7" t="str">
        <f t="shared" si="56"/>
        <v/>
      </c>
    </row>
    <row r="1188" spans="1:12" x14ac:dyDescent="0.25">
      <c r="A1188" s="23"/>
      <c r="B1188" s="24"/>
      <c r="C1188" s="24"/>
      <c r="D1188" s="24"/>
      <c r="E1188" s="24"/>
      <c r="F1188" s="24"/>
      <c r="G1188" s="25"/>
      <c r="H1188" s="16" t="str">
        <f>IF(C1188="","",IFERROR(INDEX(Settings!$L$4:$L$56,MATCH(C1188,Settings!$K$4:$K$56,0)),"Unknown"))</f>
        <v/>
      </c>
      <c r="I1188" s="8" t="str">
        <f t="shared" si="54"/>
        <v/>
      </c>
      <c r="J1188" s="8" t="str">
        <f t="shared" si="55"/>
        <v/>
      </c>
      <c r="K1188" s="24"/>
      <c r="L1188" s="7" t="str">
        <f t="shared" si="56"/>
        <v/>
      </c>
    </row>
    <row r="1189" spans="1:12" x14ac:dyDescent="0.25">
      <c r="A1189" s="23"/>
      <c r="B1189" s="24"/>
      <c r="C1189" s="24"/>
      <c r="D1189" s="24"/>
      <c r="E1189" s="24"/>
      <c r="F1189" s="24"/>
      <c r="G1189" s="25"/>
      <c r="H1189" s="16" t="str">
        <f>IF(C1189="","",IFERROR(INDEX(Settings!$L$4:$L$56,MATCH(C1189,Settings!$K$4:$K$56,0)),"Unknown"))</f>
        <v/>
      </c>
      <c r="I1189" s="8" t="str">
        <f t="shared" si="54"/>
        <v/>
      </c>
      <c r="J1189" s="8" t="str">
        <f t="shared" si="55"/>
        <v/>
      </c>
      <c r="K1189" s="24"/>
      <c r="L1189" s="7" t="str">
        <f t="shared" si="56"/>
        <v/>
      </c>
    </row>
    <row r="1190" spans="1:12" x14ac:dyDescent="0.25">
      <c r="A1190" s="23"/>
      <c r="B1190" s="24"/>
      <c r="C1190" s="24"/>
      <c r="D1190" s="24"/>
      <c r="E1190" s="24"/>
      <c r="F1190" s="24"/>
      <c r="G1190" s="25"/>
      <c r="H1190" s="16" t="str">
        <f>IF(C1190="","",IFERROR(INDEX(Settings!$L$4:$L$56,MATCH(C1190,Settings!$K$4:$K$56,0)),"Unknown"))</f>
        <v/>
      </c>
      <c r="I1190" s="8" t="str">
        <f t="shared" si="54"/>
        <v/>
      </c>
      <c r="J1190" s="8" t="str">
        <f t="shared" si="55"/>
        <v/>
      </c>
      <c r="K1190" s="24"/>
      <c r="L1190" s="7" t="str">
        <f t="shared" si="56"/>
        <v/>
      </c>
    </row>
    <row r="1191" spans="1:12" x14ac:dyDescent="0.25">
      <c r="A1191" s="23"/>
      <c r="B1191" s="24"/>
      <c r="C1191" s="24"/>
      <c r="D1191" s="24"/>
      <c r="E1191" s="24"/>
      <c r="F1191" s="24"/>
      <c r="G1191" s="25"/>
      <c r="H1191" s="16" t="str">
        <f>IF(C1191="","",IFERROR(INDEX(Settings!$L$4:$L$56,MATCH(C1191,Settings!$K$4:$K$56,0)),"Unknown"))</f>
        <v/>
      </c>
      <c r="I1191" s="8" t="str">
        <f t="shared" si="54"/>
        <v/>
      </c>
      <c r="J1191" s="8" t="str">
        <f t="shared" si="55"/>
        <v/>
      </c>
      <c r="K1191" s="24"/>
      <c r="L1191" s="7" t="str">
        <f t="shared" si="56"/>
        <v/>
      </c>
    </row>
    <row r="1192" spans="1:12" x14ac:dyDescent="0.25">
      <c r="A1192" s="23"/>
      <c r="B1192" s="24"/>
      <c r="C1192" s="24"/>
      <c r="D1192" s="24"/>
      <c r="E1192" s="24"/>
      <c r="F1192" s="24"/>
      <c r="G1192" s="25"/>
      <c r="H1192" s="16" t="str">
        <f>IF(C1192="","",IFERROR(INDEX(Settings!$L$4:$L$56,MATCH(C1192,Settings!$K$4:$K$56,0)),"Unknown"))</f>
        <v/>
      </c>
      <c r="I1192" s="8" t="str">
        <f t="shared" si="54"/>
        <v/>
      </c>
      <c r="J1192" s="8" t="str">
        <f t="shared" si="55"/>
        <v/>
      </c>
      <c r="K1192" s="24"/>
      <c r="L1192" s="7" t="str">
        <f t="shared" si="56"/>
        <v/>
      </c>
    </row>
    <row r="1193" spans="1:12" x14ac:dyDescent="0.25">
      <c r="A1193" s="23"/>
      <c r="B1193" s="24"/>
      <c r="C1193" s="24"/>
      <c r="D1193" s="24"/>
      <c r="E1193" s="24"/>
      <c r="F1193" s="24"/>
      <c r="G1193" s="25"/>
      <c r="H1193" s="16" t="str">
        <f>IF(C1193="","",IFERROR(INDEX(Settings!$L$4:$L$56,MATCH(C1193,Settings!$K$4:$K$56,0)),"Unknown"))</f>
        <v/>
      </c>
      <c r="I1193" s="8" t="str">
        <f t="shared" si="54"/>
        <v/>
      </c>
      <c r="J1193" s="8" t="str">
        <f t="shared" si="55"/>
        <v/>
      </c>
      <c r="K1193" s="24"/>
      <c r="L1193" s="7" t="str">
        <f t="shared" si="56"/>
        <v/>
      </c>
    </row>
    <row r="1194" spans="1:12" x14ac:dyDescent="0.25">
      <c r="A1194" s="23"/>
      <c r="B1194" s="24"/>
      <c r="C1194" s="24"/>
      <c r="D1194" s="24"/>
      <c r="E1194" s="24"/>
      <c r="F1194" s="24"/>
      <c r="G1194" s="25"/>
      <c r="H1194" s="16" t="str">
        <f>IF(C1194="","",IFERROR(INDEX(Settings!$L$4:$L$56,MATCH(C1194,Settings!$K$4:$K$56,0)),"Unknown"))</f>
        <v/>
      </c>
      <c r="I1194" s="8" t="str">
        <f t="shared" si="54"/>
        <v/>
      </c>
      <c r="J1194" s="8" t="str">
        <f t="shared" si="55"/>
        <v/>
      </c>
      <c r="K1194" s="24"/>
      <c r="L1194" s="7" t="str">
        <f t="shared" si="56"/>
        <v/>
      </c>
    </row>
    <row r="1195" spans="1:12" x14ac:dyDescent="0.25">
      <c r="A1195" s="23"/>
      <c r="B1195" s="24"/>
      <c r="C1195" s="24"/>
      <c r="D1195" s="24"/>
      <c r="E1195" s="24"/>
      <c r="F1195" s="24"/>
      <c r="G1195" s="25"/>
      <c r="H1195" s="16" t="str">
        <f>IF(C1195="","",IFERROR(INDEX(Settings!$L$4:$L$56,MATCH(C1195,Settings!$K$4:$K$56,0)),"Unknown"))</f>
        <v/>
      </c>
      <c r="I1195" s="8" t="str">
        <f t="shared" si="54"/>
        <v/>
      </c>
      <c r="J1195" s="8" t="str">
        <f t="shared" si="55"/>
        <v/>
      </c>
      <c r="K1195" s="24"/>
      <c r="L1195" s="7" t="str">
        <f t="shared" si="56"/>
        <v/>
      </c>
    </row>
    <row r="1196" spans="1:12" x14ac:dyDescent="0.25">
      <c r="A1196" s="23"/>
      <c r="B1196" s="24"/>
      <c r="C1196" s="24"/>
      <c r="D1196" s="24"/>
      <c r="E1196" s="24"/>
      <c r="F1196" s="24"/>
      <c r="G1196" s="25"/>
      <c r="H1196" s="16" t="str">
        <f>IF(C1196="","",IFERROR(INDEX(Settings!$L$4:$L$56,MATCH(C1196,Settings!$K$4:$K$56,0)),"Unknown"))</f>
        <v/>
      </c>
      <c r="I1196" s="8" t="str">
        <f t="shared" si="54"/>
        <v/>
      </c>
      <c r="J1196" s="8" t="str">
        <f t="shared" si="55"/>
        <v/>
      </c>
      <c r="K1196" s="24"/>
      <c r="L1196" s="7" t="str">
        <f t="shared" si="56"/>
        <v/>
      </c>
    </row>
    <row r="1197" spans="1:12" x14ac:dyDescent="0.25">
      <c r="A1197" s="23"/>
      <c r="B1197" s="24"/>
      <c r="C1197" s="24"/>
      <c r="D1197" s="24"/>
      <c r="E1197" s="24"/>
      <c r="F1197" s="24"/>
      <c r="G1197" s="25"/>
      <c r="H1197" s="16" t="str">
        <f>IF(C1197="","",IFERROR(INDEX(Settings!$L$4:$L$56,MATCH(C1197,Settings!$K$4:$K$56,0)),"Unknown"))</f>
        <v/>
      </c>
      <c r="I1197" s="8" t="str">
        <f t="shared" si="54"/>
        <v/>
      </c>
      <c r="J1197" s="8" t="str">
        <f t="shared" si="55"/>
        <v/>
      </c>
      <c r="K1197" s="24"/>
      <c r="L1197" s="7" t="str">
        <f t="shared" si="56"/>
        <v/>
      </c>
    </row>
    <row r="1198" spans="1:12" x14ac:dyDescent="0.25">
      <c r="A1198" s="23"/>
      <c r="B1198" s="24"/>
      <c r="C1198" s="24"/>
      <c r="D1198" s="24"/>
      <c r="E1198" s="24"/>
      <c r="F1198" s="24"/>
      <c r="G1198" s="25"/>
      <c r="H1198" s="16" t="str">
        <f>IF(C1198="","",IFERROR(INDEX(Settings!$L$4:$L$56,MATCH(C1198,Settings!$K$4:$K$56,0)),"Unknown"))</f>
        <v/>
      </c>
      <c r="I1198" s="8" t="str">
        <f t="shared" si="54"/>
        <v/>
      </c>
      <c r="J1198" s="8" t="str">
        <f t="shared" si="55"/>
        <v/>
      </c>
      <c r="K1198" s="24"/>
      <c r="L1198" s="7" t="str">
        <f t="shared" si="56"/>
        <v/>
      </c>
    </row>
    <row r="1199" spans="1:12" x14ac:dyDescent="0.25">
      <c r="A1199" s="23"/>
      <c r="B1199" s="24"/>
      <c r="C1199" s="24"/>
      <c r="D1199" s="24"/>
      <c r="E1199" s="24"/>
      <c r="F1199" s="24"/>
      <c r="G1199" s="25"/>
      <c r="H1199" s="16" t="str">
        <f>IF(C1199="","",IFERROR(INDEX(Settings!$L$4:$L$56,MATCH(C1199,Settings!$K$4:$K$56,0)),"Unknown"))</f>
        <v/>
      </c>
      <c r="I1199" s="8" t="str">
        <f t="shared" si="54"/>
        <v/>
      </c>
      <c r="J1199" s="8" t="str">
        <f t="shared" si="55"/>
        <v/>
      </c>
      <c r="K1199" s="24"/>
      <c r="L1199" s="7" t="str">
        <f t="shared" si="56"/>
        <v/>
      </c>
    </row>
    <row r="1200" spans="1:12" x14ac:dyDescent="0.25">
      <c r="A1200" s="23"/>
      <c r="B1200" s="24"/>
      <c r="C1200" s="24"/>
      <c r="D1200" s="24"/>
      <c r="E1200" s="24"/>
      <c r="F1200" s="24"/>
      <c r="G1200" s="25"/>
      <c r="H1200" s="16" t="str">
        <f>IF(C1200="","",IFERROR(INDEX(Settings!$L$4:$L$56,MATCH(C1200,Settings!$K$4:$K$56,0)),"Unknown"))</f>
        <v/>
      </c>
      <c r="I1200" s="8" t="str">
        <f t="shared" si="54"/>
        <v/>
      </c>
      <c r="J1200" s="8" t="str">
        <f t="shared" si="55"/>
        <v/>
      </c>
      <c r="K1200" s="24"/>
      <c r="L1200" s="7" t="str">
        <f t="shared" si="56"/>
        <v/>
      </c>
    </row>
    <row r="1201" spans="1:12" x14ac:dyDescent="0.25">
      <c r="A1201" s="23"/>
      <c r="B1201" s="24"/>
      <c r="C1201" s="24"/>
      <c r="D1201" s="24"/>
      <c r="E1201" s="24"/>
      <c r="F1201" s="24"/>
      <c r="G1201" s="25"/>
      <c r="H1201" s="16" t="str">
        <f>IF(C1201="","",IFERROR(INDEX(Settings!$L$4:$L$56,MATCH(C1201,Settings!$K$4:$K$56,0)),"Unknown"))</f>
        <v/>
      </c>
      <c r="I1201" s="8" t="str">
        <f t="shared" si="54"/>
        <v/>
      </c>
      <c r="J1201" s="8" t="str">
        <f t="shared" si="55"/>
        <v/>
      </c>
      <c r="K1201" s="24"/>
      <c r="L1201" s="7" t="str">
        <f t="shared" si="56"/>
        <v/>
      </c>
    </row>
    <row r="1202" spans="1:12" x14ac:dyDescent="0.25">
      <c r="A1202" s="23"/>
      <c r="B1202" s="24"/>
      <c r="C1202" s="24"/>
      <c r="D1202" s="24"/>
      <c r="E1202" s="24"/>
      <c r="F1202" s="24"/>
      <c r="G1202" s="25"/>
      <c r="H1202" s="16" t="str">
        <f>IF(C1202="","",IFERROR(INDEX(Settings!$L$4:$L$56,MATCH(C1202,Settings!$K$4:$K$56,0)),"Unknown"))</f>
        <v/>
      </c>
      <c r="I1202" s="8" t="str">
        <f t="shared" si="54"/>
        <v/>
      </c>
      <c r="J1202" s="8" t="str">
        <f t="shared" si="55"/>
        <v/>
      </c>
      <c r="K1202" s="24"/>
      <c r="L1202" s="7" t="str">
        <f t="shared" si="56"/>
        <v/>
      </c>
    </row>
    <row r="1203" spans="1:12" x14ac:dyDescent="0.25">
      <c r="A1203" s="23"/>
      <c r="B1203" s="24"/>
      <c r="C1203" s="24"/>
      <c r="D1203" s="24"/>
      <c r="E1203" s="24"/>
      <c r="F1203" s="24"/>
      <c r="G1203" s="25"/>
      <c r="H1203" s="16" t="str">
        <f>IF(C1203="","",IFERROR(INDEX(Settings!$L$4:$L$56,MATCH(C1203,Settings!$K$4:$K$56,0)),"Unknown"))</f>
        <v/>
      </c>
      <c r="I1203" s="8" t="str">
        <f t="shared" si="54"/>
        <v/>
      </c>
      <c r="J1203" s="8" t="str">
        <f t="shared" si="55"/>
        <v/>
      </c>
      <c r="K1203" s="24"/>
      <c r="L1203" s="7" t="str">
        <f t="shared" si="56"/>
        <v/>
      </c>
    </row>
    <row r="1204" spans="1:12" x14ac:dyDescent="0.25">
      <c r="A1204" s="23"/>
      <c r="B1204" s="24"/>
      <c r="C1204" s="24"/>
      <c r="D1204" s="24"/>
      <c r="E1204" s="24"/>
      <c r="F1204" s="24"/>
      <c r="G1204" s="25"/>
      <c r="H1204" s="16" t="str">
        <f>IF(C1204="","",IFERROR(INDEX(Settings!$L$4:$L$56,MATCH(C1204,Settings!$K$4:$K$56,0)),"Unknown"))</f>
        <v/>
      </c>
      <c r="I1204" s="8" t="str">
        <f t="shared" si="54"/>
        <v/>
      </c>
      <c r="J1204" s="8" t="str">
        <f t="shared" si="55"/>
        <v/>
      </c>
      <c r="K1204" s="24"/>
      <c r="L1204" s="7" t="str">
        <f t="shared" si="56"/>
        <v/>
      </c>
    </row>
    <row r="1205" spans="1:12" x14ac:dyDescent="0.25">
      <c r="A1205" s="23"/>
      <c r="B1205" s="24"/>
      <c r="C1205" s="24"/>
      <c r="D1205" s="24"/>
      <c r="E1205" s="24"/>
      <c r="F1205" s="24"/>
      <c r="G1205" s="25"/>
      <c r="H1205" s="16" t="str">
        <f>IF(C1205="","",IFERROR(INDEX(Settings!$L$4:$L$56,MATCH(C1205,Settings!$K$4:$K$56,0)),"Unknown"))</f>
        <v/>
      </c>
      <c r="I1205" s="8" t="str">
        <f t="shared" si="54"/>
        <v/>
      </c>
      <c r="J1205" s="8" t="str">
        <f t="shared" si="55"/>
        <v/>
      </c>
      <c r="K1205" s="24"/>
      <c r="L1205" s="7" t="str">
        <f t="shared" si="56"/>
        <v/>
      </c>
    </row>
    <row r="1206" spans="1:12" x14ac:dyDescent="0.25">
      <c r="A1206" s="23"/>
      <c r="B1206" s="24"/>
      <c r="C1206" s="24"/>
      <c r="D1206" s="24"/>
      <c r="E1206" s="24"/>
      <c r="F1206" s="24"/>
      <c r="G1206" s="25"/>
      <c r="H1206" s="16" t="str">
        <f>IF(C1206="","",IFERROR(INDEX(Settings!$L$4:$L$56,MATCH(C1206,Settings!$K$4:$K$56,0)),"Unknown"))</f>
        <v/>
      </c>
      <c r="I1206" s="8" t="str">
        <f t="shared" si="54"/>
        <v/>
      </c>
      <c r="J1206" s="8" t="str">
        <f t="shared" si="55"/>
        <v/>
      </c>
      <c r="K1206" s="24"/>
      <c r="L1206" s="7" t="str">
        <f t="shared" si="56"/>
        <v/>
      </c>
    </row>
    <row r="1207" spans="1:12" x14ac:dyDescent="0.25">
      <c r="A1207" s="23"/>
      <c r="B1207" s="24"/>
      <c r="C1207" s="24"/>
      <c r="D1207" s="24"/>
      <c r="E1207" s="24"/>
      <c r="F1207" s="24"/>
      <c r="G1207" s="25"/>
      <c r="H1207" s="16" t="str">
        <f>IF(C1207="","",IFERROR(INDEX(Settings!$L$4:$L$56,MATCH(C1207,Settings!$K$4:$K$56,0)),"Unknown"))</f>
        <v/>
      </c>
      <c r="I1207" s="8" t="str">
        <f t="shared" si="54"/>
        <v/>
      </c>
      <c r="J1207" s="8" t="str">
        <f t="shared" si="55"/>
        <v/>
      </c>
      <c r="K1207" s="24"/>
      <c r="L1207" s="7" t="str">
        <f t="shared" si="56"/>
        <v/>
      </c>
    </row>
    <row r="1208" spans="1:12" x14ac:dyDescent="0.25">
      <c r="A1208" s="23"/>
      <c r="B1208" s="24"/>
      <c r="C1208" s="24"/>
      <c r="D1208" s="24"/>
      <c r="E1208" s="24"/>
      <c r="F1208" s="24"/>
      <c r="G1208" s="25"/>
      <c r="H1208" s="16" t="str">
        <f>IF(C1208="","",IFERROR(INDEX(Settings!$L$4:$L$56,MATCH(C1208,Settings!$K$4:$K$56,0)),"Unknown"))</f>
        <v/>
      </c>
      <c r="I1208" s="8" t="str">
        <f t="shared" si="54"/>
        <v/>
      </c>
      <c r="J1208" s="8" t="str">
        <f t="shared" si="55"/>
        <v/>
      </c>
      <c r="K1208" s="24"/>
      <c r="L1208" s="7" t="str">
        <f t="shared" si="56"/>
        <v/>
      </c>
    </row>
    <row r="1209" spans="1:12" x14ac:dyDescent="0.25">
      <c r="A1209" s="23"/>
      <c r="B1209" s="24"/>
      <c r="C1209" s="24"/>
      <c r="D1209" s="24"/>
      <c r="E1209" s="24"/>
      <c r="F1209" s="24"/>
      <c r="G1209" s="25"/>
      <c r="H1209" s="16" t="str">
        <f>IF(C1209="","",IFERROR(INDEX(Settings!$L$4:$L$56,MATCH(C1209,Settings!$K$4:$K$56,0)),"Unknown"))</f>
        <v/>
      </c>
      <c r="I1209" s="8" t="str">
        <f t="shared" si="54"/>
        <v/>
      </c>
      <c r="J1209" s="8" t="str">
        <f t="shared" si="55"/>
        <v/>
      </c>
      <c r="K1209" s="24"/>
      <c r="L1209" s="7" t="str">
        <f t="shared" si="56"/>
        <v/>
      </c>
    </row>
    <row r="1210" spans="1:12" x14ac:dyDescent="0.25">
      <c r="A1210" s="23"/>
      <c r="B1210" s="24"/>
      <c r="C1210" s="24"/>
      <c r="D1210" s="24"/>
      <c r="E1210" s="24"/>
      <c r="F1210" s="24"/>
      <c r="G1210" s="25"/>
      <c r="H1210" s="16" t="str">
        <f>IF(C1210="","",IFERROR(INDEX(Settings!$L$4:$L$56,MATCH(C1210,Settings!$K$4:$K$56,0)),"Unknown"))</f>
        <v/>
      </c>
      <c r="I1210" s="8" t="str">
        <f t="shared" si="54"/>
        <v/>
      </c>
      <c r="J1210" s="8" t="str">
        <f t="shared" si="55"/>
        <v/>
      </c>
      <c r="K1210" s="24"/>
      <c r="L1210" s="7" t="str">
        <f t="shared" si="56"/>
        <v/>
      </c>
    </row>
    <row r="1211" spans="1:12" x14ac:dyDescent="0.25">
      <c r="A1211" s="23"/>
      <c r="B1211" s="24"/>
      <c r="C1211" s="24"/>
      <c r="D1211" s="24"/>
      <c r="E1211" s="24"/>
      <c r="F1211" s="24"/>
      <c r="G1211" s="25"/>
      <c r="H1211" s="16" t="str">
        <f>IF(C1211="","",IFERROR(INDEX(Settings!$L$4:$L$56,MATCH(C1211,Settings!$K$4:$K$56,0)),"Unknown"))</f>
        <v/>
      </c>
      <c r="I1211" s="8" t="str">
        <f t="shared" si="54"/>
        <v/>
      </c>
      <c r="J1211" s="8" t="str">
        <f t="shared" si="55"/>
        <v/>
      </c>
      <c r="K1211" s="24"/>
      <c r="L1211" s="7" t="str">
        <f t="shared" si="56"/>
        <v/>
      </c>
    </row>
    <row r="1212" spans="1:12" x14ac:dyDescent="0.25">
      <c r="A1212" s="23"/>
      <c r="B1212" s="24"/>
      <c r="C1212" s="24"/>
      <c r="D1212" s="24"/>
      <c r="E1212" s="24"/>
      <c r="F1212" s="24"/>
      <c r="G1212" s="25"/>
      <c r="H1212" s="16" t="str">
        <f>IF(C1212="","",IFERROR(INDEX(Settings!$L$4:$L$56,MATCH(C1212,Settings!$K$4:$K$56,0)),"Unknown"))</f>
        <v/>
      </c>
      <c r="I1212" s="8" t="str">
        <f t="shared" si="54"/>
        <v/>
      </c>
      <c r="J1212" s="8" t="str">
        <f t="shared" si="55"/>
        <v/>
      </c>
      <c r="K1212" s="24"/>
      <c r="L1212" s="7" t="str">
        <f t="shared" si="56"/>
        <v/>
      </c>
    </row>
    <row r="1213" spans="1:12" x14ac:dyDescent="0.25">
      <c r="A1213" s="23"/>
      <c r="B1213" s="24"/>
      <c r="C1213" s="24"/>
      <c r="D1213" s="24"/>
      <c r="E1213" s="24"/>
      <c r="F1213" s="24"/>
      <c r="G1213" s="25"/>
      <c r="H1213" s="16" t="str">
        <f>IF(C1213="","",IFERROR(INDEX(Settings!$L$4:$L$56,MATCH(C1213,Settings!$K$4:$K$56,0)),"Unknown"))</f>
        <v/>
      </c>
      <c r="I1213" s="8" t="str">
        <f t="shared" si="54"/>
        <v/>
      </c>
      <c r="J1213" s="8" t="str">
        <f t="shared" si="55"/>
        <v/>
      </c>
      <c r="K1213" s="24"/>
      <c r="L1213" s="7" t="str">
        <f t="shared" si="56"/>
        <v/>
      </c>
    </row>
    <row r="1214" spans="1:12" x14ac:dyDescent="0.25">
      <c r="A1214" s="23"/>
      <c r="B1214" s="24"/>
      <c r="C1214" s="24"/>
      <c r="D1214" s="24"/>
      <c r="E1214" s="24"/>
      <c r="F1214" s="24"/>
      <c r="G1214" s="25"/>
      <c r="H1214" s="16" t="str">
        <f>IF(C1214="","",IFERROR(INDEX(Settings!$L$4:$L$56,MATCH(C1214,Settings!$K$4:$K$56,0)),"Unknown"))</f>
        <v/>
      </c>
      <c r="I1214" s="8" t="str">
        <f t="shared" si="54"/>
        <v/>
      </c>
      <c r="J1214" s="8" t="str">
        <f t="shared" si="55"/>
        <v/>
      </c>
      <c r="K1214" s="24"/>
      <c r="L1214" s="7" t="str">
        <f t="shared" si="56"/>
        <v/>
      </c>
    </row>
    <row r="1215" spans="1:12" x14ac:dyDescent="0.25">
      <c r="A1215" s="23"/>
      <c r="B1215" s="24"/>
      <c r="C1215" s="24"/>
      <c r="D1215" s="24"/>
      <c r="E1215" s="24"/>
      <c r="F1215" s="24"/>
      <c r="G1215" s="25"/>
      <c r="H1215" s="16" t="str">
        <f>IF(C1215="","",IFERROR(INDEX(Settings!$L$4:$L$56,MATCH(C1215,Settings!$K$4:$K$56,0)),"Unknown"))</f>
        <v/>
      </c>
      <c r="I1215" s="8" t="str">
        <f t="shared" si="54"/>
        <v/>
      </c>
      <c r="J1215" s="8" t="str">
        <f t="shared" si="55"/>
        <v/>
      </c>
      <c r="K1215" s="24"/>
      <c r="L1215" s="7" t="str">
        <f t="shared" si="56"/>
        <v/>
      </c>
    </row>
    <row r="1216" spans="1:12" x14ac:dyDescent="0.25">
      <c r="A1216" s="23"/>
      <c r="B1216" s="24"/>
      <c r="C1216" s="24"/>
      <c r="D1216" s="24"/>
      <c r="E1216" s="24"/>
      <c r="F1216" s="24"/>
      <c r="G1216" s="25"/>
      <c r="H1216" s="16" t="str">
        <f>IF(C1216="","",IFERROR(INDEX(Settings!$L$4:$L$56,MATCH(C1216,Settings!$K$4:$K$56,0)),"Unknown"))</f>
        <v/>
      </c>
      <c r="I1216" s="8" t="str">
        <f t="shared" si="54"/>
        <v/>
      </c>
      <c r="J1216" s="8" t="str">
        <f t="shared" si="55"/>
        <v/>
      </c>
      <c r="K1216" s="24"/>
      <c r="L1216" s="7" t="str">
        <f t="shared" si="56"/>
        <v/>
      </c>
    </row>
    <row r="1217" spans="1:12" x14ac:dyDescent="0.25">
      <c r="A1217" s="23"/>
      <c r="B1217" s="24"/>
      <c r="C1217" s="24"/>
      <c r="D1217" s="24"/>
      <c r="E1217" s="24"/>
      <c r="F1217" s="24"/>
      <c r="G1217" s="25"/>
      <c r="H1217" s="16" t="str">
        <f>IF(C1217="","",IFERROR(INDEX(Settings!$L$4:$L$56,MATCH(C1217,Settings!$K$4:$K$56,0)),"Unknown"))</f>
        <v/>
      </c>
      <c r="I1217" s="8" t="str">
        <f t="shared" si="54"/>
        <v/>
      </c>
      <c r="J1217" s="8" t="str">
        <f t="shared" si="55"/>
        <v/>
      </c>
      <c r="K1217" s="24"/>
      <c r="L1217" s="7" t="str">
        <f t="shared" si="56"/>
        <v/>
      </c>
    </row>
    <row r="1218" spans="1:12" x14ac:dyDescent="0.25">
      <c r="A1218" s="23"/>
      <c r="B1218" s="24"/>
      <c r="C1218" s="24"/>
      <c r="D1218" s="24"/>
      <c r="E1218" s="24"/>
      <c r="F1218" s="24"/>
      <c r="G1218" s="25"/>
      <c r="H1218" s="16" t="str">
        <f>IF(C1218="","",IFERROR(INDEX(Settings!$L$4:$L$56,MATCH(C1218,Settings!$K$4:$K$56,0)),"Unknown"))</f>
        <v/>
      </c>
      <c r="I1218" s="8" t="str">
        <f t="shared" si="54"/>
        <v/>
      </c>
      <c r="J1218" s="8" t="str">
        <f t="shared" si="55"/>
        <v/>
      </c>
      <c r="K1218" s="24"/>
      <c r="L1218" s="7" t="str">
        <f t="shared" si="56"/>
        <v/>
      </c>
    </row>
    <row r="1219" spans="1:12" x14ac:dyDescent="0.25">
      <c r="A1219" s="23"/>
      <c r="B1219" s="24"/>
      <c r="C1219" s="24"/>
      <c r="D1219" s="24"/>
      <c r="E1219" s="24"/>
      <c r="F1219" s="24"/>
      <c r="G1219" s="25"/>
      <c r="H1219" s="16" t="str">
        <f>IF(C1219="","",IFERROR(INDEX(Settings!$L$4:$L$56,MATCH(C1219,Settings!$K$4:$K$56,0)),"Unknown"))</f>
        <v/>
      </c>
      <c r="I1219" s="8" t="str">
        <f t="shared" si="54"/>
        <v/>
      </c>
      <c r="J1219" s="8" t="str">
        <f t="shared" si="55"/>
        <v/>
      </c>
      <c r="K1219" s="24"/>
      <c r="L1219" s="7" t="str">
        <f t="shared" si="56"/>
        <v/>
      </c>
    </row>
    <row r="1220" spans="1:12" x14ac:dyDescent="0.25">
      <c r="A1220" s="23"/>
      <c r="B1220" s="24"/>
      <c r="C1220" s="24"/>
      <c r="D1220" s="24"/>
      <c r="E1220" s="24"/>
      <c r="F1220" s="24"/>
      <c r="G1220" s="25"/>
      <c r="H1220" s="16" t="str">
        <f>IF(C1220="","",IFERROR(INDEX(Settings!$L$4:$L$56,MATCH(C1220,Settings!$K$4:$K$56,0)),"Unknown"))</f>
        <v/>
      </c>
      <c r="I1220" s="8" t="str">
        <f t="shared" si="54"/>
        <v/>
      </c>
      <c r="J1220" s="8" t="str">
        <f t="shared" si="55"/>
        <v/>
      </c>
      <c r="K1220" s="24"/>
      <c r="L1220" s="7" t="str">
        <f t="shared" si="56"/>
        <v/>
      </c>
    </row>
    <row r="1221" spans="1:12" x14ac:dyDescent="0.25">
      <c r="A1221" s="23"/>
      <c r="B1221" s="24"/>
      <c r="C1221" s="24"/>
      <c r="D1221" s="24"/>
      <c r="E1221" s="24"/>
      <c r="F1221" s="24"/>
      <c r="G1221" s="25"/>
      <c r="H1221" s="16" t="str">
        <f>IF(C1221="","",IFERROR(INDEX(Settings!$L$4:$L$56,MATCH(C1221,Settings!$K$4:$K$56,0)),"Unknown"))</f>
        <v/>
      </c>
      <c r="I1221" s="8" t="str">
        <f t="shared" si="54"/>
        <v/>
      </c>
      <c r="J1221" s="8" t="str">
        <f t="shared" si="55"/>
        <v/>
      </c>
      <c r="K1221" s="24"/>
      <c r="L1221" s="7" t="str">
        <f t="shared" si="56"/>
        <v/>
      </c>
    </row>
    <row r="1222" spans="1:12" x14ac:dyDescent="0.25">
      <c r="A1222" s="23"/>
      <c r="B1222" s="24"/>
      <c r="C1222" s="24"/>
      <c r="D1222" s="24"/>
      <c r="E1222" s="24"/>
      <c r="F1222" s="24"/>
      <c r="G1222" s="25"/>
      <c r="H1222" s="16" t="str">
        <f>IF(C1222="","",IFERROR(INDEX(Settings!$L$4:$L$56,MATCH(C1222,Settings!$K$4:$K$56,0)),"Unknown"))</f>
        <v/>
      </c>
      <c r="I1222" s="8" t="str">
        <f t="shared" ref="I1222:I1285" si="57">IF(A1222="","",MONTH(A1222))</f>
        <v/>
      </c>
      <c r="J1222" s="8" t="str">
        <f t="shared" ref="J1222:J1285" si="58">IF(A1222="","",YEAR(A1222))</f>
        <v/>
      </c>
      <c r="K1222" s="24"/>
      <c r="L1222" s="7" t="str">
        <f t="shared" ref="L1222:L1285" si="59">IF(OR(B1222="",C1222=""),"",IF(AND(B1222="Income",H1222&lt;&gt;"Income"),"Category is not an Income category",IF(AND(B1222="Expense",H1222="Income"),"Category is an Income category","OK")))</f>
        <v/>
      </c>
    </row>
    <row r="1223" spans="1:12" x14ac:dyDescent="0.25">
      <c r="A1223" s="23"/>
      <c r="B1223" s="24"/>
      <c r="C1223" s="24"/>
      <c r="D1223" s="24"/>
      <c r="E1223" s="24"/>
      <c r="F1223" s="24"/>
      <c r="G1223" s="25"/>
      <c r="H1223" s="16" t="str">
        <f>IF(C1223="","",IFERROR(INDEX(Settings!$L$4:$L$56,MATCH(C1223,Settings!$K$4:$K$56,0)),"Unknown"))</f>
        <v/>
      </c>
      <c r="I1223" s="8" t="str">
        <f t="shared" si="57"/>
        <v/>
      </c>
      <c r="J1223" s="8" t="str">
        <f t="shared" si="58"/>
        <v/>
      </c>
      <c r="K1223" s="24"/>
      <c r="L1223" s="7" t="str">
        <f t="shared" si="59"/>
        <v/>
      </c>
    </row>
    <row r="1224" spans="1:12" x14ac:dyDescent="0.25">
      <c r="A1224" s="23"/>
      <c r="B1224" s="24"/>
      <c r="C1224" s="24"/>
      <c r="D1224" s="24"/>
      <c r="E1224" s="24"/>
      <c r="F1224" s="24"/>
      <c r="G1224" s="25"/>
      <c r="H1224" s="16" t="str">
        <f>IF(C1224="","",IFERROR(INDEX(Settings!$L$4:$L$56,MATCH(C1224,Settings!$K$4:$K$56,0)),"Unknown"))</f>
        <v/>
      </c>
      <c r="I1224" s="8" t="str">
        <f t="shared" si="57"/>
        <v/>
      </c>
      <c r="J1224" s="8" t="str">
        <f t="shared" si="58"/>
        <v/>
      </c>
      <c r="K1224" s="24"/>
      <c r="L1224" s="7" t="str">
        <f t="shared" si="59"/>
        <v/>
      </c>
    </row>
    <row r="1225" spans="1:12" x14ac:dyDescent="0.25">
      <c r="A1225" s="23"/>
      <c r="B1225" s="24"/>
      <c r="C1225" s="24"/>
      <c r="D1225" s="24"/>
      <c r="E1225" s="24"/>
      <c r="F1225" s="24"/>
      <c r="G1225" s="25"/>
      <c r="H1225" s="16" t="str">
        <f>IF(C1225="","",IFERROR(INDEX(Settings!$L$4:$L$56,MATCH(C1225,Settings!$K$4:$K$56,0)),"Unknown"))</f>
        <v/>
      </c>
      <c r="I1225" s="8" t="str">
        <f t="shared" si="57"/>
        <v/>
      </c>
      <c r="J1225" s="8" t="str">
        <f t="shared" si="58"/>
        <v/>
      </c>
      <c r="K1225" s="24"/>
      <c r="L1225" s="7" t="str">
        <f t="shared" si="59"/>
        <v/>
      </c>
    </row>
    <row r="1226" spans="1:12" x14ac:dyDescent="0.25">
      <c r="A1226" s="23"/>
      <c r="B1226" s="24"/>
      <c r="C1226" s="24"/>
      <c r="D1226" s="24"/>
      <c r="E1226" s="24"/>
      <c r="F1226" s="24"/>
      <c r="G1226" s="25"/>
      <c r="H1226" s="16" t="str">
        <f>IF(C1226="","",IFERROR(INDEX(Settings!$L$4:$L$56,MATCH(C1226,Settings!$K$4:$K$56,0)),"Unknown"))</f>
        <v/>
      </c>
      <c r="I1226" s="8" t="str">
        <f t="shared" si="57"/>
        <v/>
      </c>
      <c r="J1226" s="8" t="str">
        <f t="shared" si="58"/>
        <v/>
      </c>
      <c r="K1226" s="24"/>
      <c r="L1226" s="7" t="str">
        <f t="shared" si="59"/>
        <v/>
      </c>
    </row>
    <row r="1227" spans="1:12" x14ac:dyDescent="0.25">
      <c r="A1227" s="23"/>
      <c r="B1227" s="24"/>
      <c r="C1227" s="24"/>
      <c r="D1227" s="24"/>
      <c r="E1227" s="24"/>
      <c r="F1227" s="24"/>
      <c r="G1227" s="25"/>
      <c r="H1227" s="16" t="str">
        <f>IF(C1227="","",IFERROR(INDEX(Settings!$L$4:$L$56,MATCH(C1227,Settings!$K$4:$K$56,0)),"Unknown"))</f>
        <v/>
      </c>
      <c r="I1227" s="8" t="str">
        <f t="shared" si="57"/>
        <v/>
      </c>
      <c r="J1227" s="8" t="str">
        <f t="shared" si="58"/>
        <v/>
      </c>
      <c r="K1227" s="24"/>
      <c r="L1227" s="7" t="str">
        <f t="shared" si="59"/>
        <v/>
      </c>
    </row>
    <row r="1228" spans="1:12" x14ac:dyDescent="0.25">
      <c r="A1228" s="23"/>
      <c r="B1228" s="24"/>
      <c r="C1228" s="24"/>
      <c r="D1228" s="24"/>
      <c r="E1228" s="24"/>
      <c r="F1228" s="24"/>
      <c r="G1228" s="25"/>
      <c r="H1228" s="16" t="str">
        <f>IF(C1228="","",IFERROR(INDEX(Settings!$L$4:$L$56,MATCH(C1228,Settings!$K$4:$K$56,0)),"Unknown"))</f>
        <v/>
      </c>
      <c r="I1228" s="8" t="str">
        <f t="shared" si="57"/>
        <v/>
      </c>
      <c r="J1228" s="8" t="str">
        <f t="shared" si="58"/>
        <v/>
      </c>
      <c r="K1228" s="24"/>
      <c r="L1228" s="7" t="str">
        <f t="shared" si="59"/>
        <v/>
      </c>
    </row>
    <row r="1229" spans="1:12" x14ac:dyDescent="0.25">
      <c r="A1229" s="23"/>
      <c r="B1229" s="24"/>
      <c r="C1229" s="24"/>
      <c r="D1229" s="24"/>
      <c r="E1229" s="24"/>
      <c r="F1229" s="24"/>
      <c r="G1229" s="25"/>
      <c r="H1229" s="16" t="str">
        <f>IF(C1229="","",IFERROR(INDEX(Settings!$L$4:$L$56,MATCH(C1229,Settings!$K$4:$K$56,0)),"Unknown"))</f>
        <v/>
      </c>
      <c r="I1229" s="8" t="str">
        <f t="shared" si="57"/>
        <v/>
      </c>
      <c r="J1229" s="8" t="str">
        <f t="shared" si="58"/>
        <v/>
      </c>
      <c r="K1229" s="24"/>
      <c r="L1229" s="7" t="str">
        <f t="shared" si="59"/>
        <v/>
      </c>
    </row>
    <row r="1230" spans="1:12" x14ac:dyDescent="0.25">
      <c r="A1230" s="23"/>
      <c r="B1230" s="24"/>
      <c r="C1230" s="24"/>
      <c r="D1230" s="24"/>
      <c r="E1230" s="24"/>
      <c r="F1230" s="24"/>
      <c r="G1230" s="25"/>
      <c r="H1230" s="16" t="str">
        <f>IF(C1230="","",IFERROR(INDEX(Settings!$L$4:$L$56,MATCH(C1230,Settings!$K$4:$K$56,0)),"Unknown"))</f>
        <v/>
      </c>
      <c r="I1230" s="8" t="str">
        <f t="shared" si="57"/>
        <v/>
      </c>
      <c r="J1230" s="8" t="str">
        <f t="shared" si="58"/>
        <v/>
      </c>
      <c r="K1230" s="24"/>
      <c r="L1230" s="7" t="str">
        <f t="shared" si="59"/>
        <v/>
      </c>
    </row>
    <row r="1231" spans="1:12" x14ac:dyDescent="0.25">
      <c r="A1231" s="23"/>
      <c r="B1231" s="24"/>
      <c r="C1231" s="24"/>
      <c r="D1231" s="24"/>
      <c r="E1231" s="24"/>
      <c r="F1231" s="24"/>
      <c r="G1231" s="25"/>
      <c r="H1231" s="16" t="str">
        <f>IF(C1231="","",IFERROR(INDEX(Settings!$L$4:$L$56,MATCH(C1231,Settings!$K$4:$K$56,0)),"Unknown"))</f>
        <v/>
      </c>
      <c r="I1231" s="8" t="str">
        <f t="shared" si="57"/>
        <v/>
      </c>
      <c r="J1231" s="8" t="str">
        <f t="shared" si="58"/>
        <v/>
      </c>
      <c r="K1231" s="24"/>
      <c r="L1231" s="7" t="str">
        <f t="shared" si="59"/>
        <v/>
      </c>
    </row>
    <row r="1232" spans="1:12" x14ac:dyDescent="0.25">
      <c r="A1232" s="23"/>
      <c r="B1232" s="24"/>
      <c r="C1232" s="24"/>
      <c r="D1232" s="24"/>
      <c r="E1232" s="24"/>
      <c r="F1232" s="24"/>
      <c r="G1232" s="25"/>
      <c r="H1232" s="16" t="str">
        <f>IF(C1232="","",IFERROR(INDEX(Settings!$L$4:$L$56,MATCH(C1232,Settings!$K$4:$K$56,0)),"Unknown"))</f>
        <v/>
      </c>
      <c r="I1232" s="8" t="str">
        <f t="shared" si="57"/>
        <v/>
      </c>
      <c r="J1232" s="8" t="str">
        <f t="shared" si="58"/>
        <v/>
      </c>
      <c r="K1232" s="24"/>
      <c r="L1232" s="7" t="str">
        <f t="shared" si="59"/>
        <v/>
      </c>
    </row>
    <row r="1233" spans="1:12" x14ac:dyDescent="0.25">
      <c r="A1233" s="23"/>
      <c r="B1233" s="24"/>
      <c r="C1233" s="24"/>
      <c r="D1233" s="24"/>
      <c r="E1233" s="24"/>
      <c r="F1233" s="24"/>
      <c r="G1233" s="25"/>
      <c r="H1233" s="16" t="str">
        <f>IF(C1233="","",IFERROR(INDEX(Settings!$L$4:$L$56,MATCH(C1233,Settings!$K$4:$K$56,0)),"Unknown"))</f>
        <v/>
      </c>
      <c r="I1233" s="8" t="str">
        <f t="shared" si="57"/>
        <v/>
      </c>
      <c r="J1233" s="8" t="str">
        <f t="shared" si="58"/>
        <v/>
      </c>
      <c r="K1233" s="24"/>
      <c r="L1233" s="7" t="str">
        <f t="shared" si="59"/>
        <v/>
      </c>
    </row>
    <row r="1234" spans="1:12" x14ac:dyDescent="0.25">
      <c r="A1234" s="23"/>
      <c r="B1234" s="24"/>
      <c r="C1234" s="24"/>
      <c r="D1234" s="24"/>
      <c r="E1234" s="24"/>
      <c r="F1234" s="24"/>
      <c r="G1234" s="25"/>
      <c r="H1234" s="16" t="str">
        <f>IF(C1234="","",IFERROR(INDEX(Settings!$L$4:$L$56,MATCH(C1234,Settings!$K$4:$K$56,0)),"Unknown"))</f>
        <v/>
      </c>
      <c r="I1234" s="8" t="str">
        <f t="shared" si="57"/>
        <v/>
      </c>
      <c r="J1234" s="8" t="str">
        <f t="shared" si="58"/>
        <v/>
      </c>
      <c r="K1234" s="24"/>
      <c r="L1234" s="7" t="str">
        <f t="shared" si="59"/>
        <v/>
      </c>
    </row>
    <row r="1235" spans="1:12" x14ac:dyDescent="0.25">
      <c r="A1235" s="23"/>
      <c r="B1235" s="24"/>
      <c r="C1235" s="24"/>
      <c r="D1235" s="24"/>
      <c r="E1235" s="24"/>
      <c r="F1235" s="24"/>
      <c r="G1235" s="25"/>
      <c r="H1235" s="16" t="str">
        <f>IF(C1235="","",IFERROR(INDEX(Settings!$L$4:$L$56,MATCH(C1235,Settings!$K$4:$K$56,0)),"Unknown"))</f>
        <v/>
      </c>
      <c r="I1235" s="8" t="str">
        <f t="shared" si="57"/>
        <v/>
      </c>
      <c r="J1235" s="8" t="str">
        <f t="shared" si="58"/>
        <v/>
      </c>
      <c r="K1235" s="24"/>
      <c r="L1235" s="7" t="str">
        <f t="shared" si="59"/>
        <v/>
      </c>
    </row>
    <row r="1236" spans="1:12" x14ac:dyDescent="0.25">
      <c r="A1236" s="23"/>
      <c r="B1236" s="24"/>
      <c r="C1236" s="24"/>
      <c r="D1236" s="24"/>
      <c r="E1236" s="24"/>
      <c r="F1236" s="24"/>
      <c r="G1236" s="25"/>
      <c r="H1236" s="16" t="str">
        <f>IF(C1236="","",IFERROR(INDEX(Settings!$L$4:$L$56,MATCH(C1236,Settings!$K$4:$K$56,0)),"Unknown"))</f>
        <v/>
      </c>
      <c r="I1236" s="8" t="str">
        <f t="shared" si="57"/>
        <v/>
      </c>
      <c r="J1236" s="8" t="str">
        <f t="shared" si="58"/>
        <v/>
      </c>
      <c r="K1236" s="24"/>
      <c r="L1236" s="7" t="str">
        <f t="shared" si="59"/>
        <v/>
      </c>
    </row>
    <row r="1237" spans="1:12" x14ac:dyDescent="0.25">
      <c r="A1237" s="23"/>
      <c r="B1237" s="24"/>
      <c r="C1237" s="24"/>
      <c r="D1237" s="24"/>
      <c r="E1237" s="24"/>
      <c r="F1237" s="24"/>
      <c r="G1237" s="25"/>
      <c r="H1237" s="16" t="str">
        <f>IF(C1237="","",IFERROR(INDEX(Settings!$L$4:$L$56,MATCH(C1237,Settings!$K$4:$K$56,0)),"Unknown"))</f>
        <v/>
      </c>
      <c r="I1237" s="8" t="str">
        <f t="shared" si="57"/>
        <v/>
      </c>
      <c r="J1237" s="8" t="str">
        <f t="shared" si="58"/>
        <v/>
      </c>
      <c r="K1237" s="24"/>
      <c r="L1237" s="7" t="str">
        <f t="shared" si="59"/>
        <v/>
      </c>
    </row>
    <row r="1238" spans="1:12" x14ac:dyDescent="0.25">
      <c r="A1238" s="23"/>
      <c r="B1238" s="24"/>
      <c r="C1238" s="24"/>
      <c r="D1238" s="24"/>
      <c r="E1238" s="24"/>
      <c r="F1238" s="24"/>
      <c r="G1238" s="25"/>
      <c r="H1238" s="16" t="str">
        <f>IF(C1238="","",IFERROR(INDEX(Settings!$L$4:$L$56,MATCH(C1238,Settings!$K$4:$K$56,0)),"Unknown"))</f>
        <v/>
      </c>
      <c r="I1238" s="8" t="str">
        <f t="shared" si="57"/>
        <v/>
      </c>
      <c r="J1238" s="8" t="str">
        <f t="shared" si="58"/>
        <v/>
      </c>
      <c r="K1238" s="24"/>
      <c r="L1238" s="7" t="str">
        <f t="shared" si="59"/>
        <v/>
      </c>
    </row>
    <row r="1239" spans="1:12" x14ac:dyDescent="0.25">
      <c r="A1239" s="23"/>
      <c r="B1239" s="24"/>
      <c r="C1239" s="24"/>
      <c r="D1239" s="24"/>
      <c r="E1239" s="24"/>
      <c r="F1239" s="24"/>
      <c r="G1239" s="25"/>
      <c r="H1239" s="16" t="str">
        <f>IF(C1239="","",IFERROR(INDEX(Settings!$L$4:$L$56,MATCH(C1239,Settings!$K$4:$K$56,0)),"Unknown"))</f>
        <v/>
      </c>
      <c r="I1239" s="8" t="str">
        <f t="shared" si="57"/>
        <v/>
      </c>
      <c r="J1239" s="8" t="str">
        <f t="shared" si="58"/>
        <v/>
      </c>
      <c r="K1239" s="24"/>
      <c r="L1239" s="7" t="str">
        <f t="shared" si="59"/>
        <v/>
      </c>
    </row>
    <row r="1240" spans="1:12" x14ac:dyDescent="0.25">
      <c r="A1240" s="23"/>
      <c r="B1240" s="24"/>
      <c r="C1240" s="24"/>
      <c r="D1240" s="24"/>
      <c r="E1240" s="24"/>
      <c r="F1240" s="24"/>
      <c r="G1240" s="25"/>
      <c r="H1240" s="16" t="str">
        <f>IF(C1240="","",IFERROR(INDEX(Settings!$L$4:$L$56,MATCH(C1240,Settings!$K$4:$K$56,0)),"Unknown"))</f>
        <v/>
      </c>
      <c r="I1240" s="8" t="str">
        <f t="shared" si="57"/>
        <v/>
      </c>
      <c r="J1240" s="8" t="str">
        <f t="shared" si="58"/>
        <v/>
      </c>
      <c r="K1240" s="24"/>
      <c r="L1240" s="7" t="str">
        <f t="shared" si="59"/>
        <v/>
      </c>
    </row>
    <row r="1241" spans="1:12" x14ac:dyDescent="0.25">
      <c r="A1241" s="23"/>
      <c r="B1241" s="24"/>
      <c r="C1241" s="24"/>
      <c r="D1241" s="24"/>
      <c r="E1241" s="24"/>
      <c r="F1241" s="24"/>
      <c r="G1241" s="25"/>
      <c r="H1241" s="16" t="str">
        <f>IF(C1241="","",IFERROR(INDEX(Settings!$L$4:$L$56,MATCH(C1241,Settings!$K$4:$K$56,0)),"Unknown"))</f>
        <v/>
      </c>
      <c r="I1241" s="8" t="str">
        <f t="shared" si="57"/>
        <v/>
      </c>
      <c r="J1241" s="8" t="str">
        <f t="shared" si="58"/>
        <v/>
      </c>
      <c r="K1241" s="24"/>
      <c r="L1241" s="7" t="str">
        <f t="shared" si="59"/>
        <v/>
      </c>
    </row>
    <row r="1242" spans="1:12" x14ac:dyDescent="0.25">
      <c r="A1242" s="23"/>
      <c r="B1242" s="24"/>
      <c r="C1242" s="24"/>
      <c r="D1242" s="24"/>
      <c r="E1242" s="24"/>
      <c r="F1242" s="24"/>
      <c r="G1242" s="25"/>
      <c r="H1242" s="16" t="str">
        <f>IF(C1242="","",IFERROR(INDEX(Settings!$L$4:$L$56,MATCH(C1242,Settings!$K$4:$K$56,0)),"Unknown"))</f>
        <v/>
      </c>
      <c r="I1242" s="8" t="str">
        <f t="shared" si="57"/>
        <v/>
      </c>
      <c r="J1242" s="8" t="str">
        <f t="shared" si="58"/>
        <v/>
      </c>
      <c r="K1242" s="24"/>
      <c r="L1242" s="7" t="str">
        <f t="shared" si="59"/>
        <v/>
      </c>
    </row>
    <row r="1243" spans="1:12" x14ac:dyDescent="0.25">
      <c r="A1243" s="23"/>
      <c r="B1243" s="24"/>
      <c r="C1243" s="24"/>
      <c r="D1243" s="24"/>
      <c r="E1243" s="24"/>
      <c r="F1243" s="24"/>
      <c r="G1243" s="25"/>
      <c r="H1243" s="16" t="str">
        <f>IF(C1243="","",IFERROR(INDEX(Settings!$L$4:$L$56,MATCH(C1243,Settings!$K$4:$K$56,0)),"Unknown"))</f>
        <v/>
      </c>
      <c r="I1243" s="8" t="str">
        <f t="shared" si="57"/>
        <v/>
      </c>
      <c r="J1243" s="8" t="str">
        <f t="shared" si="58"/>
        <v/>
      </c>
      <c r="K1243" s="24"/>
      <c r="L1243" s="7" t="str">
        <f t="shared" si="59"/>
        <v/>
      </c>
    </row>
    <row r="1244" spans="1:12" x14ac:dyDescent="0.25">
      <c r="A1244" s="23"/>
      <c r="B1244" s="24"/>
      <c r="C1244" s="24"/>
      <c r="D1244" s="24"/>
      <c r="E1244" s="24"/>
      <c r="F1244" s="24"/>
      <c r="G1244" s="25"/>
      <c r="H1244" s="16" t="str">
        <f>IF(C1244="","",IFERROR(INDEX(Settings!$L$4:$L$56,MATCH(C1244,Settings!$K$4:$K$56,0)),"Unknown"))</f>
        <v/>
      </c>
      <c r="I1244" s="8" t="str">
        <f t="shared" si="57"/>
        <v/>
      </c>
      <c r="J1244" s="8" t="str">
        <f t="shared" si="58"/>
        <v/>
      </c>
      <c r="K1244" s="24"/>
      <c r="L1244" s="7" t="str">
        <f t="shared" si="59"/>
        <v/>
      </c>
    </row>
    <row r="1245" spans="1:12" x14ac:dyDescent="0.25">
      <c r="A1245" s="23"/>
      <c r="B1245" s="24"/>
      <c r="C1245" s="24"/>
      <c r="D1245" s="24"/>
      <c r="E1245" s="24"/>
      <c r="F1245" s="24"/>
      <c r="G1245" s="25"/>
      <c r="H1245" s="16" t="str">
        <f>IF(C1245="","",IFERROR(INDEX(Settings!$L$4:$L$56,MATCH(C1245,Settings!$K$4:$K$56,0)),"Unknown"))</f>
        <v/>
      </c>
      <c r="I1245" s="8" t="str">
        <f t="shared" si="57"/>
        <v/>
      </c>
      <c r="J1245" s="8" t="str">
        <f t="shared" si="58"/>
        <v/>
      </c>
      <c r="K1245" s="24"/>
      <c r="L1245" s="7" t="str">
        <f t="shared" si="59"/>
        <v/>
      </c>
    </row>
    <row r="1246" spans="1:12" x14ac:dyDescent="0.25">
      <c r="A1246" s="23"/>
      <c r="B1246" s="24"/>
      <c r="C1246" s="24"/>
      <c r="D1246" s="24"/>
      <c r="E1246" s="24"/>
      <c r="F1246" s="24"/>
      <c r="G1246" s="25"/>
      <c r="H1246" s="16" t="str">
        <f>IF(C1246="","",IFERROR(INDEX(Settings!$L$4:$L$56,MATCH(C1246,Settings!$K$4:$K$56,0)),"Unknown"))</f>
        <v/>
      </c>
      <c r="I1246" s="8" t="str">
        <f t="shared" si="57"/>
        <v/>
      </c>
      <c r="J1246" s="8" t="str">
        <f t="shared" si="58"/>
        <v/>
      </c>
      <c r="K1246" s="24"/>
      <c r="L1246" s="7" t="str">
        <f t="shared" si="59"/>
        <v/>
      </c>
    </row>
    <row r="1247" spans="1:12" x14ac:dyDescent="0.25">
      <c r="A1247" s="23"/>
      <c r="B1247" s="24"/>
      <c r="C1247" s="24"/>
      <c r="D1247" s="24"/>
      <c r="E1247" s="24"/>
      <c r="F1247" s="24"/>
      <c r="G1247" s="25"/>
      <c r="H1247" s="16" t="str">
        <f>IF(C1247="","",IFERROR(INDEX(Settings!$L$4:$L$56,MATCH(C1247,Settings!$K$4:$K$56,0)),"Unknown"))</f>
        <v/>
      </c>
      <c r="I1247" s="8" t="str">
        <f t="shared" si="57"/>
        <v/>
      </c>
      <c r="J1247" s="8" t="str">
        <f t="shared" si="58"/>
        <v/>
      </c>
      <c r="K1247" s="24"/>
      <c r="L1247" s="7" t="str">
        <f t="shared" si="59"/>
        <v/>
      </c>
    </row>
    <row r="1248" spans="1:12" x14ac:dyDescent="0.25">
      <c r="A1248" s="23"/>
      <c r="B1248" s="24"/>
      <c r="C1248" s="24"/>
      <c r="D1248" s="24"/>
      <c r="E1248" s="24"/>
      <c r="F1248" s="24"/>
      <c r="G1248" s="25"/>
      <c r="H1248" s="16" t="str">
        <f>IF(C1248="","",IFERROR(INDEX(Settings!$L$4:$L$56,MATCH(C1248,Settings!$K$4:$K$56,0)),"Unknown"))</f>
        <v/>
      </c>
      <c r="I1248" s="8" t="str">
        <f t="shared" si="57"/>
        <v/>
      </c>
      <c r="J1248" s="8" t="str">
        <f t="shared" si="58"/>
        <v/>
      </c>
      <c r="K1248" s="24"/>
      <c r="L1248" s="7" t="str">
        <f t="shared" si="59"/>
        <v/>
      </c>
    </row>
    <row r="1249" spans="1:12" x14ac:dyDescent="0.25">
      <c r="A1249" s="23"/>
      <c r="B1249" s="24"/>
      <c r="C1249" s="24"/>
      <c r="D1249" s="24"/>
      <c r="E1249" s="24"/>
      <c r="F1249" s="24"/>
      <c r="G1249" s="25"/>
      <c r="H1249" s="16" t="str">
        <f>IF(C1249="","",IFERROR(INDEX(Settings!$L$4:$L$56,MATCH(C1249,Settings!$K$4:$K$56,0)),"Unknown"))</f>
        <v/>
      </c>
      <c r="I1249" s="8" t="str">
        <f t="shared" si="57"/>
        <v/>
      </c>
      <c r="J1249" s="8" t="str">
        <f t="shared" si="58"/>
        <v/>
      </c>
      <c r="K1249" s="24"/>
      <c r="L1249" s="7" t="str">
        <f t="shared" si="59"/>
        <v/>
      </c>
    </row>
    <row r="1250" spans="1:12" x14ac:dyDescent="0.25">
      <c r="A1250" s="23"/>
      <c r="B1250" s="24"/>
      <c r="C1250" s="24"/>
      <c r="D1250" s="24"/>
      <c r="E1250" s="24"/>
      <c r="F1250" s="24"/>
      <c r="G1250" s="25"/>
      <c r="H1250" s="16" t="str">
        <f>IF(C1250="","",IFERROR(INDEX(Settings!$L$4:$L$56,MATCH(C1250,Settings!$K$4:$K$56,0)),"Unknown"))</f>
        <v/>
      </c>
      <c r="I1250" s="8" t="str">
        <f t="shared" si="57"/>
        <v/>
      </c>
      <c r="J1250" s="8" t="str">
        <f t="shared" si="58"/>
        <v/>
      </c>
      <c r="K1250" s="24"/>
      <c r="L1250" s="7" t="str">
        <f t="shared" si="59"/>
        <v/>
      </c>
    </row>
    <row r="1251" spans="1:12" x14ac:dyDescent="0.25">
      <c r="A1251" s="23"/>
      <c r="B1251" s="24"/>
      <c r="C1251" s="24"/>
      <c r="D1251" s="24"/>
      <c r="E1251" s="24"/>
      <c r="F1251" s="24"/>
      <c r="G1251" s="25"/>
      <c r="H1251" s="16" t="str">
        <f>IF(C1251="","",IFERROR(INDEX(Settings!$L$4:$L$56,MATCH(C1251,Settings!$K$4:$K$56,0)),"Unknown"))</f>
        <v/>
      </c>
      <c r="I1251" s="8" t="str">
        <f t="shared" si="57"/>
        <v/>
      </c>
      <c r="J1251" s="8" t="str">
        <f t="shared" si="58"/>
        <v/>
      </c>
      <c r="K1251" s="24"/>
      <c r="L1251" s="7" t="str">
        <f t="shared" si="59"/>
        <v/>
      </c>
    </row>
    <row r="1252" spans="1:12" x14ac:dyDescent="0.25">
      <c r="A1252" s="23"/>
      <c r="B1252" s="24"/>
      <c r="C1252" s="24"/>
      <c r="D1252" s="24"/>
      <c r="E1252" s="24"/>
      <c r="F1252" s="24"/>
      <c r="G1252" s="25"/>
      <c r="H1252" s="16" t="str">
        <f>IF(C1252="","",IFERROR(INDEX(Settings!$L$4:$L$56,MATCH(C1252,Settings!$K$4:$K$56,0)),"Unknown"))</f>
        <v/>
      </c>
      <c r="I1252" s="8" t="str">
        <f t="shared" si="57"/>
        <v/>
      </c>
      <c r="J1252" s="8" t="str">
        <f t="shared" si="58"/>
        <v/>
      </c>
      <c r="K1252" s="24"/>
      <c r="L1252" s="7" t="str">
        <f t="shared" si="59"/>
        <v/>
      </c>
    </row>
    <row r="1253" spans="1:12" x14ac:dyDescent="0.25">
      <c r="A1253" s="23"/>
      <c r="B1253" s="24"/>
      <c r="C1253" s="24"/>
      <c r="D1253" s="24"/>
      <c r="E1253" s="24"/>
      <c r="F1253" s="24"/>
      <c r="G1253" s="25"/>
      <c r="H1253" s="16" t="str">
        <f>IF(C1253="","",IFERROR(INDEX(Settings!$L$4:$L$56,MATCH(C1253,Settings!$K$4:$K$56,0)),"Unknown"))</f>
        <v/>
      </c>
      <c r="I1253" s="8" t="str">
        <f t="shared" si="57"/>
        <v/>
      </c>
      <c r="J1253" s="8" t="str">
        <f t="shared" si="58"/>
        <v/>
      </c>
      <c r="K1253" s="24"/>
      <c r="L1253" s="7" t="str">
        <f t="shared" si="59"/>
        <v/>
      </c>
    </row>
    <row r="1254" spans="1:12" x14ac:dyDescent="0.25">
      <c r="A1254" s="23"/>
      <c r="B1254" s="24"/>
      <c r="C1254" s="24"/>
      <c r="D1254" s="24"/>
      <c r="E1254" s="24"/>
      <c r="F1254" s="24"/>
      <c r="G1254" s="25"/>
      <c r="H1254" s="16" t="str">
        <f>IF(C1254="","",IFERROR(INDEX(Settings!$L$4:$L$56,MATCH(C1254,Settings!$K$4:$K$56,0)),"Unknown"))</f>
        <v/>
      </c>
      <c r="I1254" s="8" t="str">
        <f t="shared" si="57"/>
        <v/>
      </c>
      <c r="J1254" s="8" t="str">
        <f t="shared" si="58"/>
        <v/>
      </c>
      <c r="K1254" s="24"/>
      <c r="L1254" s="7" t="str">
        <f t="shared" si="59"/>
        <v/>
      </c>
    </row>
    <row r="1255" spans="1:12" x14ac:dyDescent="0.25">
      <c r="A1255" s="23"/>
      <c r="B1255" s="24"/>
      <c r="C1255" s="24"/>
      <c r="D1255" s="24"/>
      <c r="E1255" s="24"/>
      <c r="F1255" s="24"/>
      <c r="G1255" s="25"/>
      <c r="H1255" s="16" t="str">
        <f>IF(C1255="","",IFERROR(INDEX(Settings!$L$4:$L$56,MATCH(C1255,Settings!$K$4:$K$56,0)),"Unknown"))</f>
        <v/>
      </c>
      <c r="I1255" s="8" t="str">
        <f t="shared" si="57"/>
        <v/>
      </c>
      <c r="J1255" s="8" t="str">
        <f t="shared" si="58"/>
        <v/>
      </c>
      <c r="K1255" s="24"/>
      <c r="L1255" s="7" t="str">
        <f t="shared" si="59"/>
        <v/>
      </c>
    </row>
    <row r="1256" spans="1:12" x14ac:dyDescent="0.25">
      <c r="A1256" s="23"/>
      <c r="B1256" s="24"/>
      <c r="C1256" s="24"/>
      <c r="D1256" s="24"/>
      <c r="E1256" s="24"/>
      <c r="F1256" s="24"/>
      <c r="G1256" s="25"/>
      <c r="H1256" s="16" t="str">
        <f>IF(C1256="","",IFERROR(INDEX(Settings!$L$4:$L$56,MATCH(C1256,Settings!$K$4:$K$56,0)),"Unknown"))</f>
        <v/>
      </c>
      <c r="I1256" s="8" t="str">
        <f t="shared" si="57"/>
        <v/>
      </c>
      <c r="J1256" s="8" t="str">
        <f t="shared" si="58"/>
        <v/>
      </c>
      <c r="K1256" s="24"/>
      <c r="L1256" s="7" t="str">
        <f t="shared" si="59"/>
        <v/>
      </c>
    </row>
    <row r="1257" spans="1:12" x14ac:dyDescent="0.25">
      <c r="A1257" s="23"/>
      <c r="B1257" s="24"/>
      <c r="C1257" s="24"/>
      <c r="D1257" s="24"/>
      <c r="E1257" s="24"/>
      <c r="F1257" s="24"/>
      <c r="G1257" s="25"/>
      <c r="H1257" s="16" t="str">
        <f>IF(C1257="","",IFERROR(INDEX(Settings!$L$4:$L$56,MATCH(C1257,Settings!$K$4:$K$56,0)),"Unknown"))</f>
        <v/>
      </c>
      <c r="I1257" s="8" t="str">
        <f t="shared" si="57"/>
        <v/>
      </c>
      <c r="J1257" s="8" t="str">
        <f t="shared" si="58"/>
        <v/>
      </c>
      <c r="K1257" s="24"/>
      <c r="L1257" s="7" t="str">
        <f t="shared" si="59"/>
        <v/>
      </c>
    </row>
    <row r="1258" spans="1:12" x14ac:dyDescent="0.25">
      <c r="A1258" s="23"/>
      <c r="B1258" s="24"/>
      <c r="C1258" s="24"/>
      <c r="D1258" s="24"/>
      <c r="E1258" s="24"/>
      <c r="F1258" s="24"/>
      <c r="G1258" s="25"/>
      <c r="H1258" s="16" t="str">
        <f>IF(C1258="","",IFERROR(INDEX(Settings!$L$4:$L$56,MATCH(C1258,Settings!$K$4:$K$56,0)),"Unknown"))</f>
        <v/>
      </c>
      <c r="I1258" s="8" t="str">
        <f t="shared" si="57"/>
        <v/>
      </c>
      <c r="J1258" s="8" t="str">
        <f t="shared" si="58"/>
        <v/>
      </c>
      <c r="K1258" s="24"/>
      <c r="L1258" s="7" t="str">
        <f t="shared" si="59"/>
        <v/>
      </c>
    </row>
    <row r="1259" spans="1:12" x14ac:dyDescent="0.25">
      <c r="A1259" s="23"/>
      <c r="B1259" s="24"/>
      <c r="C1259" s="24"/>
      <c r="D1259" s="24"/>
      <c r="E1259" s="24"/>
      <c r="F1259" s="24"/>
      <c r="G1259" s="25"/>
      <c r="H1259" s="16" t="str">
        <f>IF(C1259="","",IFERROR(INDEX(Settings!$L$4:$L$56,MATCH(C1259,Settings!$K$4:$K$56,0)),"Unknown"))</f>
        <v/>
      </c>
      <c r="I1259" s="8" t="str">
        <f t="shared" si="57"/>
        <v/>
      </c>
      <c r="J1259" s="8" t="str">
        <f t="shared" si="58"/>
        <v/>
      </c>
      <c r="K1259" s="24"/>
      <c r="L1259" s="7" t="str">
        <f t="shared" si="59"/>
        <v/>
      </c>
    </row>
    <row r="1260" spans="1:12" x14ac:dyDescent="0.25">
      <c r="A1260" s="23"/>
      <c r="B1260" s="24"/>
      <c r="C1260" s="24"/>
      <c r="D1260" s="24"/>
      <c r="E1260" s="24"/>
      <c r="F1260" s="24"/>
      <c r="G1260" s="25"/>
      <c r="H1260" s="16" t="str">
        <f>IF(C1260="","",IFERROR(INDEX(Settings!$L$4:$L$56,MATCH(C1260,Settings!$K$4:$K$56,0)),"Unknown"))</f>
        <v/>
      </c>
      <c r="I1260" s="8" t="str">
        <f t="shared" si="57"/>
        <v/>
      </c>
      <c r="J1260" s="8" t="str">
        <f t="shared" si="58"/>
        <v/>
      </c>
      <c r="K1260" s="24"/>
      <c r="L1260" s="7" t="str">
        <f t="shared" si="59"/>
        <v/>
      </c>
    </row>
    <row r="1261" spans="1:12" x14ac:dyDescent="0.25">
      <c r="A1261" s="23"/>
      <c r="B1261" s="24"/>
      <c r="C1261" s="24"/>
      <c r="D1261" s="24"/>
      <c r="E1261" s="24"/>
      <c r="F1261" s="24"/>
      <c r="G1261" s="25"/>
      <c r="H1261" s="16" t="str">
        <f>IF(C1261="","",IFERROR(INDEX(Settings!$L$4:$L$56,MATCH(C1261,Settings!$K$4:$K$56,0)),"Unknown"))</f>
        <v/>
      </c>
      <c r="I1261" s="8" t="str">
        <f t="shared" si="57"/>
        <v/>
      </c>
      <c r="J1261" s="8" t="str">
        <f t="shared" si="58"/>
        <v/>
      </c>
      <c r="K1261" s="24"/>
      <c r="L1261" s="7" t="str">
        <f t="shared" si="59"/>
        <v/>
      </c>
    </row>
    <row r="1262" spans="1:12" x14ac:dyDescent="0.25">
      <c r="A1262" s="23"/>
      <c r="B1262" s="24"/>
      <c r="C1262" s="24"/>
      <c r="D1262" s="24"/>
      <c r="E1262" s="24"/>
      <c r="F1262" s="24"/>
      <c r="G1262" s="25"/>
      <c r="H1262" s="16" t="str">
        <f>IF(C1262="","",IFERROR(INDEX(Settings!$L$4:$L$56,MATCH(C1262,Settings!$K$4:$K$56,0)),"Unknown"))</f>
        <v/>
      </c>
      <c r="I1262" s="8" t="str">
        <f t="shared" si="57"/>
        <v/>
      </c>
      <c r="J1262" s="8" t="str">
        <f t="shared" si="58"/>
        <v/>
      </c>
      <c r="K1262" s="24"/>
      <c r="L1262" s="7" t="str">
        <f t="shared" si="59"/>
        <v/>
      </c>
    </row>
    <row r="1263" spans="1:12" x14ac:dyDescent="0.25">
      <c r="A1263" s="23"/>
      <c r="B1263" s="24"/>
      <c r="C1263" s="24"/>
      <c r="D1263" s="24"/>
      <c r="E1263" s="24"/>
      <c r="F1263" s="24"/>
      <c r="G1263" s="25"/>
      <c r="H1263" s="16" t="str">
        <f>IF(C1263="","",IFERROR(INDEX(Settings!$L$4:$L$56,MATCH(C1263,Settings!$K$4:$K$56,0)),"Unknown"))</f>
        <v/>
      </c>
      <c r="I1263" s="8" t="str">
        <f t="shared" si="57"/>
        <v/>
      </c>
      <c r="J1263" s="8" t="str">
        <f t="shared" si="58"/>
        <v/>
      </c>
      <c r="K1263" s="24"/>
      <c r="L1263" s="7" t="str">
        <f t="shared" si="59"/>
        <v/>
      </c>
    </row>
    <row r="1264" spans="1:12" x14ac:dyDescent="0.25">
      <c r="A1264" s="23"/>
      <c r="B1264" s="24"/>
      <c r="C1264" s="24"/>
      <c r="D1264" s="24"/>
      <c r="E1264" s="24"/>
      <c r="F1264" s="24"/>
      <c r="G1264" s="25"/>
      <c r="H1264" s="16" t="str">
        <f>IF(C1264="","",IFERROR(INDEX(Settings!$L$4:$L$56,MATCH(C1264,Settings!$K$4:$K$56,0)),"Unknown"))</f>
        <v/>
      </c>
      <c r="I1264" s="8" t="str">
        <f t="shared" si="57"/>
        <v/>
      </c>
      <c r="J1264" s="8" t="str">
        <f t="shared" si="58"/>
        <v/>
      </c>
      <c r="K1264" s="24"/>
      <c r="L1264" s="7" t="str">
        <f t="shared" si="59"/>
        <v/>
      </c>
    </row>
    <row r="1265" spans="1:12" x14ac:dyDescent="0.25">
      <c r="A1265" s="23"/>
      <c r="B1265" s="24"/>
      <c r="C1265" s="24"/>
      <c r="D1265" s="24"/>
      <c r="E1265" s="24"/>
      <c r="F1265" s="24"/>
      <c r="G1265" s="25"/>
      <c r="H1265" s="16" t="str">
        <f>IF(C1265="","",IFERROR(INDEX(Settings!$L$4:$L$56,MATCH(C1265,Settings!$K$4:$K$56,0)),"Unknown"))</f>
        <v/>
      </c>
      <c r="I1265" s="8" t="str">
        <f t="shared" si="57"/>
        <v/>
      </c>
      <c r="J1265" s="8" t="str">
        <f t="shared" si="58"/>
        <v/>
      </c>
      <c r="K1265" s="24"/>
      <c r="L1265" s="7" t="str">
        <f t="shared" si="59"/>
        <v/>
      </c>
    </row>
    <row r="1266" spans="1:12" x14ac:dyDescent="0.25">
      <c r="A1266" s="23"/>
      <c r="B1266" s="24"/>
      <c r="C1266" s="24"/>
      <c r="D1266" s="24"/>
      <c r="E1266" s="24"/>
      <c r="F1266" s="24"/>
      <c r="G1266" s="25"/>
      <c r="H1266" s="16" t="str">
        <f>IF(C1266="","",IFERROR(INDEX(Settings!$L$4:$L$56,MATCH(C1266,Settings!$K$4:$K$56,0)),"Unknown"))</f>
        <v/>
      </c>
      <c r="I1266" s="8" t="str">
        <f t="shared" si="57"/>
        <v/>
      </c>
      <c r="J1266" s="8" t="str">
        <f t="shared" si="58"/>
        <v/>
      </c>
      <c r="K1266" s="24"/>
      <c r="L1266" s="7" t="str">
        <f t="shared" si="59"/>
        <v/>
      </c>
    </row>
    <row r="1267" spans="1:12" x14ac:dyDescent="0.25">
      <c r="A1267" s="23"/>
      <c r="B1267" s="24"/>
      <c r="C1267" s="24"/>
      <c r="D1267" s="24"/>
      <c r="E1267" s="24"/>
      <c r="F1267" s="24"/>
      <c r="G1267" s="25"/>
      <c r="H1267" s="16" t="str">
        <f>IF(C1267="","",IFERROR(INDEX(Settings!$L$4:$L$56,MATCH(C1267,Settings!$K$4:$K$56,0)),"Unknown"))</f>
        <v/>
      </c>
      <c r="I1267" s="8" t="str">
        <f t="shared" si="57"/>
        <v/>
      </c>
      <c r="J1267" s="8" t="str">
        <f t="shared" si="58"/>
        <v/>
      </c>
      <c r="K1267" s="24"/>
      <c r="L1267" s="7" t="str">
        <f t="shared" si="59"/>
        <v/>
      </c>
    </row>
    <row r="1268" spans="1:12" x14ac:dyDescent="0.25">
      <c r="A1268" s="23"/>
      <c r="B1268" s="24"/>
      <c r="C1268" s="24"/>
      <c r="D1268" s="24"/>
      <c r="E1268" s="24"/>
      <c r="F1268" s="24"/>
      <c r="G1268" s="25"/>
      <c r="H1268" s="16" t="str">
        <f>IF(C1268="","",IFERROR(INDEX(Settings!$L$4:$L$56,MATCH(C1268,Settings!$K$4:$K$56,0)),"Unknown"))</f>
        <v/>
      </c>
      <c r="I1268" s="8" t="str">
        <f t="shared" si="57"/>
        <v/>
      </c>
      <c r="J1268" s="8" t="str">
        <f t="shared" si="58"/>
        <v/>
      </c>
      <c r="K1268" s="24"/>
      <c r="L1268" s="7" t="str">
        <f t="shared" si="59"/>
        <v/>
      </c>
    </row>
    <row r="1269" spans="1:12" x14ac:dyDescent="0.25">
      <c r="A1269" s="23"/>
      <c r="B1269" s="24"/>
      <c r="C1269" s="24"/>
      <c r="D1269" s="24"/>
      <c r="E1269" s="24"/>
      <c r="F1269" s="24"/>
      <c r="G1269" s="25"/>
      <c r="H1269" s="16" t="str">
        <f>IF(C1269="","",IFERROR(INDEX(Settings!$L$4:$L$56,MATCH(C1269,Settings!$K$4:$K$56,0)),"Unknown"))</f>
        <v/>
      </c>
      <c r="I1269" s="8" t="str">
        <f t="shared" si="57"/>
        <v/>
      </c>
      <c r="J1269" s="8" t="str">
        <f t="shared" si="58"/>
        <v/>
      </c>
      <c r="K1269" s="24"/>
      <c r="L1269" s="7" t="str">
        <f t="shared" si="59"/>
        <v/>
      </c>
    </row>
    <row r="1270" spans="1:12" x14ac:dyDescent="0.25">
      <c r="A1270" s="23"/>
      <c r="B1270" s="24"/>
      <c r="C1270" s="24"/>
      <c r="D1270" s="24"/>
      <c r="E1270" s="24"/>
      <c r="F1270" s="24"/>
      <c r="G1270" s="25"/>
      <c r="H1270" s="16" t="str">
        <f>IF(C1270="","",IFERROR(INDEX(Settings!$L$4:$L$56,MATCH(C1270,Settings!$K$4:$K$56,0)),"Unknown"))</f>
        <v/>
      </c>
      <c r="I1270" s="8" t="str">
        <f t="shared" si="57"/>
        <v/>
      </c>
      <c r="J1270" s="8" t="str">
        <f t="shared" si="58"/>
        <v/>
      </c>
      <c r="K1270" s="24"/>
      <c r="L1270" s="7" t="str">
        <f t="shared" si="59"/>
        <v/>
      </c>
    </row>
    <row r="1271" spans="1:12" x14ac:dyDescent="0.25">
      <c r="A1271" s="23"/>
      <c r="B1271" s="24"/>
      <c r="C1271" s="24"/>
      <c r="D1271" s="24"/>
      <c r="E1271" s="24"/>
      <c r="F1271" s="24"/>
      <c r="G1271" s="25"/>
      <c r="H1271" s="16" t="str">
        <f>IF(C1271="","",IFERROR(INDEX(Settings!$L$4:$L$56,MATCH(C1271,Settings!$K$4:$K$56,0)),"Unknown"))</f>
        <v/>
      </c>
      <c r="I1271" s="8" t="str">
        <f t="shared" si="57"/>
        <v/>
      </c>
      <c r="J1271" s="8" t="str">
        <f t="shared" si="58"/>
        <v/>
      </c>
      <c r="K1271" s="24"/>
      <c r="L1271" s="7" t="str">
        <f t="shared" si="59"/>
        <v/>
      </c>
    </row>
    <row r="1272" spans="1:12" x14ac:dyDescent="0.25">
      <c r="A1272" s="23"/>
      <c r="B1272" s="24"/>
      <c r="C1272" s="24"/>
      <c r="D1272" s="24"/>
      <c r="E1272" s="24"/>
      <c r="F1272" s="24"/>
      <c r="G1272" s="25"/>
      <c r="H1272" s="16" t="str">
        <f>IF(C1272="","",IFERROR(INDEX(Settings!$L$4:$L$56,MATCH(C1272,Settings!$K$4:$K$56,0)),"Unknown"))</f>
        <v/>
      </c>
      <c r="I1272" s="8" t="str">
        <f t="shared" si="57"/>
        <v/>
      </c>
      <c r="J1272" s="8" t="str">
        <f t="shared" si="58"/>
        <v/>
      </c>
      <c r="K1272" s="24"/>
      <c r="L1272" s="7" t="str">
        <f t="shared" si="59"/>
        <v/>
      </c>
    </row>
    <row r="1273" spans="1:12" x14ac:dyDescent="0.25">
      <c r="A1273" s="23"/>
      <c r="B1273" s="24"/>
      <c r="C1273" s="24"/>
      <c r="D1273" s="24"/>
      <c r="E1273" s="24"/>
      <c r="F1273" s="24"/>
      <c r="G1273" s="25"/>
      <c r="H1273" s="16" t="str">
        <f>IF(C1273="","",IFERROR(INDEX(Settings!$L$4:$L$56,MATCH(C1273,Settings!$K$4:$K$56,0)),"Unknown"))</f>
        <v/>
      </c>
      <c r="I1273" s="8" t="str">
        <f t="shared" si="57"/>
        <v/>
      </c>
      <c r="J1273" s="8" t="str">
        <f t="shared" si="58"/>
        <v/>
      </c>
      <c r="K1273" s="24"/>
      <c r="L1273" s="7" t="str">
        <f t="shared" si="59"/>
        <v/>
      </c>
    </row>
    <row r="1274" spans="1:12" x14ac:dyDescent="0.25">
      <c r="A1274" s="23"/>
      <c r="B1274" s="24"/>
      <c r="C1274" s="24"/>
      <c r="D1274" s="24"/>
      <c r="E1274" s="24"/>
      <c r="F1274" s="24"/>
      <c r="G1274" s="25"/>
      <c r="H1274" s="16" t="str">
        <f>IF(C1274="","",IFERROR(INDEX(Settings!$L$4:$L$56,MATCH(C1274,Settings!$K$4:$K$56,0)),"Unknown"))</f>
        <v/>
      </c>
      <c r="I1274" s="8" t="str">
        <f t="shared" si="57"/>
        <v/>
      </c>
      <c r="J1274" s="8" t="str">
        <f t="shared" si="58"/>
        <v/>
      </c>
      <c r="K1274" s="24"/>
      <c r="L1274" s="7" t="str">
        <f t="shared" si="59"/>
        <v/>
      </c>
    </row>
    <row r="1275" spans="1:12" x14ac:dyDescent="0.25">
      <c r="A1275" s="23"/>
      <c r="B1275" s="24"/>
      <c r="C1275" s="24"/>
      <c r="D1275" s="24"/>
      <c r="E1275" s="24"/>
      <c r="F1275" s="24"/>
      <c r="G1275" s="25"/>
      <c r="H1275" s="16" t="str">
        <f>IF(C1275="","",IFERROR(INDEX(Settings!$L$4:$L$56,MATCH(C1275,Settings!$K$4:$K$56,0)),"Unknown"))</f>
        <v/>
      </c>
      <c r="I1275" s="8" t="str">
        <f t="shared" si="57"/>
        <v/>
      </c>
      <c r="J1275" s="8" t="str">
        <f t="shared" si="58"/>
        <v/>
      </c>
      <c r="K1275" s="24"/>
      <c r="L1275" s="7" t="str">
        <f t="shared" si="59"/>
        <v/>
      </c>
    </row>
    <row r="1276" spans="1:12" x14ac:dyDescent="0.25">
      <c r="A1276" s="23"/>
      <c r="B1276" s="24"/>
      <c r="C1276" s="24"/>
      <c r="D1276" s="24"/>
      <c r="E1276" s="24"/>
      <c r="F1276" s="24"/>
      <c r="G1276" s="25"/>
      <c r="H1276" s="16" t="str">
        <f>IF(C1276="","",IFERROR(INDEX(Settings!$L$4:$L$56,MATCH(C1276,Settings!$K$4:$K$56,0)),"Unknown"))</f>
        <v/>
      </c>
      <c r="I1276" s="8" t="str">
        <f t="shared" si="57"/>
        <v/>
      </c>
      <c r="J1276" s="8" t="str">
        <f t="shared" si="58"/>
        <v/>
      </c>
      <c r="K1276" s="24"/>
      <c r="L1276" s="7" t="str">
        <f t="shared" si="59"/>
        <v/>
      </c>
    </row>
    <row r="1277" spans="1:12" x14ac:dyDescent="0.25">
      <c r="A1277" s="23"/>
      <c r="B1277" s="24"/>
      <c r="C1277" s="24"/>
      <c r="D1277" s="24"/>
      <c r="E1277" s="24"/>
      <c r="F1277" s="24"/>
      <c r="G1277" s="25"/>
      <c r="H1277" s="16" t="str">
        <f>IF(C1277="","",IFERROR(INDEX(Settings!$L$4:$L$56,MATCH(C1277,Settings!$K$4:$K$56,0)),"Unknown"))</f>
        <v/>
      </c>
      <c r="I1277" s="8" t="str">
        <f t="shared" si="57"/>
        <v/>
      </c>
      <c r="J1277" s="8" t="str">
        <f t="shared" si="58"/>
        <v/>
      </c>
      <c r="K1277" s="24"/>
      <c r="L1277" s="7" t="str">
        <f t="shared" si="59"/>
        <v/>
      </c>
    </row>
    <row r="1278" spans="1:12" x14ac:dyDescent="0.25">
      <c r="A1278" s="23"/>
      <c r="B1278" s="24"/>
      <c r="C1278" s="24"/>
      <c r="D1278" s="24"/>
      <c r="E1278" s="24"/>
      <c r="F1278" s="24"/>
      <c r="G1278" s="25"/>
      <c r="H1278" s="16" t="str">
        <f>IF(C1278="","",IFERROR(INDEX(Settings!$L$4:$L$56,MATCH(C1278,Settings!$K$4:$K$56,0)),"Unknown"))</f>
        <v/>
      </c>
      <c r="I1278" s="8" t="str">
        <f t="shared" si="57"/>
        <v/>
      </c>
      <c r="J1278" s="8" t="str">
        <f t="shared" si="58"/>
        <v/>
      </c>
      <c r="K1278" s="24"/>
      <c r="L1278" s="7" t="str">
        <f t="shared" si="59"/>
        <v/>
      </c>
    </row>
    <row r="1279" spans="1:12" x14ac:dyDescent="0.25">
      <c r="A1279" s="23"/>
      <c r="B1279" s="24"/>
      <c r="C1279" s="24"/>
      <c r="D1279" s="24"/>
      <c r="E1279" s="24"/>
      <c r="F1279" s="24"/>
      <c r="G1279" s="25"/>
      <c r="H1279" s="16" t="str">
        <f>IF(C1279="","",IFERROR(INDEX(Settings!$L$4:$L$56,MATCH(C1279,Settings!$K$4:$K$56,0)),"Unknown"))</f>
        <v/>
      </c>
      <c r="I1279" s="8" t="str">
        <f t="shared" si="57"/>
        <v/>
      </c>
      <c r="J1279" s="8" t="str">
        <f t="shared" si="58"/>
        <v/>
      </c>
      <c r="K1279" s="24"/>
      <c r="L1279" s="7" t="str">
        <f t="shared" si="59"/>
        <v/>
      </c>
    </row>
    <row r="1280" spans="1:12" x14ac:dyDescent="0.25">
      <c r="A1280" s="23"/>
      <c r="B1280" s="24"/>
      <c r="C1280" s="24"/>
      <c r="D1280" s="24"/>
      <c r="E1280" s="24"/>
      <c r="F1280" s="24"/>
      <c r="G1280" s="25"/>
      <c r="H1280" s="16" t="str">
        <f>IF(C1280="","",IFERROR(INDEX(Settings!$L$4:$L$56,MATCH(C1280,Settings!$K$4:$K$56,0)),"Unknown"))</f>
        <v/>
      </c>
      <c r="I1280" s="8" t="str">
        <f t="shared" si="57"/>
        <v/>
      </c>
      <c r="J1280" s="8" t="str">
        <f t="shared" si="58"/>
        <v/>
      </c>
      <c r="K1280" s="24"/>
      <c r="L1280" s="7" t="str">
        <f t="shared" si="59"/>
        <v/>
      </c>
    </row>
    <row r="1281" spans="1:12" x14ac:dyDescent="0.25">
      <c r="A1281" s="23"/>
      <c r="B1281" s="24"/>
      <c r="C1281" s="24"/>
      <c r="D1281" s="24"/>
      <c r="E1281" s="24"/>
      <c r="F1281" s="24"/>
      <c r="G1281" s="25"/>
      <c r="H1281" s="16" t="str">
        <f>IF(C1281="","",IFERROR(INDEX(Settings!$L$4:$L$56,MATCH(C1281,Settings!$K$4:$K$56,0)),"Unknown"))</f>
        <v/>
      </c>
      <c r="I1281" s="8" t="str">
        <f t="shared" si="57"/>
        <v/>
      </c>
      <c r="J1281" s="8" t="str">
        <f t="shared" si="58"/>
        <v/>
      </c>
      <c r="K1281" s="24"/>
      <c r="L1281" s="7" t="str">
        <f t="shared" si="59"/>
        <v/>
      </c>
    </row>
    <row r="1282" spans="1:12" x14ac:dyDescent="0.25">
      <c r="A1282" s="23"/>
      <c r="B1282" s="24"/>
      <c r="C1282" s="24"/>
      <c r="D1282" s="24"/>
      <c r="E1282" s="24"/>
      <c r="F1282" s="24"/>
      <c r="G1282" s="25"/>
      <c r="H1282" s="16" t="str">
        <f>IF(C1282="","",IFERROR(INDEX(Settings!$L$4:$L$56,MATCH(C1282,Settings!$K$4:$K$56,0)),"Unknown"))</f>
        <v/>
      </c>
      <c r="I1282" s="8" t="str">
        <f t="shared" si="57"/>
        <v/>
      </c>
      <c r="J1282" s="8" t="str">
        <f t="shared" si="58"/>
        <v/>
      </c>
      <c r="K1282" s="24"/>
      <c r="L1282" s="7" t="str">
        <f t="shared" si="59"/>
        <v/>
      </c>
    </row>
    <row r="1283" spans="1:12" x14ac:dyDescent="0.25">
      <c r="A1283" s="23"/>
      <c r="B1283" s="24"/>
      <c r="C1283" s="24"/>
      <c r="D1283" s="24"/>
      <c r="E1283" s="24"/>
      <c r="F1283" s="24"/>
      <c r="G1283" s="25"/>
      <c r="H1283" s="16" t="str">
        <f>IF(C1283="","",IFERROR(INDEX(Settings!$L$4:$L$56,MATCH(C1283,Settings!$K$4:$K$56,0)),"Unknown"))</f>
        <v/>
      </c>
      <c r="I1283" s="8" t="str">
        <f t="shared" si="57"/>
        <v/>
      </c>
      <c r="J1283" s="8" t="str">
        <f t="shared" si="58"/>
        <v/>
      </c>
      <c r="K1283" s="24"/>
      <c r="L1283" s="7" t="str">
        <f t="shared" si="59"/>
        <v/>
      </c>
    </row>
    <row r="1284" spans="1:12" x14ac:dyDescent="0.25">
      <c r="A1284" s="23"/>
      <c r="B1284" s="24"/>
      <c r="C1284" s="24"/>
      <c r="D1284" s="24"/>
      <c r="E1284" s="24"/>
      <c r="F1284" s="24"/>
      <c r="G1284" s="25"/>
      <c r="H1284" s="16" t="str">
        <f>IF(C1284="","",IFERROR(INDEX(Settings!$L$4:$L$56,MATCH(C1284,Settings!$K$4:$K$56,0)),"Unknown"))</f>
        <v/>
      </c>
      <c r="I1284" s="8" t="str">
        <f t="shared" si="57"/>
        <v/>
      </c>
      <c r="J1284" s="8" t="str">
        <f t="shared" si="58"/>
        <v/>
      </c>
      <c r="K1284" s="24"/>
      <c r="L1284" s="7" t="str">
        <f t="shared" si="59"/>
        <v/>
      </c>
    </row>
    <row r="1285" spans="1:12" x14ac:dyDescent="0.25">
      <c r="A1285" s="23"/>
      <c r="B1285" s="24"/>
      <c r="C1285" s="24"/>
      <c r="D1285" s="24"/>
      <c r="E1285" s="24"/>
      <c r="F1285" s="24"/>
      <c r="G1285" s="25"/>
      <c r="H1285" s="16" t="str">
        <f>IF(C1285="","",IFERROR(INDEX(Settings!$L$4:$L$56,MATCH(C1285,Settings!$K$4:$K$56,0)),"Unknown"))</f>
        <v/>
      </c>
      <c r="I1285" s="8" t="str">
        <f t="shared" si="57"/>
        <v/>
      </c>
      <c r="J1285" s="8" t="str">
        <f t="shared" si="58"/>
        <v/>
      </c>
      <c r="K1285" s="24"/>
      <c r="L1285" s="7" t="str">
        <f t="shared" si="59"/>
        <v/>
      </c>
    </row>
    <row r="1286" spans="1:12" x14ac:dyDescent="0.25">
      <c r="A1286" s="23"/>
      <c r="B1286" s="24"/>
      <c r="C1286" s="24"/>
      <c r="D1286" s="24"/>
      <c r="E1286" s="24"/>
      <c r="F1286" s="24"/>
      <c r="G1286" s="25"/>
      <c r="H1286" s="16" t="str">
        <f>IF(C1286="","",IFERROR(INDEX(Settings!$L$4:$L$56,MATCH(C1286,Settings!$K$4:$K$56,0)),"Unknown"))</f>
        <v/>
      </c>
      <c r="I1286" s="8" t="str">
        <f t="shared" ref="I1286:I1349" si="60">IF(A1286="","",MONTH(A1286))</f>
        <v/>
      </c>
      <c r="J1286" s="8" t="str">
        <f t="shared" ref="J1286:J1349" si="61">IF(A1286="","",YEAR(A1286))</f>
        <v/>
      </c>
      <c r="K1286" s="24"/>
      <c r="L1286" s="7" t="str">
        <f t="shared" ref="L1286:L1349" si="62">IF(OR(B1286="",C1286=""),"",IF(AND(B1286="Income",H1286&lt;&gt;"Income"),"Category is not an Income category",IF(AND(B1286="Expense",H1286="Income"),"Category is an Income category","OK")))</f>
        <v/>
      </c>
    </row>
    <row r="1287" spans="1:12" x14ac:dyDescent="0.25">
      <c r="A1287" s="23"/>
      <c r="B1287" s="24"/>
      <c r="C1287" s="24"/>
      <c r="D1287" s="24"/>
      <c r="E1287" s="24"/>
      <c r="F1287" s="24"/>
      <c r="G1287" s="25"/>
      <c r="H1287" s="16" t="str">
        <f>IF(C1287="","",IFERROR(INDEX(Settings!$L$4:$L$56,MATCH(C1287,Settings!$K$4:$K$56,0)),"Unknown"))</f>
        <v/>
      </c>
      <c r="I1287" s="8" t="str">
        <f t="shared" si="60"/>
        <v/>
      </c>
      <c r="J1287" s="8" t="str">
        <f t="shared" si="61"/>
        <v/>
      </c>
      <c r="K1287" s="24"/>
      <c r="L1287" s="7" t="str">
        <f t="shared" si="62"/>
        <v/>
      </c>
    </row>
    <row r="1288" spans="1:12" x14ac:dyDescent="0.25">
      <c r="A1288" s="23"/>
      <c r="B1288" s="24"/>
      <c r="C1288" s="24"/>
      <c r="D1288" s="24"/>
      <c r="E1288" s="24"/>
      <c r="F1288" s="24"/>
      <c r="G1288" s="25"/>
      <c r="H1288" s="16" t="str">
        <f>IF(C1288="","",IFERROR(INDEX(Settings!$L$4:$L$56,MATCH(C1288,Settings!$K$4:$K$56,0)),"Unknown"))</f>
        <v/>
      </c>
      <c r="I1288" s="8" t="str">
        <f t="shared" si="60"/>
        <v/>
      </c>
      <c r="J1288" s="8" t="str">
        <f t="shared" si="61"/>
        <v/>
      </c>
      <c r="K1288" s="24"/>
      <c r="L1288" s="7" t="str">
        <f t="shared" si="62"/>
        <v/>
      </c>
    </row>
    <row r="1289" spans="1:12" x14ac:dyDescent="0.25">
      <c r="A1289" s="23"/>
      <c r="B1289" s="24"/>
      <c r="C1289" s="24"/>
      <c r="D1289" s="24"/>
      <c r="E1289" s="24"/>
      <c r="F1289" s="24"/>
      <c r="G1289" s="25"/>
      <c r="H1289" s="16" t="str">
        <f>IF(C1289="","",IFERROR(INDEX(Settings!$L$4:$L$56,MATCH(C1289,Settings!$K$4:$K$56,0)),"Unknown"))</f>
        <v/>
      </c>
      <c r="I1289" s="8" t="str">
        <f t="shared" si="60"/>
        <v/>
      </c>
      <c r="J1289" s="8" t="str">
        <f t="shared" si="61"/>
        <v/>
      </c>
      <c r="K1289" s="24"/>
      <c r="L1289" s="7" t="str">
        <f t="shared" si="62"/>
        <v/>
      </c>
    </row>
    <row r="1290" spans="1:12" x14ac:dyDescent="0.25">
      <c r="A1290" s="23"/>
      <c r="B1290" s="24"/>
      <c r="C1290" s="24"/>
      <c r="D1290" s="24"/>
      <c r="E1290" s="24"/>
      <c r="F1290" s="24"/>
      <c r="G1290" s="25"/>
      <c r="H1290" s="16" t="str">
        <f>IF(C1290="","",IFERROR(INDEX(Settings!$L$4:$L$56,MATCH(C1290,Settings!$K$4:$K$56,0)),"Unknown"))</f>
        <v/>
      </c>
      <c r="I1290" s="8" t="str">
        <f t="shared" si="60"/>
        <v/>
      </c>
      <c r="J1290" s="8" t="str">
        <f t="shared" si="61"/>
        <v/>
      </c>
      <c r="K1290" s="24"/>
      <c r="L1290" s="7" t="str">
        <f t="shared" si="62"/>
        <v/>
      </c>
    </row>
    <row r="1291" spans="1:12" x14ac:dyDescent="0.25">
      <c r="A1291" s="23"/>
      <c r="B1291" s="24"/>
      <c r="C1291" s="24"/>
      <c r="D1291" s="24"/>
      <c r="E1291" s="24"/>
      <c r="F1291" s="24"/>
      <c r="G1291" s="25"/>
      <c r="H1291" s="16" t="str">
        <f>IF(C1291="","",IFERROR(INDEX(Settings!$L$4:$L$56,MATCH(C1291,Settings!$K$4:$K$56,0)),"Unknown"))</f>
        <v/>
      </c>
      <c r="I1291" s="8" t="str">
        <f t="shared" si="60"/>
        <v/>
      </c>
      <c r="J1291" s="8" t="str">
        <f t="shared" si="61"/>
        <v/>
      </c>
      <c r="K1291" s="24"/>
      <c r="L1291" s="7" t="str">
        <f t="shared" si="62"/>
        <v/>
      </c>
    </row>
    <row r="1292" spans="1:12" x14ac:dyDescent="0.25">
      <c r="A1292" s="23"/>
      <c r="B1292" s="24"/>
      <c r="C1292" s="24"/>
      <c r="D1292" s="24"/>
      <c r="E1292" s="24"/>
      <c r="F1292" s="24"/>
      <c r="G1292" s="25"/>
      <c r="H1292" s="16" t="str">
        <f>IF(C1292="","",IFERROR(INDEX(Settings!$L$4:$L$56,MATCH(C1292,Settings!$K$4:$K$56,0)),"Unknown"))</f>
        <v/>
      </c>
      <c r="I1292" s="8" t="str">
        <f t="shared" si="60"/>
        <v/>
      </c>
      <c r="J1292" s="8" t="str">
        <f t="shared" si="61"/>
        <v/>
      </c>
      <c r="K1292" s="24"/>
      <c r="L1292" s="7" t="str">
        <f t="shared" si="62"/>
        <v/>
      </c>
    </row>
    <row r="1293" spans="1:12" x14ac:dyDescent="0.25">
      <c r="A1293" s="23"/>
      <c r="B1293" s="24"/>
      <c r="C1293" s="24"/>
      <c r="D1293" s="24"/>
      <c r="E1293" s="24"/>
      <c r="F1293" s="24"/>
      <c r="G1293" s="25"/>
      <c r="H1293" s="16" t="str">
        <f>IF(C1293="","",IFERROR(INDEX(Settings!$L$4:$L$56,MATCH(C1293,Settings!$K$4:$K$56,0)),"Unknown"))</f>
        <v/>
      </c>
      <c r="I1293" s="8" t="str">
        <f t="shared" si="60"/>
        <v/>
      </c>
      <c r="J1293" s="8" t="str">
        <f t="shared" si="61"/>
        <v/>
      </c>
      <c r="K1293" s="24"/>
      <c r="L1293" s="7" t="str">
        <f t="shared" si="62"/>
        <v/>
      </c>
    </row>
    <row r="1294" spans="1:12" x14ac:dyDescent="0.25">
      <c r="A1294" s="23"/>
      <c r="B1294" s="24"/>
      <c r="C1294" s="24"/>
      <c r="D1294" s="24"/>
      <c r="E1294" s="24"/>
      <c r="F1294" s="24"/>
      <c r="G1294" s="25"/>
      <c r="H1294" s="16" t="str">
        <f>IF(C1294="","",IFERROR(INDEX(Settings!$L$4:$L$56,MATCH(C1294,Settings!$K$4:$K$56,0)),"Unknown"))</f>
        <v/>
      </c>
      <c r="I1294" s="8" t="str">
        <f t="shared" si="60"/>
        <v/>
      </c>
      <c r="J1294" s="8" t="str">
        <f t="shared" si="61"/>
        <v/>
      </c>
      <c r="K1294" s="24"/>
      <c r="L1294" s="7" t="str">
        <f t="shared" si="62"/>
        <v/>
      </c>
    </row>
    <row r="1295" spans="1:12" x14ac:dyDescent="0.25">
      <c r="A1295" s="23"/>
      <c r="B1295" s="24"/>
      <c r="C1295" s="24"/>
      <c r="D1295" s="24"/>
      <c r="E1295" s="24"/>
      <c r="F1295" s="24"/>
      <c r="G1295" s="25"/>
      <c r="H1295" s="16" t="str">
        <f>IF(C1295="","",IFERROR(INDEX(Settings!$L$4:$L$56,MATCH(C1295,Settings!$K$4:$K$56,0)),"Unknown"))</f>
        <v/>
      </c>
      <c r="I1295" s="8" t="str">
        <f t="shared" si="60"/>
        <v/>
      </c>
      <c r="J1295" s="8" t="str">
        <f t="shared" si="61"/>
        <v/>
      </c>
      <c r="K1295" s="24"/>
      <c r="L1295" s="7" t="str">
        <f t="shared" si="62"/>
        <v/>
      </c>
    </row>
    <row r="1296" spans="1:12" x14ac:dyDescent="0.25">
      <c r="A1296" s="23"/>
      <c r="B1296" s="24"/>
      <c r="C1296" s="24"/>
      <c r="D1296" s="24"/>
      <c r="E1296" s="24"/>
      <c r="F1296" s="24"/>
      <c r="G1296" s="25"/>
      <c r="H1296" s="16" t="str">
        <f>IF(C1296="","",IFERROR(INDEX(Settings!$L$4:$L$56,MATCH(C1296,Settings!$K$4:$K$56,0)),"Unknown"))</f>
        <v/>
      </c>
      <c r="I1296" s="8" t="str">
        <f t="shared" si="60"/>
        <v/>
      </c>
      <c r="J1296" s="8" t="str">
        <f t="shared" si="61"/>
        <v/>
      </c>
      <c r="K1296" s="24"/>
      <c r="L1296" s="7" t="str">
        <f t="shared" si="62"/>
        <v/>
      </c>
    </row>
    <row r="1297" spans="1:12" x14ac:dyDescent="0.25">
      <c r="A1297" s="23"/>
      <c r="B1297" s="24"/>
      <c r="C1297" s="24"/>
      <c r="D1297" s="24"/>
      <c r="E1297" s="24"/>
      <c r="F1297" s="24"/>
      <c r="G1297" s="25"/>
      <c r="H1297" s="16" t="str">
        <f>IF(C1297="","",IFERROR(INDEX(Settings!$L$4:$L$56,MATCH(C1297,Settings!$K$4:$K$56,0)),"Unknown"))</f>
        <v/>
      </c>
      <c r="I1297" s="8" t="str">
        <f t="shared" si="60"/>
        <v/>
      </c>
      <c r="J1297" s="8" t="str">
        <f t="shared" si="61"/>
        <v/>
      </c>
      <c r="K1297" s="24"/>
      <c r="L1297" s="7" t="str">
        <f t="shared" si="62"/>
        <v/>
      </c>
    </row>
    <row r="1298" spans="1:12" x14ac:dyDescent="0.25">
      <c r="A1298" s="23"/>
      <c r="B1298" s="24"/>
      <c r="C1298" s="24"/>
      <c r="D1298" s="24"/>
      <c r="E1298" s="24"/>
      <c r="F1298" s="24"/>
      <c r="G1298" s="25"/>
      <c r="H1298" s="16" t="str">
        <f>IF(C1298="","",IFERROR(INDEX(Settings!$L$4:$L$56,MATCH(C1298,Settings!$K$4:$K$56,0)),"Unknown"))</f>
        <v/>
      </c>
      <c r="I1298" s="8" t="str">
        <f t="shared" si="60"/>
        <v/>
      </c>
      <c r="J1298" s="8" t="str">
        <f t="shared" si="61"/>
        <v/>
      </c>
      <c r="K1298" s="24"/>
      <c r="L1298" s="7" t="str">
        <f t="shared" si="62"/>
        <v/>
      </c>
    </row>
    <row r="1299" spans="1:12" x14ac:dyDescent="0.25">
      <c r="A1299" s="23"/>
      <c r="B1299" s="24"/>
      <c r="C1299" s="24"/>
      <c r="D1299" s="24"/>
      <c r="E1299" s="24"/>
      <c r="F1299" s="24"/>
      <c r="G1299" s="25"/>
      <c r="H1299" s="16" t="str">
        <f>IF(C1299="","",IFERROR(INDEX(Settings!$L$4:$L$56,MATCH(C1299,Settings!$K$4:$K$56,0)),"Unknown"))</f>
        <v/>
      </c>
      <c r="I1299" s="8" t="str">
        <f t="shared" si="60"/>
        <v/>
      </c>
      <c r="J1299" s="8" t="str">
        <f t="shared" si="61"/>
        <v/>
      </c>
      <c r="K1299" s="24"/>
      <c r="L1299" s="7" t="str">
        <f t="shared" si="62"/>
        <v/>
      </c>
    </row>
    <row r="1300" spans="1:12" x14ac:dyDescent="0.25">
      <c r="A1300" s="23"/>
      <c r="B1300" s="24"/>
      <c r="C1300" s="24"/>
      <c r="D1300" s="24"/>
      <c r="E1300" s="24"/>
      <c r="F1300" s="24"/>
      <c r="G1300" s="25"/>
      <c r="H1300" s="16" t="str">
        <f>IF(C1300="","",IFERROR(INDEX(Settings!$L$4:$L$56,MATCH(C1300,Settings!$K$4:$K$56,0)),"Unknown"))</f>
        <v/>
      </c>
      <c r="I1300" s="8" t="str">
        <f t="shared" si="60"/>
        <v/>
      </c>
      <c r="J1300" s="8" t="str">
        <f t="shared" si="61"/>
        <v/>
      </c>
      <c r="K1300" s="24"/>
      <c r="L1300" s="7" t="str">
        <f t="shared" si="62"/>
        <v/>
      </c>
    </row>
    <row r="1301" spans="1:12" x14ac:dyDescent="0.25">
      <c r="A1301" s="23"/>
      <c r="B1301" s="24"/>
      <c r="C1301" s="24"/>
      <c r="D1301" s="24"/>
      <c r="E1301" s="24"/>
      <c r="F1301" s="24"/>
      <c r="G1301" s="25"/>
      <c r="H1301" s="16" t="str">
        <f>IF(C1301="","",IFERROR(INDEX(Settings!$L$4:$L$56,MATCH(C1301,Settings!$K$4:$K$56,0)),"Unknown"))</f>
        <v/>
      </c>
      <c r="I1301" s="8" t="str">
        <f t="shared" si="60"/>
        <v/>
      </c>
      <c r="J1301" s="8" t="str">
        <f t="shared" si="61"/>
        <v/>
      </c>
      <c r="K1301" s="24"/>
      <c r="L1301" s="7" t="str">
        <f t="shared" si="62"/>
        <v/>
      </c>
    </row>
    <row r="1302" spans="1:12" x14ac:dyDescent="0.25">
      <c r="A1302" s="23"/>
      <c r="B1302" s="24"/>
      <c r="C1302" s="24"/>
      <c r="D1302" s="24"/>
      <c r="E1302" s="24"/>
      <c r="F1302" s="24"/>
      <c r="G1302" s="25"/>
      <c r="H1302" s="16" t="str">
        <f>IF(C1302="","",IFERROR(INDEX(Settings!$L$4:$L$56,MATCH(C1302,Settings!$K$4:$K$56,0)),"Unknown"))</f>
        <v/>
      </c>
      <c r="I1302" s="8" t="str">
        <f t="shared" si="60"/>
        <v/>
      </c>
      <c r="J1302" s="8" t="str">
        <f t="shared" si="61"/>
        <v/>
      </c>
      <c r="K1302" s="24"/>
      <c r="L1302" s="7" t="str">
        <f t="shared" si="62"/>
        <v/>
      </c>
    </row>
    <row r="1303" spans="1:12" x14ac:dyDescent="0.25">
      <c r="A1303" s="23"/>
      <c r="B1303" s="24"/>
      <c r="C1303" s="24"/>
      <c r="D1303" s="24"/>
      <c r="E1303" s="24"/>
      <c r="F1303" s="24"/>
      <c r="G1303" s="25"/>
      <c r="H1303" s="16" t="str">
        <f>IF(C1303="","",IFERROR(INDEX(Settings!$L$4:$L$56,MATCH(C1303,Settings!$K$4:$K$56,0)),"Unknown"))</f>
        <v/>
      </c>
      <c r="I1303" s="8" t="str">
        <f t="shared" si="60"/>
        <v/>
      </c>
      <c r="J1303" s="8" t="str">
        <f t="shared" si="61"/>
        <v/>
      </c>
      <c r="K1303" s="24"/>
      <c r="L1303" s="7" t="str">
        <f t="shared" si="62"/>
        <v/>
      </c>
    </row>
    <row r="1304" spans="1:12" x14ac:dyDescent="0.25">
      <c r="A1304" s="23"/>
      <c r="B1304" s="24"/>
      <c r="C1304" s="24"/>
      <c r="D1304" s="24"/>
      <c r="E1304" s="24"/>
      <c r="F1304" s="24"/>
      <c r="G1304" s="25"/>
      <c r="H1304" s="16" t="str">
        <f>IF(C1304="","",IFERROR(INDEX(Settings!$L$4:$L$56,MATCH(C1304,Settings!$K$4:$K$56,0)),"Unknown"))</f>
        <v/>
      </c>
      <c r="I1304" s="8" t="str">
        <f t="shared" si="60"/>
        <v/>
      </c>
      <c r="J1304" s="8" t="str">
        <f t="shared" si="61"/>
        <v/>
      </c>
      <c r="K1304" s="24"/>
      <c r="L1304" s="7" t="str">
        <f t="shared" si="62"/>
        <v/>
      </c>
    </row>
    <row r="1305" spans="1:12" x14ac:dyDescent="0.25">
      <c r="A1305" s="23"/>
      <c r="B1305" s="24"/>
      <c r="C1305" s="24"/>
      <c r="D1305" s="24"/>
      <c r="E1305" s="24"/>
      <c r="F1305" s="24"/>
      <c r="G1305" s="25"/>
      <c r="H1305" s="16" t="str">
        <f>IF(C1305="","",IFERROR(INDEX(Settings!$L$4:$L$56,MATCH(C1305,Settings!$K$4:$K$56,0)),"Unknown"))</f>
        <v/>
      </c>
      <c r="I1305" s="8" t="str">
        <f t="shared" si="60"/>
        <v/>
      </c>
      <c r="J1305" s="8" t="str">
        <f t="shared" si="61"/>
        <v/>
      </c>
      <c r="K1305" s="24"/>
      <c r="L1305" s="7" t="str">
        <f t="shared" si="62"/>
        <v/>
      </c>
    </row>
    <row r="1306" spans="1:12" x14ac:dyDescent="0.25">
      <c r="A1306" s="23"/>
      <c r="B1306" s="24"/>
      <c r="C1306" s="24"/>
      <c r="D1306" s="24"/>
      <c r="E1306" s="24"/>
      <c r="F1306" s="24"/>
      <c r="G1306" s="25"/>
      <c r="H1306" s="16" t="str">
        <f>IF(C1306="","",IFERROR(INDEX(Settings!$L$4:$L$56,MATCH(C1306,Settings!$K$4:$K$56,0)),"Unknown"))</f>
        <v/>
      </c>
      <c r="I1306" s="8" t="str">
        <f t="shared" si="60"/>
        <v/>
      </c>
      <c r="J1306" s="8" t="str">
        <f t="shared" si="61"/>
        <v/>
      </c>
      <c r="K1306" s="24"/>
      <c r="L1306" s="7" t="str">
        <f t="shared" si="62"/>
        <v/>
      </c>
    </row>
    <row r="1307" spans="1:12" x14ac:dyDescent="0.25">
      <c r="A1307" s="23"/>
      <c r="B1307" s="24"/>
      <c r="C1307" s="24"/>
      <c r="D1307" s="24"/>
      <c r="E1307" s="24"/>
      <c r="F1307" s="24"/>
      <c r="G1307" s="25"/>
      <c r="H1307" s="16" t="str">
        <f>IF(C1307="","",IFERROR(INDEX(Settings!$L$4:$L$56,MATCH(C1307,Settings!$K$4:$K$56,0)),"Unknown"))</f>
        <v/>
      </c>
      <c r="I1307" s="8" t="str">
        <f t="shared" si="60"/>
        <v/>
      </c>
      <c r="J1307" s="8" t="str">
        <f t="shared" si="61"/>
        <v/>
      </c>
      <c r="K1307" s="24"/>
      <c r="L1307" s="7" t="str">
        <f t="shared" si="62"/>
        <v/>
      </c>
    </row>
    <row r="1308" spans="1:12" x14ac:dyDescent="0.25">
      <c r="A1308" s="23"/>
      <c r="B1308" s="24"/>
      <c r="C1308" s="24"/>
      <c r="D1308" s="24"/>
      <c r="E1308" s="24"/>
      <c r="F1308" s="24"/>
      <c r="G1308" s="25"/>
      <c r="H1308" s="16" t="str">
        <f>IF(C1308="","",IFERROR(INDEX(Settings!$L$4:$L$56,MATCH(C1308,Settings!$K$4:$K$56,0)),"Unknown"))</f>
        <v/>
      </c>
      <c r="I1308" s="8" t="str">
        <f t="shared" si="60"/>
        <v/>
      </c>
      <c r="J1308" s="8" t="str">
        <f t="shared" si="61"/>
        <v/>
      </c>
      <c r="K1308" s="24"/>
      <c r="L1308" s="7" t="str">
        <f t="shared" si="62"/>
        <v/>
      </c>
    </row>
    <row r="1309" spans="1:12" x14ac:dyDescent="0.25">
      <c r="A1309" s="23"/>
      <c r="B1309" s="24"/>
      <c r="C1309" s="24"/>
      <c r="D1309" s="24"/>
      <c r="E1309" s="24"/>
      <c r="F1309" s="24"/>
      <c r="G1309" s="25"/>
      <c r="H1309" s="16" t="str">
        <f>IF(C1309="","",IFERROR(INDEX(Settings!$L$4:$L$56,MATCH(C1309,Settings!$K$4:$K$56,0)),"Unknown"))</f>
        <v/>
      </c>
      <c r="I1309" s="8" t="str">
        <f t="shared" si="60"/>
        <v/>
      </c>
      <c r="J1309" s="8" t="str">
        <f t="shared" si="61"/>
        <v/>
      </c>
      <c r="K1309" s="24"/>
      <c r="L1309" s="7" t="str">
        <f t="shared" si="62"/>
        <v/>
      </c>
    </row>
    <row r="1310" spans="1:12" x14ac:dyDescent="0.25">
      <c r="A1310" s="23"/>
      <c r="B1310" s="24"/>
      <c r="C1310" s="24"/>
      <c r="D1310" s="24"/>
      <c r="E1310" s="24"/>
      <c r="F1310" s="24"/>
      <c r="G1310" s="25"/>
      <c r="H1310" s="16" t="str">
        <f>IF(C1310="","",IFERROR(INDEX(Settings!$L$4:$L$56,MATCH(C1310,Settings!$K$4:$K$56,0)),"Unknown"))</f>
        <v/>
      </c>
      <c r="I1310" s="8" t="str">
        <f t="shared" si="60"/>
        <v/>
      </c>
      <c r="J1310" s="8" t="str">
        <f t="shared" si="61"/>
        <v/>
      </c>
      <c r="K1310" s="24"/>
      <c r="L1310" s="7" t="str">
        <f t="shared" si="62"/>
        <v/>
      </c>
    </row>
    <row r="1311" spans="1:12" x14ac:dyDescent="0.25">
      <c r="A1311" s="23"/>
      <c r="B1311" s="24"/>
      <c r="C1311" s="24"/>
      <c r="D1311" s="24"/>
      <c r="E1311" s="24"/>
      <c r="F1311" s="24"/>
      <c r="G1311" s="25"/>
      <c r="H1311" s="16" t="str">
        <f>IF(C1311="","",IFERROR(INDEX(Settings!$L$4:$L$56,MATCH(C1311,Settings!$K$4:$K$56,0)),"Unknown"))</f>
        <v/>
      </c>
      <c r="I1311" s="8" t="str">
        <f t="shared" si="60"/>
        <v/>
      </c>
      <c r="J1311" s="8" t="str">
        <f t="shared" si="61"/>
        <v/>
      </c>
      <c r="K1311" s="24"/>
      <c r="L1311" s="7" t="str">
        <f t="shared" si="62"/>
        <v/>
      </c>
    </row>
    <row r="1312" spans="1:12" x14ac:dyDescent="0.25">
      <c r="A1312" s="23"/>
      <c r="B1312" s="24"/>
      <c r="C1312" s="24"/>
      <c r="D1312" s="24"/>
      <c r="E1312" s="24"/>
      <c r="F1312" s="24"/>
      <c r="G1312" s="25"/>
      <c r="H1312" s="16" t="str">
        <f>IF(C1312="","",IFERROR(INDEX(Settings!$L$4:$L$56,MATCH(C1312,Settings!$K$4:$K$56,0)),"Unknown"))</f>
        <v/>
      </c>
      <c r="I1312" s="8" t="str">
        <f t="shared" si="60"/>
        <v/>
      </c>
      <c r="J1312" s="8" t="str">
        <f t="shared" si="61"/>
        <v/>
      </c>
      <c r="K1312" s="24"/>
      <c r="L1312" s="7" t="str">
        <f t="shared" si="62"/>
        <v/>
      </c>
    </row>
    <row r="1313" spans="1:12" x14ac:dyDescent="0.25">
      <c r="A1313" s="23"/>
      <c r="B1313" s="24"/>
      <c r="C1313" s="24"/>
      <c r="D1313" s="24"/>
      <c r="E1313" s="24"/>
      <c r="F1313" s="24"/>
      <c r="G1313" s="25"/>
      <c r="H1313" s="16" t="str">
        <f>IF(C1313="","",IFERROR(INDEX(Settings!$L$4:$L$56,MATCH(C1313,Settings!$K$4:$K$56,0)),"Unknown"))</f>
        <v/>
      </c>
      <c r="I1313" s="8" t="str">
        <f t="shared" si="60"/>
        <v/>
      </c>
      <c r="J1313" s="8" t="str">
        <f t="shared" si="61"/>
        <v/>
      </c>
      <c r="K1313" s="24"/>
      <c r="L1313" s="7" t="str">
        <f t="shared" si="62"/>
        <v/>
      </c>
    </row>
    <row r="1314" spans="1:12" x14ac:dyDescent="0.25">
      <c r="A1314" s="23"/>
      <c r="B1314" s="24"/>
      <c r="C1314" s="24"/>
      <c r="D1314" s="24"/>
      <c r="E1314" s="24"/>
      <c r="F1314" s="24"/>
      <c r="G1314" s="25"/>
      <c r="H1314" s="16" t="str">
        <f>IF(C1314="","",IFERROR(INDEX(Settings!$L$4:$L$56,MATCH(C1314,Settings!$K$4:$K$56,0)),"Unknown"))</f>
        <v/>
      </c>
      <c r="I1314" s="8" t="str">
        <f t="shared" si="60"/>
        <v/>
      </c>
      <c r="J1314" s="8" t="str">
        <f t="shared" si="61"/>
        <v/>
      </c>
      <c r="K1314" s="24"/>
      <c r="L1314" s="7" t="str">
        <f t="shared" si="62"/>
        <v/>
      </c>
    </row>
    <row r="1315" spans="1:12" x14ac:dyDescent="0.25">
      <c r="A1315" s="23"/>
      <c r="B1315" s="24"/>
      <c r="C1315" s="24"/>
      <c r="D1315" s="24"/>
      <c r="E1315" s="24"/>
      <c r="F1315" s="24"/>
      <c r="G1315" s="25"/>
      <c r="H1315" s="16" t="str">
        <f>IF(C1315="","",IFERROR(INDEX(Settings!$L$4:$L$56,MATCH(C1315,Settings!$K$4:$K$56,0)),"Unknown"))</f>
        <v/>
      </c>
      <c r="I1315" s="8" t="str">
        <f t="shared" si="60"/>
        <v/>
      </c>
      <c r="J1315" s="8" t="str">
        <f t="shared" si="61"/>
        <v/>
      </c>
      <c r="K1315" s="24"/>
      <c r="L1315" s="7" t="str">
        <f t="shared" si="62"/>
        <v/>
      </c>
    </row>
    <row r="1316" spans="1:12" x14ac:dyDescent="0.25">
      <c r="A1316" s="23"/>
      <c r="B1316" s="24"/>
      <c r="C1316" s="24"/>
      <c r="D1316" s="24"/>
      <c r="E1316" s="24"/>
      <c r="F1316" s="24"/>
      <c r="G1316" s="25"/>
      <c r="H1316" s="16" t="str">
        <f>IF(C1316="","",IFERROR(INDEX(Settings!$L$4:$L$56,MATCH(C1316,Settings!$K$4:$K$56,0)),"Unknown"))</f>
        <v/>
      </c>
      <c r="I1316" s="8" t="str">
        <f t="shared" si="60"/>
        <v/>
      </c>
      <c r="J1316" s="8" t="str">
        <f t="shared" si="61"/>
        <v/>
      </c>
      <c r="K1316" s="24"/>
      <c r="L1316" s="7" t="str">
        <f t="shared" si="62"/>
        <v/>
      </c>
    </row>
    <row r="1317" spans="1:12" x14ac:dyDescent="0.25">
      <c r="A1317" s="23"/>
      <c r="B1317" s="24"/>
      <c r="C1317" s="24"/>
      <c r="D1317" s="24"/>
      <c r="E1317" s="24"/>
      <c r="F1317" s="24"/>
      <c r="G1317" s="25"/>
      <c r="H1317" s="16" t="str">
        <f>IF(C1317="","",IFERROR(INDEX(Settings!$L$4:$L$56,MATCH(C1317,Settings!$K$4:$K$56,0)),"Unknown"))</f>
        <v/>
      </c>
      <c r="I1317" s="8" t="str">
        <f t="shared" si="60"/>
        <v/>
      </c>
      <c r="J1317" s="8" t="str">
        <f t="shared" si="61"/>
        <v/>
      </c>
      <c r="K1317" s="24"/>
      <c r="L1317" s="7" t="str">
        <f t="shared" si="62"/>
        <v/>
      </c>
    </row>
    <row r="1318" spans="1:12" x14ac:dyDescent="0.25">
      <c r="A1318" s="23"/>
      <c r="B1318" s="24"/>
      <c r="C1318" s="24"/>
      <c r="D1318" s="24"/>
      <c r="E1318" s="24"/>
      <c r="F1318" s="24"/>
      <c r="G1318" s="25"/>
      <c r="H1318" s="16" t="str">
        <f>IF(C1318="","",IFERROR(INDEX(Settings!$L$4:$L$56,MATCH(C1318,Settings!$K$4:$K$56,0)),"Unknown"))</f>
        <v/>
      </c>
      <c r="I1318" s="8" t="str">
        <f t="shared" si="60"/>
        <v/>
      </c>
      <c r="J1318" s="8" t="str">
        <f t="shared" si="61"/>
        <v/>
      </c>
      <c r="K1318" s="24"/>
      <c r="L1318" s="7" t="str">
        <f t="shared" si="62"/>
        <v/>
      </c>
    </row>
    <row r="1319" spans="1:12" x14ac:dyDescent="0.25">
      <c r="A1319" s="23"/>
      <c r="B1319" s="24"/>
      <c r="C1319" s="24"/>
      <c r="D1319" s="24"/>
      <c r="E1319" s="24"/>
      <c r="F1319" s="24"/>
      <c r="G1319" s="25"/>
      <c r="H1319" s="16" t="str">
        <f>IF(C1319="","",IFERROR(INDEX(Settings!$L$4:$L$56,MATCH(C1319,Settings!$K$4:$K$56,0)),"Unknown"))</f>
        <v/>
      </c>
      <c r="I1319" s="8" t="str">
        <f t="shared" si="60"/>
        <v/>
      </c>
      <c r="J1319" s="8" t="str">
        <f t="shared" si="61"/>
        <v/>
      </c>
      <c r="K1319" s="24"/>
      <c r="L1319" s="7" t="str">
        <f t="shared" si="62"/>
        <v/>
      </c>
    </row>
    <row r="1320" spans="1:12" x14ac:dyDescent="0.25">
      <c r="A1320" s="23"/>
      <c r="B1320" s="24"/>
      <c r="C1320" s="24"/>
      <c r="D1320" s="24"/>
      <c r="E1320" s="24"/>
      <c r="F1320" s="24"/>
      <c r="G1320" s="25"/>
      <c r="H1320" s="16" t="str">
        <f>IF(C1320="","",IFERROR(INDEX(Settings!$L$4:$L$56,MATCH(C1320,Settings!$K$4:$K$56,0)),"Unknown"))</f>
        <v/>
      </c>
      <c r="I1320" s="8" t="str">
        <f t="shared" si="60"/>
        <v/>
      </c>
      <c r="J1320" s="8" t="str">
        <f t="shared" si="61"/>
        <v/>
      </c>
      <c r="K1320" s="24"/>
      <c r="L1320" s="7" t="str">
        <f t="shared" si="62"/>
        <v/>
      </c>
    </row>
    <row r="1321" spans="1:12" x14ac:dyDescent="0.25">
      <c r="A1321" s="23"/>
      <c r="B1321" s="24"/>
      <c r="C1321" s="24"/>
      <c r="D1321" s="24"/>
      <c r="E1321" s="24"/>
      <c r="F1321" s="24"/>
      <c r="G1321" s="25"/>
      <c r="H1321" s="16" t="str">
        <f>IF(C1321="","",IFERROR(INDEX(Settings!$L$4:$L$56,MATCH(C1321,Settings!$K$4:$K$56,0)),"Unknown"))</f>
        <v/>
      </c>
      <c r="I1321" s="8" t="str">
        <f t="shared" si="60"/>
        <v/>
      </c>
      <c r="J1321" s="8" t="str">
        <f t="shared" si="61"/>
        <v/>
      </c>
      <c r="K1321" s="24"/>
      <c r="L1321" s="7" t="str">
        <f t="shared" si="62"/>
        <v/>
      </c>
    </row>
    <row r="1322" spans="1:12" x14ac:dyDescent="0.25">
      <c r="A1322" s="23"/>
      <c r="B1322" s="24"/>
      <c r="C1322" s="24"/>
      <c r="D1322" s="24"/>
      <c r="E1322" s="24"/>
      <c r="F1322" s="24"/>
      <c r="G1322" s="25"/>
      <c r="H1322" s="16" t="str">
        <f>IF(C1322="","",IFERROR(INDEX(Settings!$L$4:$L$56,MATCH(C1322,Settings!$K$4:$K$56,0)),"Unknown"))</f>
        <v/>
      </c>
      <c r="I1322" s="8" t="str">
        <f t="shared" si="60"/>
        <v/>
      </c>
      <c r="J1322" s="8" t="str">
        <f t="shared" si="61"/>
        <v/>
      </c>
      <c r="K1322" s="24"/>
      <c r="L1322" s="7" t="str">
        <f t="shared" si="62"/>
        <v/>
      </c>
    </row>
    <row r="1323" spans="1:12" x14ac:dyDescent="0.25">
      <c r="A1323" s="23"/>
      <c r="B1323" s="24"/>
      <c r="C1323" s="24"/>
      <c r="D1323" s="24"/>
      <c r="E1323" s="24"/>
      <c r="F1323" s="24"/>
      <c r="G1323" s="25"/>
      <c r="H1323" s="16" t="str">
        <f>IF(C1323="","",IFERROR(INDEX(Settings!$L$4:$L$56,MATCH(C1323,Settings!$K$4:$K$56,0)),"Unknown"))</f>
        <v/>
      </c>
      <c r="I1323" s="8" t="str">
        <f t="shared" si="60"/>
        <v/>
      </c>
      <c r="J1323" s="8" t="str">
        <f t="shared" si="61"/>
        <v/>
      </c>
      <c r="K1323" s="24"/>
      <c r="L1323" s="7" t="str">
        <f t="shared" si="62"/>
        <v/>
      </c>
    </row>
    <row r="1324" spans="1:12" x14ac:dyDescent="0.25">
      <c r="A1324" s="23"/>
      <c r="B1324" s="24"/>
      <c r="C1324" s="24"/>
      <c r="D1324" s="24"/>
      <c r="E1324" s="24"/>
      <c r="F1324" s="24"/>
      <c r="G1324" s="25"/>
      <c r="H1324" s="16" t="str">
        <f>IF(C1324="","",IFERROR(INDEX(Settings!$L$4:$L$56,MATCH(C1324,Settings!$K$4:$K$56,0)),"Unknown"))</f>
        <v/>
      </c>
      <c r="I1324" s="8" t="str">
        <f t="shared" si="60"/>
        <v/>
      </c>
      <c r="J1324" s="8" t="str">
        <f t="shared" si="61"/>
        <v/>
      </c>
      <c r="K1324" s="24"/>
      <c r="L1324" s="7" t="str">
        <f t="shared" si="62"/>
        <v/>
      </c>
    </row>
    <row r="1325" spans="1:12" x14ac:dyDescent="0.25">
      <c r="A1325" s="23"/>
      <c r="B1325" s="24"/>
      <c r="C1325" s="24"/>
      <c r="D1325" s="24"/>
      <c r="E1325" s="24"/>
      <c r="F1325" s="24"/>
      <c r="G1325" s="25"/>
      <c r="H1325" s="16" t="str">
        <f>IF(C1325="","",IFERROR(INDEX(Settings!$L$4:$L$56,MATCH(C1325,Settings!$K$4:$K$56,0)),"Unknown"))</f>
        <v/>
      </c>
      <c r="I1325" s="8" t="str">
        <f t="shared" si="60"/>
        <v/>
      </c>
      <c r="J1325" s="8" t="str">
        <f t="shared" si="61"/>
        <v/>
      </c>
      <c r="K1325" s="24"/>
      <c r="L1325" s="7" t="str">
        <f t="shared" si="62"/>
        <v/>
      </c>
    </row>
    <row r="1326" spans="1:12" x14ac:dyDescent="0.25">
      <c r="A1326" s="23"/>
      <c r="B1326" s="24"/>
      <c r="C1326" s="24"/>
      <c r="D1326" s="24"/>
      <c r="E1326" s="24"/>
      <c r="F1326" s="24"/>
      <c r="G1326" s="25"/>
      <c r="H1326" s="16" t="str">
        <f>IF(C1326="","",IFERROR(INDEX(Settings!$L$4:$L$56,MATCH(C1326,Settings!$K$4:$K$56,0)),"Unknown"))</f>
        <v/>
      </c>
      <c r="I1326" s="8" t="str">
        <f t="shared" si="60"/>
        <v/>
      </c>
      <c r="J1326" s="8" t="str">
        <f t="shared" si="61"/>
        <v/>
      </c>
      <c r="K1326" s="24"/>
      <c r="L1326" s="7" t="str">
        <f t="shared" si="62"/>
        <v/>
      </c>
    </row>
    <row r="1327" spans="1:12" x14ac:dyDescent="0.25">
      <c r="A1327" s="23"/>
      <c r="B1327" s="24"/>
      <c r="C1327" s="24"/>
      <c r="D1327" s="24"/>
      <c r="E1327" s="24"/>
      <c r="F1327" s="24"/>
      <c r="G1327" s="25"/>
      <c r="H1327" s="16" t="str">
        <f>IF(C1327="","",IFERROR(INDEX(Settings!$L$4:$L$56,MATCH(C1327,Settings!$K$4:$K$56,0)),"Unknown"))</f>
        <v/>
      </c>
      <c r="I1327" s="8" t="str">
        <f t="shared" si="60"/>
        <v/>
      </c>
      <c r="J1327" s="8" t="str">
        <f t="shared" si="61"/>
        <v/>
      </c>
      <c r="K1327" s="24"/>
      <c r="L1327" s="7" t="str">
        <f t="shared" si="62"/>
        <v/>
      </c>
    </row>
    <row r="1328" spans="1:12" x14ac:dyDescent="0.25">
      <c r="A1328" s="23"/>
      <c r="B1328" s="24"/>
      <c r="C1328" s="24"/>
      <c r="D1328" s="24"/>
      <c r="E1328" s="24"/>
      <c r="F1328" s="24"/>
      <c r="G1328" s="25"/>
      <c r="H1328" s="16" t="str">
        <f>IF(C1328="","",IFERROR(INDEX(Settings!$L$4:$L$56,MATCH(C1328,Settings!$K$4:$K$56,0)),"Unknown"))</f>
        <v/>
      </c>
      <c r="I1328" s="8" t="str">
        <f t="shared" si="60"/>
        <v/>
      </c>
      <c r="J1328" s="8" t="str">
        <f t="shared" si="61"/>
        <v/>
      </c>
      <c r="K1328" s="24"/>
      <c r="L1328" s="7" t="str">
        <f t="shared" si="62"/>
        <v/>
      </c>
    </row>
    <row r="1329" spans="1:12" x14ac:dyDescent="0.25">
      <c r="A1329" s="23"/>
      <c r="B1329" s="24"/>
      <c r="C1329" s="24"/>
      <c r="D1329" s="24"/>
      <c r="E1329" s="24"/>
      <c r="F1329" s="24"/>
      <c r="G1329" s="25"/>
      <c r="H1329" s="16" t="str">
        <f>IF(C1329="","",IFERROR(INDEX(Settings!$L$4:$L$56,MATCH(C1329,Settings!$K$4:$K$56,0)),"Unknown"))</f>
        <v/>
      </c>
      <c r="I1329" s="8" t="str">
        <f t="shared" si="60"/>
        <v/>
      </c>
      <c r="J1329" s="8" t="str">
        <f t="shared" si="61"/>
        <v/>
      </c>
      <c r="K1329" s="24"/>
      <c r="L1329" s="7" t="str">
        <f t="shared" si="62"/>
        <v/>
      </c>
    </row>
    <row r="1330" spans="1:12" x14ac:dyDescent="0.25">
      <c r="A1330" s="23"/>
      <c r="B1330" s="24"/>
      <c r="C1330" s="24"/>
      <c r="D1330" s="24"/>
      <c r="E1330" s="24"/>
      <c r="F1330" s="24"/>
      <c r="G1330" s="25"/>
      <c r="H1330" s="16" t="str">
        <f>IF(C1330="","",IFERROR(INDEX(Settings!$L$4:$L$56,MATCH(C1330,Settings!$K$4:$K$56,0)),"Unknown"))</f>
        <v/>
      </c>
      <c r="I1330" s="8" t="str">
        <f t="shared" si="60"/>
        <v/>
      </c>
      <c r="J1330" s="8" t="str">
        <f t="shared" si="61"/>
        <v/>
      </c>
      <c r="K1330" s="24"/>
      <c r="L1330" s="7" t="str">
        <f t="shared" si="62"/>
        <v/>
      </c>
    </row>
    <row r="1331" spans="1:12" x14ac:dyDescent="0.25">
      <c r="A1331" s="23"/>
      <c r="B1331" s="24"/>
      <c r="C1331" s="24"/>
      <c r="D1331" s="24"/>
      <c r="E1331" s="24"/>
      <c r="F1331" s="24"/>
      <c r="G1331" s="25"/>
      <c r="H1331" s="16" t="str">
        <f>IF(C1331="","",IFERROR(INDEX(Settings!$L$4:$L$56,MATCH(C1331,Settings!$K$4:$K$56,0)),"Unknown"))</f>
        <v/>
      </c>
      <c r="I1331" s="8" t="str">
        <f t="shared" si="60"/>
        <v/>
      </c>
      <c r="J1331" s="8" t="str">
        <f t="shared" si="61"/>
        <v/>
      </c>
      <c r="K1331" s="24"/>
      <c r="L1331" s="7" t="str">
        <f t="shared" si="62"/>
        <v/>
      </c>
    </row>
    <row r="1332" spans="1:12" x14ac:dyDescent="0.25">
      <c r="A1332" s="23"/>
      <c r="B1332" s="24"/>
      <c r="C1332" s="24"/>
      <c r="D1332" s="24"/>
      <c r="E1332" s="24"/>
      <c r="F1332" s="24"/>
      <c r="G1332" s="25"/>
      <c r="H1332" s="16" t="str">
        <f>IF(C1332="","",IFERROR(INDEX(Settings!$L$4:$L$56,MATCH(C1332,Settings!$K$4:$K$56,0)),"Unknown"))</f>
        <v/>
      </c>
      <c r="I1332" s="8" t="str">
        <f t="shared" si="60"/>
        <v/>
      </c>
      <c r="J1332" s="8" t="str">
        <f t="shared" si="61"/>
        <v/>
      </c>
      <c r="K1332" s="24"/>
      <c r="L1332" s="7" t="str">
        <f t="shared" si="62"/>
        <v/>
      </c>
    </row>
    <row r="1333" spans="1:12" x14ac:dyDescent="0.25">
      <c r="A1333" s="23"/>
      <c r="B1333" s="24"/>
      <c r="C1333" s="24"/>
      <c r="D1333" s="24"/>
      <c r="E1333" s="24"/>
      <c r="F1333" s="24"/>
      <c r="G1333" s="25"/>
      <c r="H1333" s="16" t="str">
        <f>IF(C1333="","",IFERROR(INDEX(Settings!$L$4:$L$56,MATCH(C1333,Settings!$K$4:$K$56,0)),"Unknown"))</f>
        <v/>
      </c>
      <c r="I1333" s="8" t="str">
        <f t="shared" si="60"/>
        <v/>
      </c>
      <c r="J1333" s="8" t="str">
        <f t="shared" si="61"/>
        <v/>
      </c>
      <c r="K1333" s="24"/>
      <c r="L1333" s="7" t="str">
        <f t="shared" si="62"/>
        <v/>
      </c>
    </row>
    <row r="1334" spans="1:12" x14ac:dyDescent="0.25">
      <c r="A1334" s="23"/>
      <c r="B1334" s="24"/>
      <c r="C1334" s="24"/>
      <c r="D1334" s="24"/>
      <c r="E1334" s="24"/>
      <c r="F1334" s="24"/>
      <c r="G1334" s="25"/>
      <c r="H1334" s="16" t="str">
        <f>IF(C1334="","",IFERROR(INDEX(Settings!$L$4:$L$56,MATCH(C1334,Settings!$K$4:$K$56,0)),"Unknown"))</f>
        <v/>
      </c>
      <c r="I1334" s="8" t="str">
        <f t="shared" si="60"/>
        <v/>
      </c>
      <c r="J1334" s="8" t="str">
        <f t="shared" si="61"/>
        <v/>
      </c>
      <c r="K1334" s="24"/>
      <c r="L1334" s="7" t="str">
        <f t="shared" si="62"/>
        <v/>
      </c>
    </row>
    <row r="1335" spans="1:12" x14ac:dyDescent="0.25">
      <c r="A1335" s="23"/>
      <c r="B1335" s="24"/>
      <c r="C1335" s="24"/>
      <c r="D1335" s="24"/>
      <c r="E1335" s="24"/>
      <c r="F1335" s="24"/>
      <c r="G1335" s="25"/>
      <c r="H1335" s="16" t="str">
        <f>IF(C1335="","",IFERROR(INDEX(Settings!$L$4:$L$56,MATCH(C1335,Settings!$K$4:$K$56,0)),"Unknown"))</f>
        <v/>
      </c>
      <c r="I1335" s="8" t="str">
        <f t="shared" si="60"/>
        <v/>
      </c>
      <c r="J1335" s="8" t="str">
        <f t="shared" si="61"/>
        <v/>
      </c>
      <c r="K1335" s="24"/>
      <c r="L1335" s="7" t="str">
        <f t="shared" si="62"/>
        <v/>
      </c>
    </row>
    <row r="1336" spans="1:12" x14ac:dyDescent="0.25">
      <c r="A1336" s="23"/>
      <c r="B1336" s="24"/>
      <c r="C1336" s="24"/>
      <c r="D1336" s="24"/>
      <c r="E1336" s="24"/>
      <c r="F1336" s="24"/>
      <c r="G1336" s="25"/>
      <c r="H1336" s="16" t="str">
        <f>IF(C1336="","",IFERROR(INDEX(Settings!$L$4:$L$56,MATCH(C1336,Settings!$K$4:$K$56,0)),"Unknown"))</f>
        <v/>
      </c>
      <c r="I1336" s="8" t="str">
        <f t="shared" si="60"/>
        <v/>
      </c>
      <c r="J1336" s="8" t="str">
        <f t="shared" si="61"/>
        <v/>
      </c>
      <c r="K1336" s="24"/>
      <c r="L1336" s="7" t="str">
        <f t="shared" si="62"/>
        <v/>
      </c>
    </row>
    <row r="1337" spans="1:12" x14ac:dyDescent="0.25">
      <c r="A1337" s="23"/>
      <c r="B1337" s="24"/>
      <c r="C1337" s="24"/>
      <c r="D1337" s="24"/>
      <c r="E1337" s="24"/>
      <c r="F1337" s="24"/>
      <c r="G1337" s="25"/>
      <c r="H1337" s="16" t="str">
        <f>IF(C1337="","",IFERROR(INDEX(Settings!$L$4:$L$56,MATCH(C1337,Settings!$K$4:$K$56,0)),"Unknown"))</f>
        <v/>
      </c>
      <c r="I1337" s="8" t="str">
        <f t="shared" si="60"/>
        <v/>
      </c>
      <c r="J1337" s="8" t="str">
        <f t="shared" si="61"/>
        <v/>
      </c>
      <c r="K1337" s="24"/>
      <c r="L1337" s="7" t="str">
        <f t="shared" si="62"/>
        <v/>
      </c>
    </row>
    <row r="1338" spans="1:12" x14ac:dyDescent="0.25">
      <c r="A1338" s="23"/>
      <c r="B1338" s="24"/>
      <c r="C1338" s="24"/>
      <c r="D1338" s="24"/>
      <c r="E1338" s="24"/>
      <c r="F1338" s="24"/>
      <c r="G1338" s="25"/>
      <c r="H1338" s="16" t="str">
        <f>IF(C1338="","",IFERROR(INDEX(Settings!$L$4:$L$56,MATCH(C1338,Settings!$K$4:$K$56,0)),"Unknown"))</f>
        <v/>
      </c>
      <c r="I1338" s="8" t="str">
        <f t="shared" si="60"/>
        <v/>
      </c>
      <c r="J1338" s="8" t="str">
        <f t="shared" si="61"/>
        <v/>
      </c>
      <c r="K1338" s="24"/>
      <c r="L1338" s="7" t="str">
        <f t="shared" si="62"/>
        <v/>
      </c>
    </row>
    <row r="1339" spans="1:12" x14ac:dyDescent="0.25">
      <c r="A1339" s="23"/>
      <c r="B1339" s="24"/>
      <c r="C1339" s="24"/>
      <c r="D1339" s="24"/>
      <c r="E1339" s="24"/>
      <c r="F1339" s="24"/>
      <c r="G1339" s="25"/>
      <c r="H1339" s="16" t="str">
        <f>IF(C1339="","",IFERROR(INDEX(Settings!$L$4:$L$56,MATCH(C1339,Settings!$K$4:$K$56,0)),"Unknown"))</f>
        <v/>
      </c>
      <c r="I1339" s="8" t="str">
        <f t="shared" si="60"/>
        <v/>
      </c>
      <c r="J1339" s="8" t="str">
        <f t="shared" si="61"/>
        <v/>
      </c>
      <c r="K1339" s="24"/>
      <c r="L1339" s="7" t="str">
        <f t="shared" si="62"/>
        <v/>
      </c>
    </row>
    <row r="1340" spans="1:12" x14ac:dyDescent="0.25">
      <c r="A1340" s="23"/>
      <c r="B1340" s="24"/>
      <c r="C1340" s="24"/>
      <c r="D1340" s="24"/>
      <c r="E1340" s="24"/>
      <c r="F1340" s="24"/>
      <c r="G1340" s="25"/>
      <c r="H1340" s="16" t="str">
        <f>IF(C1340="","",IFERROR(INDEX(Settings!$L$4:$L$56,MATCH(C1340,Settings!$K$4:$K$56,0)),"Unknown"))</f>
        <v/>
      </c>
      <c r="I1340" s="8" t="str">
        <f t="shared" si="60"/>
        <v/>
      </c>
      <c r="J1340" s="8" t="str">
        <f t="shared" si="61"/>
        <v/>
      </c>
      <c r="K1340" s="24"/>
      <c r="L1340" s="7" t="str">
        <f t="shared" si="62"/>
        <v/>
      </c>
    </row>
    <row r="1341" spans="1:12" x14ac:dyDescent="0.25">
      <c r="A1341" s="23"/>
      <c r="B1341" s="24"/>
      <c r="C1341" s="24"/>
      <c r="D1341" s="24"/>
      <c r="E1341" s="24"/>
      <c r="F1341" s="24"/>
      <c r="G1341" s="25"/>
      <c r="H1341" s="16" t="str">
        <f>IF(C1341="","",IFERROR(INDEX(Settings!$L$4:$L$56,MATCH(C1341,Settings!$K$4:$K$56,0)),"Unknown"))</f>
        <v/>
      </c>
      <c r="I1341" s="8" t="str">
        <f t="shared" si="60"/>
        <v/>
      </c>
      <c r="J1341" s="8" t="str">
        <f t="shared" si="61"/>
        <v/>
      </c>
      <c r="K1341" s="24"/>
      <c r="L1341" s="7" t="str">
        <f t="shared" si="62"/>
        <v/>
      </c>
    </row>
    <row r="1342" spans="1:12" x14ac:dyDescent="0.25">
      <c r="A1342" s="23"/>
      <c r="B1342" s="24"/>
      <c r="C1342" s="24"/>
      <c r="D1342" s="24"/>
      <c r="E1342" s="24"/>
      <c r="F1342" s="24"/>
      <c r="G1342" s="25"/>
      <c r="H1342" s="16" t="str">
        <f>IF(C1342="","",IFERROR(INDEX(Settings!$L$4:$L$56,MATCH(C1342,Settings!$K$4:$K$56,0)),"Unknown"))</f>
        <v/>
      </c>
      <c r="I1342" s="8" t="str">
        <f t="shared" si="60"/>
        <v/>
      </c>
      <c r="J1342" s="8" t="str">
        <f t="shared" si="61"/>
        <v/>
      </c>
      <c r="K1342" s="24"/>
      <c r="L1342" s="7" t="str">
        <f t="shared" si="62"/>
        <v/>
      </c>
    </row>
    <row r="1343" spans="1:12" x14ac:dyDescent="0.25">
      <c r="A1343" s="23"/>
      <c r="B1343" s="24"/>
      <c r="C1343" s="24"/>
      <c r="D1343" s="24"/>
      <c r="E1343" s="24"/>
      <c r="F1343" s="24"/>
      <c r="G1343" s="25"/>
      <c r="H1343" s="16" t="str">
        <f>IF(C1343="","",IFERROR(INDEX(Settings!$L$4:$L$56,MATCH(C1343,Settings!$K$4:$K$56,0)),"Unknown"))</f>
        <v/>
      </c>
      <c r="I1343" s="8" t="str">
        <f t="shared" si="60"/>
        <v/>
      </c>
      <c r="J1343" s="8" t="str">
        <f t="shared" si="61"/>
        <v/>
      </c>
      <c r="K1343" s="24"/>
      <c r="L1343" s="7" t="str">
        <f t="shared" si="62"/>
        <v/>
      </c>
    </row>
    <row r="1344" spans="1:12" x14ac:dyDescent="0.25">
      <c r="A1344" s="23"/>
      <c r="B1344" s="24"/>
      <c r="C1344" s="24"/>
      <c r="D1344" s="24"/>
      <c r="E1344" s="24"/>
      <c r="F1344" s="24"/>
      <c r="G1344" s="25"/>
      <c r="H1344" s="16" t="str">
        <f>IF(C1344="","",IFERROR(INDEX(Settings!$L$4:$L$56,MATCH(C1344,Settings!$K$4:$K$56,0)),"Unknown"))</f>
        <v/>
      </c>
      <c r="I1344" s="8" t="str">
        <f t="shared" si="60"/>
        <v/>
      </c>
      <c r="J1344" s="8" t="str">
        <f t="shared" si="61"/>
        <v/>
      </c>
      <c r="K1344" s="24"/>
      <c r="L1344" s="7" t="str">
        <f t="shared" si="62"/>
        <v/>
      </c>
    </row>
    <row r="1345" spans="1:12" x14ac:dyDescent="0.25">
      <c r="A1345" s="23"/>
      <c r="B1345" s="24"/>
      <c r="C1345" s="24"/>
      <c r="D1345" s="24"/>
      <c r="E1345" s="24"/>
      <c r="F1345" s="24"/>
      <c r="G1345" s="25"/>
      <c r="H1345" s="16" t="str">
        <f>IF(C1345="","",IFERROR(INDEX(Settings!$L$4:$L$56,MATCH(C1345,Settings!$K$4:$K$56,0)),"Unknown"))</f>
        <v/>
      </c>
      <c r="I1345" s="8" t="str">
        <f t="shared" si="60"/>
        <v/>
      </c>
      <c r="J1345" s="8" t="str">
        <f t="shared" si="61"/>
        <v/>
      </c>
      <c r="K1345" s="24"/>
      <c r="L1345" s="7" t="str">
        <f t="shared" si="62"/>
        <v/>
      </c>
    </row>
    <row r="1346" spans="1:12" x14ac:dyDescent="0.25">
      <c r="A1346" s="23"/>
      <c r="B1346" s="24"/>
      <c r="C1346" s="24"/>
      <c r="D1346" s="24"/>
      <c r="E1346" s="24"/>
      <c r="F1346" s="24"/>
      <c r="G1346" s="25"/>
      <c r="H1346" s="16" t="str">
        <f>IF(C1346="","",IFERROR(INDEX(Settings!$L$4:$L$56,MATCH(C1346,Settings!$K$4:$K$56,0)),"Unknown"))</f>
        <v/>
      </c>
      <c r="I1346" s="8" t="str">
        <f t="shared" si="60"/>
        <v/>
      </c>
      <c r="J1346" s="8" t="str">
        <f t="shared" si="61"/>
        <v/>
      </c>
      <c r="K1346" s="24"/>
      <c r="L1346" s="7" t="str">
        <f t="shared" si="62"/>
        <v/>
      </c>
    </row>
    <row r="1347" spans="1:12" x14ac:dyDescent="0.25">
      <c r="A1347" s="23"/>
      <c r="B1347" s="24"/>
      <c r="C1347" s="24"/>
      <c r="D1347" s="24"/>
      <c r="E1347" s="24"/>
      <c r="F1347" s="24"/>
      <c r="G1347" s="25"/>
      <c r="H1347" s="16" t="str">
        <f>IF(C1347="","",IFERROR(INDEX(Settings!$L$4:$L$56,MATCH(C1347,Settings!$K$4:$K$56,0)),"Unknown"))</f>
        <v/>
      </c>
      <c r="I1347" s="8" t="str">
        <f t="shared" si="60"/>
        <v/>
      </c>
      <c r="J1347" s="8" t="str">
        <f t="shared" si="61"/>
        <v/>
      </c>
      <c r="K1347" s="24"/>
      <c r="L1347" s="7" t="str">
        <f t="shared" si="62"/>
        <v/>
      </c>
    </row>
    <row r="1348" spans="1:12" x14ac:dyDescent="0.25">
      <c r="A1348" s="23"/>
      <c r="B1348" s="24"/>
      <c r="C1348" s="24"/>
      <c r="D1348" s="24"/>
      <c r="E1348" s="24"/>
      <c r="F1348" s="24"/>
      <c r="G1348" s="25"/>
      <c r="H1348" s="16" t="str">
        <f>IF(C1348="","",IFERROR(INDEX(Settings!$L$4:$L$56,MATCH(C1348,Settings!$K$4:$K$56,0)),"Unknown"))</f>
        <v/>
      </c>
      <c r="I1348" s="8" t="str">
        <f t="shared" si="60"/>
        <v/>
      </c>
      <c r="J1348" s="8" t="str">
        <f t="shared" si="61"/>
        <v/>
      </c>
      <c r="K1348" s="24"/>
      <c r="L1348" s="7" t="str">
        <f t="shared" si="62"/>
        <v/>
      </c>
    </row>
    <row r="1349" spans="1:12" x14ac:dyDescent="0.25">
      <c r="A1349" s="23"/>
      <c r="B1349" s="24"/>
      <c r="C1349" s="24"/>
      <c r="D1349" s="24"/>
      <c r="E1349" s="24"/>
      <c r="F1349" s="24"/>
      <c r="G1349" s="25"/>
      <c r="H1349" s="16" t="str">
        <f>IF(C1349="","",IFERROR(INDEX(Settings!$L$4:$L$56,MATCH(C1349,Settings!$K$4:$K$56,0)),"Unknown"))</f>
        <v/>
      </c>
      <c r="I1349" s="8" t="str">
        <f t="shared" si="60"/>
        <v/>
      </c>
      <c r="J1349" s="8" t="str">
        <f t="shared" si="61"/>
        <v/>
      </c>
      <c r="K1349" s="24"/>
      <c r="L1349" s="7" t="str">
        <f t="shared" si="62"/>
        <v/>
      </c>
    </row>
    <row r="1350" spans="1:12" x14ac:dyDescent="0.25">
      <c r="A1350" s="23"/>
      <c r="B1350" s="24"/>
      <c r="C1350" s="24"/>
      <c r="D1350" s="24"/>
      <c r="E1350" s="24"/>
      <c r="F1350" s="24"/>
      <c r="G1350" s="25"/>
      <c r="H1350" s="16" t="str">
        <f>IF(C1350="","",IFERROR(INDEX(Settings!$L$4:$L$56,MATCH(C1350,Settings!$K$4:$K$56,0)),"Unknown"))</f>
        <v/>
      </c>
      <c r="I1350" s="8" t="str">
        <f t="shared" ref="I1350:I1413" si="63">IF(A1350="","",MONTH(A1350))</f>
        <v/>
      </c>
      <c r="J1350" s="8" t="str">
        <f t="shared" ref="J1350:J1413" si="64">IF(A1350="","",YEAR(A1350))</f>
        <v/>
      </c>
      <c r="K1350" s="24"/>
      <c r="L1350" s="7" t="str">
        <f t="shared" ref="L1350:L1413" si="65">IF(OR(B1350="",C1350=""),"",IF(AND(B1350="Income",H1350&lt;&gt;"Income"),"Category is not an Income category",IF(AND(B1350="Expense",H1350="Income"),"Category is an Income category","OK")))</f>
        <v/>
      </c>
    </row>
    <row r="1351" spans="1:12" x14ac:dyDescent="0.25">
      <c r="A1351" s="23"/>
      <c r="B1351" s="24"/>
      <c r="C1351" s="24"/>
      <c r="D1351" s="24"/>
      <c r="E1351" s="24"/>
      <c r="F1351" s="24"/>
      <c r="G1351" s="25"/>
      <c r="H1351" s="16" t="str">
        <f>IF(C1351="","",IFERROR(INDEX(Settings!$L$4:$L$56,MATCH(C1351,Settings!$K$4:$K$56,0)),"Unknown"))</f>
        <v/>
      </c>
      <c r="I1351" s="8" t="str">
        <f t="shared" si="63"/>
        <v/>
      </c>
      <c r="J1351" s="8" t="str">
        <f t="shared" si="64"/>
        <v/>
      </c>
      <c r="K1351" s="24"/>
      <c r="L1351" s="7" t="str">
        <f t="shared" si="65"/>
        <v/>
      </c>
    </row>
    <row r="1352" spans="1:12" x14ac:dyDescent="0.25">
      <c r="A1352" s="23"/>
      <c r="B1352" s="24"/>
      <c r="C1352" s="24"/>
      <c r="D1352" s="24"/>
      <c r="E1352" s="24"/>
      <c r="F1352" s="24"/>
      <c r="G1352" s="25"/>
      <c r="H1352" s="16" t="str">
        <f>IF(C1352="","",IFERROR(INDEX(Settings!$L$4:$L$56,MATCH(C1352,Settings!$K$4:$K$56,0)),"Unknown"))</f>
        <v/>
      </c>
      <c r="I1352" s="8" t="str">
        <f t="shared" si="63"/>
        <v/>
      </c>
      <c r="J1352" s="8" t="str">
        <f t="shared" si="64"/>
        <v/>
      </c>
      <c r="K1352" s="24"/>
      <c r="L1352" s="7" t="str">
        <f t="shared" si="65"/>
        <v/>
      </c>
    </row>
    <row r="1353" spans="1:12" x14ac:dyDescent="0.25">
      <c r="A1353" s="23"/>
      <c r="B1353" s="24"/>
      <c r="C1353" s="24"/>
      <c r="D1353" s="24"/>
      <c r="E1353" s="24"/>
      <c r="F1353" s="24"/>
      <c r="G1353" s="25"/>
      <c r="H1353" s="16" t="str">
        <f>IF(C1353="","",IFERROR(INDEX(Settings!$L$4:$L$56,MATCH(C1353,Settings!$K$4:$K$56,0)),"Unknown"))</f>
        <v/>
      </c>
      <c r="I1353" s="8" t="str">
        <f t="shared" si="63"/>
        <v/>
      </c>
      <c r="J1353" s="8" t="str">
        <f t="shared" si="64"/>
        <v/>
      </c>
      <c r="K1353" s="24"/>
      <c r="L1353" s="7" t="str">
        <f t="shared" si="65"/>
        <v/>
      </c>
    </row>
    <row r="1354" spans="1:12" x14ac:dyDescent="0.25">
      <c r="A1354" s="23"/>
      <c r="B1354" s="24"/>
      <c r="C1354" s="24"/>
      <c r="D1354" s="24"/>
      <c r="E1354" s="24"/>
      <c r="F1354" s="24"/>
      <c r="G1354" s="25"/>
      <c r="H1354" s="16" t="str">
        <f>IF(C1354="","",IFERROR(INDEX(Settings!$L$4:$L$56,MATCH(C1354,Settings!$K$4:$K$56,0)),"Unknown"))</f>
        <v/>
      </c>
      <c r="I1354" s="8" t="str">
        <f t="shared" si="63"/>
        <v/>
      </c>
      <c r="J1354" s="8" t="str">
        <f t="shared" si="64"/>
        <v/>
      </c>
      <c r="K1354" s="24"/>
      <c r="L1354" s="7" t="str">
        <f t="shared" si="65"/>
        <v/>
      </c>
    </row>
    <row r="1355" spans="1:12" x14ac:dyDescent="0.25">
      <c r="A1355" s="23"/>
      <c r="B1355" s="24"/>
      <c r="C1355" s="24"/>
      <c r="D1355" s="24"/>
      <c r="E1355" s="24"/>
      <c r="F1355" s="24"/>
      <c r="G1355" s="25"/>
      <c r="H1355" s="16" t="str">
        <f>IF(C1355="","",IFERROR(INDEX(Settings!$L$4:$L$56,MATCH(C1355,Settings!$K$4:$K$56,0)),"Unknown"))</f>
        <v/>
      </c>
      <c r="I1355" s="8" t="str">
        <f t="shared" si="63"/>
        <v/>
      </c>
      <c r="J1355" s="8" t="str">
        <f t="shared" si="64"/>
        <v/>
      </c>
      <c r="K1355" s="24"/>
      <c r="L1355" s="7" t="str">
        <f t="shared" si="65"/>
        <v/>
      </c>
    </row>
    <row r="1356" spans="1:12" x14ac:dyDescent="0.25">
      <c r="A1356" s="23"/>
      <c r="B1356" s="24"/>
      <c r="C1356" s="24"/>
      <c r="D1356" s="24"/>
      <c r="E1356" s="24"/>
      <c r="F1356" s="24"/>
      <c r="G1356" s="25"/>
      <c r="H1356" s="16" t="str">
        <f>IF(C1356="","",IFERROR(INDEX(Settings!$L$4:$L$56,MATCH(C1356,Settings!$K$4:$K$56,0)),"Unknown"))</f>
        <v/>
      </c>
      <c r="I1356" s="8" t="str">
        <f t="shared" si="63"/>
        <v/>
      </c>
      <c r="J1356" s="8" t="str">
        <f t="shared" si="64"/>
        <v/>
      </c>
      <c r="K1356" s="24"/>
      <c r="L1356" s="7" t="str">
        <f t="shared" si="65"/>
        <v/>
      </c>
    </row>
    <row r="1357" spans="1:12" x14ac:dyDescent="0.25">
      <c r="A1357" s="23"/>
      <c r="B1357" s="24"/>
      <c r="C1357" s="24"/>
      <c r="D1357" s="24"/>
      <c r="E1357" s="24"/>
      <c r="F1357" s="24"/>
      <c r="G1357" s="25"/>
      <c r="H1357" s="16" t="str">
        <f>IF(C1357="","",IFERROR(INDEX(Settings!$L$4:$L$56,MATCH(C1357,Settings!$K$4:$K$56,0)),"Unknown"))</f>
        <v/>
      </c>
      <c r="I1357" s="8" t="str">
        <f t="shared" si="63"/>
        <v/>
      </c>
      <c r="J1357" s="8" t="str">
        <f t="shared" si="64"/>
        <v/>
      </c>
      <c r="K1357" s="24"/>
      <c r="L1357" s="7" t="str">
        <f t="shared" si="65"/>
        <v/>
      </c>
    </row>
    <row r="1358" spans="1:12" x14ac:dyDescent="0.25">
      <c r="A1358" s="23"/>
      <c r="B1358" s="24"/>
      <c r="C1358" s="24"/>
      <c r="D1358" s="24"/>
      <c r="E1358" s="24"/>
      <c r="F1358" s="24"/>
      <c r="G1358" s="25"/>
      <c r="H1358" s="16" t="str">
        <f>IF(C1358="","",IFERROR(INDEX(Settings!$L$4:$L$56,MATCH(C1358,Settings!$K$4:$K$56,0)),"Unknown"))</f>
        <v/>
      </c>
      <c r="I1358" s="8" t="str">
        <f t="shared" si="63"/>
        <v/>
      </c>
      <c r="J1358" s="8" t="str">
        <f t="shared" si="64"/>
        <v/>
      </c>
      <c r="K1358" s="24"/>
      <c r="L1358" s="7" t="str">
        <f t="shared" si="65"/>
        <v/>
      </c>
    </row>
    <row r="1359" spans="1:12" x14ac:dyDescent="0.25">
      <c r="A1359" s="23"/>
      <c r="B1359" s="24"/>
      <c r="C1359" s="24"/>
      <c r="D1359" s="24"/>
      <c r="E1359" s="24"/>
      <c r="F1359" s="24"/>
      <c r="G1359" s="25"/>
      <c r="H1359" s="16" t="str">
        <f>IF(C1359="","",IFERROR(INDEX(Settings!$L$4:$L$56,MATCH(C1359,Settings!$K$4:$K$56,0)),"Unknown"))</f>
        <v/>
      </c>
      <c r="I1359" s="8" t="str">
        <f t="shared" si="63"/>
        <v/>
      </c>
      <c r="J1359" s="8" t="str">
        <f t="shared" si="64"/>
        <v/>
      </c>
      <c r="K1359" s="24"/>
      <c r="L1359" s="7" t="str">
        <f t="shared" si="65"/>
        <v/>
      </c>
    </row>
    <row r="1360" spans="1:12" x14ac:dyDescent="0.25">
      <c r="A1360" s="23"/>
      <c r="B1360" s="24"/>
      <c r="C1360" s="24"/>
      <c r="D1360" s="24"/>
      <c r="E1360" s="24"/>
      <c r="F1360" s="24"/>
      <c r="G1360" s="25"/>
      <c r="H1360" s="16" t="str">
        <f>IF(C1360="","",IFERROR(INDEX(Settings!$L$4:$L$56,MATCH(C1360,Settings!$K$4:$K$56,0)),"Unknown"))</f>
        <v/>
      </c>
      <c r="I1360" s="8" t="str">
        <f t="shared" si="63"/>
        <v/>
      </c>
      <c r="J1360" s="8" t="str">
        <f t="shared" si="64"/>
        <v/>
      </c>
      <c r="K1360" s="24"/>
      <c r="L1360" s="7" t="str">
        <f t="shared" si="65"/>
        <v/>
      </c>
    </row>
    <row r="1361" spans="1:12" x14ac:dyDescent="0.25">
      <c r="A1361" s="23"/>
      <c r="B1361" s="24"/>
      <c r="C1361" s="24"/>
      <c r="D1361" s="24"/>
      <c r="E1361" s="24"/>
      <c r="F1361" s="24"/>
      <c r="G1361" s="25"/>
      <c r="H1361" s="16" t="str">
        <f>IF(C1361="","",IFERROR(INDEX(Settings!$L$4:$L$56,MATCH(C1361,Settings!$K$4:$K$56,0)),"Unknown"))</f>
        <v/>
      </c>
      <c r="I1361" s="8" t="str">
        <f t="shared" si="63"/>
        <v/>
      </c>
      <c r="J1361" s="8" t="str">
        <f t="shared" si="64"/>
        <v/>
      </c>
      <c r="K1361" s="24"/>
      <c r="L1361" s="7" t="str">
        <f t="shared" si="65"/>
        <v/>
      </c>
    </row>
    <row r="1362" spans="1:12" x14ac:dyDescent="0.25">
      <c r="A1362" s="23"/>
      <c r="B1362" s="24"/>
      <c r="C1362" s="24"/>
      <c r="D1362" s="24"/>
      <c r="E1362" s="24"/>
      <c r="F1362" s="24"/>
      <c r="G1362" s="25"/>
      <c r="H1362" s="16" t="str">
        <f>IF(C1362="","",IFERROR(INDEX(Settings!$L$4:$L$56,MATCH(C1362,Settings!$K$4:$K$56,0)),"Unknown"))</f>
        <v/>
      </c>
      <c r="I1362" s="8" t="str">
        <f t="shared" si="63"/>
        <v/>
      </c>
      <c r="J1362" s="8" t="str">
        <f t="shared" si="64"/>
        <v/>
      </c>
      <c r="K1362" s="24"/>
      <c r="L1362" s="7" t="str">
        <f t="shared" si="65"/>
        <v/>
      </c>
    </row>
    <row r="1363" spans="1:12" x14ac:dyDescent="0.25">
      <c r="A1363" s="23"/>
      <c r="B1363" s="24"/>
      <c r="C1363" s="24"/>
      <c r="D1363" s="24"/>
      <c r="E1363" s="24"/>
      <c r="F1363" s="24"/>
      <c r="G1363" s="25"/>
      <c r="H1363" s="16" t="str">
        <f>IF(C1363="","",IFERROR(INDEX(Settings!$L$4:$L$56,MATCH(C1363,Settings!$K$4:$K$56,0)),"Unknown"))</f>
        <v/>
      </c>
      <c r="I1363" s="8" t="str">
        <f t="shared" si="63"/>
        <v/>
      </c>
      <c r="J1363" s="8" t="str">
        <f t="shared" si="64"/>
        <v/>
      </c>
      <c r="K1363" s="24"/>
      <c r="L1363" s="7" t="str">
        <f t="shared" si="65"/>
        <v/>
      </c>
    </row>
    <row r="1364" spans="1:12" x14ac:dyDescent="0.25">
      <c r="A1364" s="23"/>
      <c r="B1364" s="24"/>
      <c r="C1364" s="24"/>
      <c r="D1364" s="24"/>
      <c r="E1364" s="24"/>
      <c r="F1364" s="24"/>
      <c r="G1364" s="25"/>
      <c r="H1364" s="16" t="str">
        <f>IF(C1364="","",IFERROR(INDEX(Settings!$L$4:$L$56,MATCH(C1364,Settings!$K$4:$K$56,0)),"Unknown"))</f>
        <v/>
      </c>
      <c r="I1364" s="8" t="str">
        <f t="shared" si="63"/>
        <v/>
      </c>
      <c r="J1364" s="8" t="str">
        <f t="shared" si="64"/>
        <v/>
      </c>
      <c r="K1364" s="24"/>
      <c r="L1364" s="7" t="str">
        <f t="shared" si="65"/>
        <v/>
      </c>
    </row>
    <row r="1365" spans="1:12" x14ac:dyDescent="0.25">
      <c r="A1365" s="23"/>
      <c r="B1365" s="24"/>
      <c r="C1365" s="24"/>
      <c r="D1365" s="24"/>
      <c r="E1365" s="24"/>
      <c r="F1365" s="24"/>
      <c r="G1365" s="25"/>
      <c r="H1365" s="16" t="str">
        <f>IF(C1365="","",IFERROR(INDEX(Settings!$L$4:$L$56,MATCH(C1365,Settings!$K$4:$K$56,0)),"Unknown"))</f>
        <v/>
      </c>
      <c r="I1365" s="8" t="str">
        <f t="shared" si="63"/>
        <v/>
      </c>
      <c r="J1365" s="8" t="str">
        <f t="shared" si="64"/>
        <v/>
      </c>
      <c r="K1365" s="24"/>
      <c r="L1365" s="7" t="str">
        <f t="shared" si="65"/>
        <v/>
      </c>
    </row>
    <row r="1366" spans="1:12" x14ac:dyDescent="0.25">
      <c r="A1366" s="23"/>
      <c r="B1366" s="24"/>
      <c r="C1366" s="24"/>
      <c r="D1366" s="24"/>
      <c r="E1366" s="24"/>
      <c r="F1366" s="24"/>
      <c r="G1366" s="25"/>
      <c r="H1366" s="16" t="str">
        <f>IF(C1366="","",IFERROR(INDEX(Settings!$L$4:$L$56,MATCH(C1366,Settings!$K$4:$K$56,0)),"Unknown"))</f>
        <v/>
      </c>
      <c r="I1366" s="8" t="str">
        <f t="shared" si="63"/>
        <v/>
      </c>
      <c r="J1366" s="8" t="str">
        <f t="shared" si="64"/>
        <v/>
      </c>
      <c r="K1366" s="24"/>
      <c r="L1366" s="7" t="str">
        <f t="shared" si="65"/>
        <v/>
      </c>
    </row>
    <row r="1367" spans="1:12" x14ac:dyDescent="0.25">
      <c r="A1367" s="23"/>
      <c r="B1367" s="24"/>
      <c r="C1367" s="24"/>
      <c r="D1367" s="24"/>
      <c r="E1367" s="24"/>
      <c r="F1367" s="24"/>
      <c r="G1367" s="25"/>
      <c r="H1367" s="16" t="str">
        <f>IF(C1367="","",IFERROR(INDEX(Settings!$L$4:$L$56,MATCH(C1367,Settings!$K$4:$K$56,0)),"Unknown"))</f>
        <v/>
      </c>
      <c r="I1367" s="8" t="str">
        <f t="shared" si="63"/>
        <v/>
      </c>
      <c r="J1367" s="8" t="str">
        <f t="shared" si="64"/>
        <v/>
      </c>
      <c r="K1367" s="24"/>
      <c r="L1367" s="7" t="str">
        <f t="shared" si="65"/>
        <v/>
      </c>
    </row>
    <row r="1368" spans="1:12" x14ac:dyDescent="0.25">
      <c r="A1368" s="23"/>
      <c r="B1368" s="24"/>
      <c r="C1368" s="24"/>
      <c r="D1368" s="24"/>
      <c r="E1368" s="24"/>
      <c r="F1368" s="24"/>
      <c r="G1368" s="25"/>
      <c r="H1368" s="16" t="str">
        <f>IF(C1368="","",IFERROR(INDEX(Settings!$L$4:$L$56,MATCH(C1368,Settings!$K$4:$K$56,0)),"Unknown"))</f>
        <v/>
      </c>
      <c r="I1368" s="8" t="str">
        <f t="shared" si="63"/>
        <v/>
      </c>
      <c r="J1368" s="8" t="str">
        <f t="shared" si="64"/>
        <v/>
      </c>
      <c r="K1368" s="24"/>
      <c r="L1368" s="7" t="str">
        <f t="shared" si="65"/>
        <v/>
      </c>
    </row>
    <row r="1369" spans="1:12" x14ac:dyDescent="0.25">
      <c r="A1369" s="23"/>
      <c r="B1369" s="24"/>
      <c r="C1369" s="24"/>
      <c r="D1369" s="24"/>
      <c r="E1369" s="24"/>
      <c r="F1369" s="24"/>
      <c r="G1369" s="25"/>
      <c r="H1369" s="16" t="str">
        <f>IF(C1369="","",IFERROR(INDEX(Settings!$L$4:$L$56,MATCH(C1369,Settings!$K$4:$K$56,0)),"Unknown"))</f>
        <v/>
      </c>
      <c r="I1369" s="8" t="str">
        <f t="shared" si="63"/>
        <v/>
      </c>
      <c r="J1369" s="8" t="str">
        <f t="shared" si="64"/>
        <v/>
      </c>
      <c r="K1369" s="24"/>
      <c r="L1369" s="7" t="str">
        <f t="shared" si="65"/>
        <v/>
      </c>
    </row>
    <row r="1370" spans="1:12" x14ac:dyDescent="0.25">
      <c r="A1370" s="23"/>
      <c r="B1370" s="24"/>
      <c r="C1370" s="24"/>
      <c r="D1370" s="24"/>
      <c r="E1370" s="24"/>
      <c r="F1370" s="24"/>
      <c r="G1370" s="25"/>
      <c r="H1370" s="16" t="str">
        <f>IF(C1370="","",IFERROR(INDEX(Settings!$L$4:$L$56,MATCH(C1370,Settings!$K$4:$K$56,0)),"Unknown"))</f>
        <v/>
      </c>
      <c r="I1370" s="8" t="str">
        <f t="shared" si="63"/>
        <v/>
      </c>
      <c r="J1370" s="8" t="str">
        <f t="shared" si="64"/>
        <v/>
      </c>
      <c r="K1370" s="24"/>
      <c r="L1370" s="7" t="str">
        <f t="shared" si="65"/>
        <v/>
      </c>
    </row>
    <row r="1371" spans="1:12" x14ac:dyDescent="0.25">
      <c r="A1371" s="23"/>
      <c r="B1371" s="24"/>
      <c r="C1371" s="24"/>
      <c r="D1371" s="24"/>
      <c r="E1371" s="24"/>
      <c r="F1371" s="24"/>
      <c r="G1371" s="25"/>
      <c r="H1371" s="16" t="str">
        <f>IF(C1371="","",IFERROR(INDEX(Settings!$L$4:$L$56,MATCH(C1371,Settings!$K$4:$K$56,0)),"Unknown"))</f>
        <v/>
      </c>
      <c r="I1371" s="8" t="str">
        <f t="shared" si="63"/>
        <v/>
      </c>
      <c r="J1371" s="8" t="str">
        <f t="shared" si="64"/>
        <v/>
      </c>
      <c r="K1371" s="24"/>
      <c r="L1371" s="7" t="str">
        <f t="shared" si="65"/>
        <v/>
      </c>
    </row>
    <row r="1372" spans="1:12" x14ac:dyDescent="0.25">
      <c r="A1372" s="23"/>
      <c r="B1372" s="24"/>
      <c r="C1372" s="24"/>
      <c r="D1372" s="24"/>
      <c r="E1372" s="24"/>
      <c r="F1372" s="24"/>
      <c r="G1372" s="25"/>
      <c r="H1372" s="16" t="str">
        <f>IF(C1372="","",IFERROR(INDEX(Settings!$L$4:$L$56,MATCH(C1372,Settings!$K$4:$K$56,0)),"Unknown"))</f>
        <v/>
      </c>
      <c r="I1372" s="8" t="str">
        <f t="shared" si="63"/>
        <v/>
      </c>
      <c r="J1372" s="8" t="str">
        <f t="shared" si="64"/>
        <v/>
      </c>
      <c r="K1372" s="24"/>
      <c r="L1372" s="7" t="str">
        <f t="shared" si="65"/>
        <v/>
      </c>
    </row>
    <row r="1373" spans="1:12" x14ac:dyDescent="0.25">
      <c r="A1373" s="23"/>
      <c r="B1373" s="24"/>
      <c r="C1373" s="24"/>
      <c r="D1373" s="24"/>
      <c r="E1373" s="24"/>
      <c r="F1373" s="24"/>
      <c r="G1373" s="25"/>
      <c r="H1373" s="16" t="str">
        <f>IF(C1373="","",IFERROR(INDEX(Settings!$L$4:$L$56,MATCH(C1373,Settings!$K$4:$K$56,0)),"Unknown"))</f>
        <v/>
      </c>
      <c r="I1373" s="8" t="str">
        <f t="shared" si="63"/>
        <v/>
      </c>
      <c r="J1373" s="8" t="str">
        <f t="shared" si="64"/>
        <v/>
      </c>
      <c r="K1373" s="24"/>
      <c r="L1373" s="7" t="str">
        <f t="shared" si="65"/>
        <v/>
      </c>
    </row>
    <row r="1374" spans="1:12" x14ac:dyDescent="0.25">
      <c r="A1374" s="23"/>
      <c r="B1374" s="24"/>
      <c r="C1374" s="24"/>
      <c r="D1374" s="24"/>
      <c r="E1374" s="24"/>
      <c r="F1374" s="24"/>
      <c r="G1374" s="25"/>
      <c r="H1374" s="16" t="str">
        <f>IF(C1374="","",IFERROR(INDEX(Settings!$L$4:$L$56,MATCH(C1374,Settings!$K$4:$K$56,0)),"Unknown"))</f>
        <v/>
      </c>
      <c r="I1374" s="8" t="str">
        <f t="shared" si="63"/>
        <v/>
      </c>
      <c r="J1374" s="8" t="str">
        <f t="shared" si="64"/>
        <v/>
      </c>
      <c r="K1374" s="24"/>
      <c r="L1374" s="7" t="str">
        <f t="shared" si="65"/>
        <v/>
      </c>
    </row>
    <row r="1375" spans="1:12" x14ac:dyDescent="0.25">
      <c r="A1375" s="23"/>
      <c r="B1375" s="24"/>
      <c r="C1375" s="24"/>
      <c r="D1375" s="24"/>
      <c r="E1375" s="24"/>
      <c r="F1375" s="24"/>
      <c r="G1375" s="25"/>
      <c r="H1375" s="16" t="str">
        <f>IF(C1375="","",IFERROR(INDEX(Settings!$L$4:$L$56,MATCH(C1375,Settings!$K$4:$K$56,0)),"Unknown"))</f>
        <v/>
      </c>
      <c r="I1375" s="8" t="str">
        <f t="shared" si="63"/>
        <v/>
      </c>
      <c r="J1375" s="8" t="str">
        <f t="shared" si="64"/>
        <v/>
      </c>
      <c r="K1375" s="24"/>
      <c r="L1375" s="7" t="str">
        <f t="shared" si="65"/>
        <v/>
      </c>
    </row>
    <row r="1376" spans="1:12" x14ac:dyDescent="0.25">
      <c r="A1376" s="23"/>
      <c r="B1376" s="24"/>
      <c r="C1376" s="24"/>
      <c r="D1376" s="24"/>
      <c r="E1376" s="24"/>
      <c r="F1376" s="24"/>
      <c r="G1376" s="25"/>
      <c r="H1376" s="16" t="str">
        <f>IF(C1376="","",IFERROR(INDEX(Settings!$L$4:$L$56,MATCH(C1376,Settings!$K$4:$K$56,0)),"Unknown"))</f>
        <v/>
      </c>
      <c r="I1376" s="8" t="str">
        <f t="shared" si="63"/>
        <v/>
      </c>
      <c r="J1376" s="8" t="str">
        <f t="shared" si="64"/>
        <v/>
      </c>
      <c r="K1376" s="24"/>
      <c r="L1376" s="7" t="str">
        <f t="shared" si="65"/>
        <v/>
      </c>
    </row>
    <row r="1377" spans="1:12" x14ac:dyDescent="0.25">
      <c r="A1377" s="23"/>
      <c r="B1377" s="24"/>
      <c r="C1377" s="24"/>
      <c r="D1377" s="24"/>
      <c r="E1377" s="24"/>
      <c r="F1377" s="24"/>
      <c r="G1377" s="25"/>
      <c r="H1377" s="16" t="str">
        <f>IF(C1377="","",IFERROR(INDEX(Settings!$L$4:$L$56,MATCH(C1377,Settings!$K$4:$K$56,0)),"Unknown"))</f>
        <v/>
      </c>
      <c r="I1377" s="8" t="str">
        <f t="shared" si="63"/>
        <v/>
      </c>
      <c r="J1377" s="8" t="str">
        <f t="shared" si="64"/>
        <v/>
      </c>
      <c r="K1377" s="24"/>
      <c r="L1377" s="7" t="str">
        <f t="shared" si="65"/>
        <v/>
      </c>
    </row>
    <row r="1378" spans="1:12" x14ac:dyDescent="0.25">
      <c r="A1378" s="23"/>
      <c r="B1378" s="24"/>
      <c r="C1378" s="24"/>
      <c r="D1378" s="24"/>
      <c r="E1378" s="24"/>
      <c r="F1378" s="24"/>
      <c r="G1378" s="25"/>
      <c r="H1378" s="16" t="str">
        <f>IF(C1378="","",IFERROR(INDEX(Settings!$L$4:$L$56,MATCH(C1378,Settings!$K$4:$K$56,0)),"Unknown"))</f>
        <v/>
      </c>
      <c r="I1378" s="8" t="str">
        <f t="shared" si="63"/>
        <v/>
      </c>
      <c r="J1378" s="8" t="str">
        <f t="shared" si="64"/>
        <v/>
      </c>
      <c r="K1378" s="24"/>
      <c r="L1378" s="7" t="str">
        <f t="shared" si="65"/>
        <v/>
      </c>
    </row>
    <row r="1379" spans="1:12" x14ac:dyDescent="0.25">
      <c r="A1379" s="23"/>
      <c r="B1379" s="24"/>
      <c r="C1379" s="24"/>
      <c r="D1379" s="24"/>
      <c r="E1379" s="24"/>
      <c r="F1379" s="24"/>
      <c r="G1379" s="25"/>
      <c r="H1379" s="16" t="str">
        <f>IF(C1379="","",IFERROR(INDEX(Settings!$L$4:$L$56,MATCH(C1379,Settings!$K$4:$K$56,0)),"Unknown"))</f>
        <v/>
      </c>
      <c r="I1379" s="8" t="str">
        <f t="shared" si="63"/>
        <v/>
      </c>
      <c r="J1379" s="8" t="str">
        <f t="shared" si="64"/>
        <v/>
      </c>
      <c r="K1379" s="24"/>
      <c r="L1379" s="7" t="str">
        <f t="shared" si="65"/>
        <v/>
      </c>
    </row>
    <row r="1380" spans="1:12" x14ac:dyDescent="0.25">
      <c r="A1380" s="23"/>
      <c r="B1380" s="24"/>
      <c r="C1380" s="24"/>
      <c r="D1380" s="24"/>
      <c r="E1380" s="24"/>
      <c r="F1380" s="24"/>
      <c r="G1380" s="25"/>
      <c r="H1380" s="16" t="str">
        <f>IF(C1380="","",IFERROR(INDEX(Settings!$L$4:$L$56,MATCH(C1380,Settings!$K$4:$K$56,0)),"Unknown"))</f>
        <v/>
      </c>
      <c r="I1380" s="8" t="str">
        <f t="shared" si="63"/>
        <v/>
      </c>
      <c r="J1380" s="8" t="str">
        <f t="shared" si="64"/>
        <v/>
      </c>
      <c r="K1380" s="24"/>
      <c r="L1380" s="7" t="str">
        <f t="shared" si="65"/>
        <v/>
      </c>
    </row>
    <row r="1381" spans="1:12" x14ac:dyDescent="0.25">
      <c r="A1381" s="23"/>
      <c r="B1381" s="24"/>
      <c r="C1381" s="24"/>
      <c r="D1381" s="24"/>
      <c r="E1381" s="24"/>
      <c r="F1381" s="24"/>
      <c r="G1381" s="25"/>
      <c r="H1381" s="16" t="str">
        <f>IF(C1381="","",IFERROR(INDEX(Settings!$L$4:$L$56,MATCH(C1381,Settings!$K$4:$K$56,0)),"Unknown"))</f>
        <v/>
      </c>
      <c r="I1381" s="8" t="str">
        <f t="shared" si="63"/>
        <v/>
      </c>
      <c r="J1381" s="8" t="str">
        <f t="shared" si="64"/>
        <v/>
      </c>
      <c r="K1381" s="24"/>
      <c r="L1381" s="7" t="str">
        <f t="shared" si="65"/>
        <v/>
      </c>
    </row>
    <row r="1382" spans="1:12" x14ac:dyDescent="0.25">
      <c r="A1382" s="23"/>
      <c r="B1382" s="24"/>
      <c r="C1382" s="24"/>
      <c r="D1382" s="24"/>
      <c r="E1382" s="24"/>
      <c r="F1382" s="24"/>
      <c r="G1382" s="25"/>
      <c r="H1382" s="16" t="str">
        <f>IF(C1382="","",IFERROR(INDEX(Settings!$L$4:$L$56,MATCH(C1382,Settings!$K$4:$K$56,0)),"Unknown"))</f>
        <v/>
      </c>
      <c r="I1382" s="8" t="str">
        <f t="shared" si="63"/>
        <v/>
      </c>
      <c r="J1382" s="8" t="str">
        <f t="shared" si="64"/>
        <v/>
      </c>
      <c r="K1382" s="24"/>
      <c r="L1382" s="7" t="str">
        <f t="shared" si="65"/>
        <v/>
      </c>
    </row>
    <row r="1383" spans="1:12" x14ac:dyDescent="0.25">
      <c r="A1383" s="23"/>
      <c r="B1383" s="24"/>
      <c r="C1383" s="24"/>
      <c r="D1383" s="24"/>
      <c r="E1383" s="24"/>
      <c r="F1383" s="24"/>
      <c r="G1383" s="25"/>
      <c r="H1383" s="16" t="str">
        <f>IF(C1383="","",IFERROR(INDEX(Settings!$L$4:$L$56,MATCH(C1383,Settings!$K$4:$K$56,0)),"Unknown"))</f>
        <v/>
      </c>
      <c r="I1383" s="8" t="str">
        <f t="shared" si="63"/>
        <v/>
      </c>
      <c r="J1383" s="8" t="str">
        <f t="shared" si="64"/>
        <v/>
      </c>
      <c r="K1383" s="24"/>
      <c r="L1383" s="7" t="str">
        <f t="shared" si="65"/>
        <v/>
      </c>
    </row>
    <row r="1384" spans="1:12" x14ac:dyDescent="0.25">
      <c r="A1384" s="23"/>
      <c r="B1384" s="24"/>
      <c r="C1384" s="24"/>
      <c r="D1384" s="24"/>
      <c r="E1384" s="24"/>
      <c r="F1384" s="24"/>
      <c r="G1384" s="25"/>
      <c r="H1384" s="16" t="str">
        <f>IF(C1384="","",IFERROR(INDEX(Settings!$L$4:$L$56,MATCH(C1384,Settings!$K$4:$K$56,0)),"Unknown"))</f>
        <v/>
      </c>
      <c r="I1384" s="8" t="str">
        <f t="shared" si="63"/>
        <v/>
      </c>
      <c r="J1384" s="8" t="str">
        <f t="shared" si="64"/>
        <v/>
      </c>
      <c r="K1384" s="24"/>
      <c r="L1384" s="7" t="str">
        <f t="shared" si="65"/>
        <v/>
      </c>
    </row>
    <row r="1385" spans="1:12" x14ac:dyDescent="0.25">
      <c r="A1385" s="23"/>
      <c r="B1385" s="24"/>
      <c r="C1385" s="24"/>
      <c r="D1385" s="24"/>
      <c r="E1385" s="24"/>
      <c r="F1385" s="24"/>
      <c r="G1385" s="25"/>
      <c r="H1385" s="16" t="str">
        <f>IF(C1385="","",IFERROR(INDEX(Settings!$L$4:$L$56,MATCH(C1385,Settings!$K$4:$K$56,0)),"Unknown"))</f>
        <v/>
      </c>
      <c r="I1385" s="8" t="str">
        <f t="shared" si="63"/>
        <v/>
      </c>
      <c r="J1385" s="8" t="str">
        <f t="shared" si="64"/>
        <v/>
      </c>
      <c r="K1385" s="24"/>
      <c r="L1385" s="7" t="str">
        <f t="shared" si="65"/>
        <v/>
      </c>
    </row>
    <row r="1386" spans="1:12" x14ac:dyDescent="0.25">
      <c r="A1386" s="23"/>
      <c r="B1386" s="24"/>
      <c r="C1386" s="24"/>
      <c r="D1386" s="24"/>
      <c r="E1386" s="24"/>
      <c r="F1386" s="24"/>
      <c r="G1386" s="25"/>
      <c r="H1386" s="16" t="str">
        <f>IF(C1386="","",IFERROR(INDEX(Settings!$L$4:$L$56,MATCH(C1386,Settings!$K$4:$K$56,0)),"Unknown"))</f>
        <v/>
      </c>
      <c r="I1386" s="8" t="str">
        <f t="shared" si="63"/>
        <v/>
      </c>
      <c r="J1386" s="8" t="str">
        <f t="shared" si="64"/>
        <v/>
      </c>
      <c r="K1386" s="24"/>
      <c r="L1386" s="7" t="str">
        <f t="shared" si="65"/>
        <v/>
      </c>
    </row>
    <row r="1387" spans="1:12" x14ac:dyDescent="0.25">
      <c r="A1387" s="23"/>
      <c r="B1387" s="24"/>
      <c r="C1387" s="24"/>
      <c r="D1387" s="24"/>
      <c r="E1387" s="24"/>
      <c r="F1387" s="24"/>
      <c r="G1387" s="25"/>
      <c r="H1387" s="16" t="str">
        <f>IF(C1387="","",IFERROR(INDEX(Settings!$L$4:$L$56,MATCH(C1387,Settings!$K$4:$K$56,0)),"Unknown"))</f>
        <v/>
      </c>
      <c r="I1387" s="8" t="str">
        <f t="shared" si="63"/>
        <v/>
      </c>
      <c r="J1387" s="8" t="str">
        <f t="shared" si="64"/>
        <v/>
      </c>
      <c r="K1387" s="24"/>
      <c r="L1387" s="7" t="str">
        <f t="shared" si="65"/>
        <v/>
      </c>
    </row>
    <row r="1388" spans="1:12" x14ac:dyDescent="0.25">
      <c r="A1388" s="23"/>
      <c r="B1388" s="24"/>
      <c r="C1388" s="24"/>
      <c r="D1388" s="24"/>
      <c r="E1388" s="24"/>
      <c r="F1388" s="24"/>
      <c r="G1388" s="25"/>
      <c r="H1388" s="16" t="str">
        <f>IF(C1388="","",IFERROR(INDEX(Settings!$L$4:$L$56,MATCH(C1388,Settings!$K$4:$K$56,0)),"Unknown"))</f>
        <v/>
      </c>
      <c r="I1388" s="8" t="str">
        <f t="shared" si="63"/>
        <v/>
      </c>
      <c r="J1388" s="8" t="str">
        <f t="shared" si="64"/>
        <v/>
      </c>
      <c r="K1388" s="24"/>
      <c r="L1388" s="7" t="str">
        <f t="shared" si="65"/>
        <v/>
      </c>
    </row>
    <row r="1389" spans="1:12" x14ac:dyDescent="0.25">
      <c r="A1389" s="23"/>
      <c r="B1389" s="24"/>
      <c r="C1389" s="24"/>
      <c r="D1389" s="24"/>
      <c r="E1389" s="24"/>
      <c r="F1389" s="24"/>
      <c r="G1389" s="25"/>
      <c r="H1389" s="16" t="str">
        <f>IF(C1389="","",IFERROR(INDEX(Settings!$L$4:$L$56,MATCH(C1389,Settings!$K$4:$K$56,0)),"Unknown"))</f>
        <v/>
      </c>
      <c r="I1389" s="8" t="str">
        <f t="shared" si="63"/>
        <v/>
      </c>
      <c r="J1389" s="8" t="str">
        <f t="shared" si="64"/>
        <v/>
      </c>
      <c r="K1389" s="24"/>
      <c r="L1389" s="7" t="str">
        <f t="shared" si="65"/>
        <v/>
      </c>
    </row>
    <row r="1390" spans="1:12" x14ac:dyDescent="0.25">
      <c r="A1390" s="23"/>
      <c r="B1390" s="24"/>
      <c r="C1390" s="24"/>
      <c r="D1390" s="24"/>
      <c r="E1390" s="24"/>
      <c r="F1390" s="24"/>
      <c r="G1390" s="25"/>
      <c r="H1390" s="16" t="str">
        <f>IF(C1390="","",IFERROR(INDEX(Settings!$L$4:$L$56,MATCH(C1390,Settings!$K$4:$K$56,0)),"Unknown"))</f>
        <v/>
      </c>
      <c r="I1390" s="8" t="str">
        <f t="shared" si="63"/>
        <v/>
      </c>
      <c r="J1390" s="8" t="str">
        <f t="shared" si="64"/>
        <v/>
      </c>
      <c r="K1390" s="24"/>
      <c r="L1390" s="7" t="str">
        <f t="shared" si="65"/>
        <v/>
      </c>
    </row>
    <row r="1391" spans="1:12" x14ac:dyDescent="0.25">
      <c r="A1391" s="23"/>
      <c r="B1391" s="24"/>
      <c r="C1391" s="24"/>
      <c r="D1391" s="24"/>
      <c r="E1391" s="24"/>
      <c r="F1391" s="24"/>
      <c r="G1391" s="25"/>
      <c r="H1391" s="16" t="str">
        <f>IF(C1391="","",IFERROR(INDEX(Settings!$L$4:$L$56,MATCH(C1391,Settings!$K$4:$K$56,0)),"Unknown"))</f>
        <v/>
      </c>
      <c r="I1391" s="8" t="str">
        <f t="shared" si="63"/>
        <v/>
      </c>
      <c r="J1391" s="8" t="str">
        <f t="shared" si="64"/>
        <v/>
      </c>
      <c r="K1391" s="24"/>
      <c r="L1391" s="7" t="str">
        <f t="shared" si="65"/>
        <v/>
      </c>
    </row>
    <row r="1392" spans="1:12" x14ac:dyDescent="0.25">
      <c r="A1392" s="23"/>
      <c r="B1392" s="24"/>
      <c r="C1392" s="24"/>
      <c r="D1392" s="24"/>
      <c r="E1392" s="24"/>
      <c r="F1392" s="24"/>
      <c r="G1392" s="25"/>
      <c r="H1392" s="16" t="str">
        <f>IF(C1392="","",IFERROR(INDEX(Settings!$L$4:$L$56,MATCH(C1392,Settings!$K$4:$K$56,0)),"Unknown"))</f>
        <v/>
      </c>
      <c r="I1392" s="8" t="str">
        <f t="shared" si="63"/>
        <v/>
      </c>
      <c r="J1392" s="8" t="str">
        <f t="shared" si="64"/>
        <v/>
      </c>
      <c r="K1392" s="24"/>
      <c r="L1392" s="7" t="str">
        <f t="shared" si="65"/>
        <v/>
      </c>
    </row>
    <row r="1393" spans="1:12" x14ac:dyDescent="0.25">
      <c r="A1393" s="23"/>
      <c r="B1393" s="24"/>
      <c r="C1393" s="24"/>
      <c r="D1393" s="24"/>
      <c r="E1393" s="24"/>
      <c r="F1393" s="24"/>
      <c r="G1393" s="25"/>
      <c r="H1393" s="16" t="str">
        <f>IF(C1393="","",IFERROR(INDEX(Settings!$L$4:$L$56,MATCH(C1393,Settings!$K$4:$K$56,0)),"Unknown"))</f>
        <v/>
      </c>
      <c r="I1393" s="8" t="str">
        <f t="shared" si="63"/>
        <v/>
      </c>
      <c r="J1393" s="8" t="str">
        <f t="shared" si="64"/>
        <v/>
      </c>
      <c r="K1393" s="24"/>
      <c r="L1393" s="7" t="str">
        <f t="shared" si="65"/>
        <v/>
      </c>
    </row>
    <row r="1394" spans="1:12" x14ac:dyDescent="0.25">
      <c r="A1394" s="23"/>
      <c r="B1394" s="24"/>
      <c r="C1394" s="24"/>
      <c r="D1394" s="24"/>
      <c r="E1394" s="24"/>
      <c r="F1394" s="24"/>
      <c r="G1394" s="25"/>
      <c r="H1394" s="16" t="str">
        <f>IF(C1394="","",IFERROR(INDEX(Settings!$L$4:$L$56,MATCH(C1394,Settings!$K$4:$K$56,0)),"Unknown"))</f>
        <v/>
      </c>
      <c r="I1394" s="8" t="str">
        <f t="shared" si="63"/>
        <v/>
      </c>
      <c r="J1394" s="8" t="str">
        <f t="shared" si="64"/>
        <v/>
      </c>
      <c r="K1394" s="24"/>
      <c r="L1394" s="7" t="str">
        <f t="shared" si="65"/>
        <v/>
      </c>
    </row>
    <row r="1395" spans="1:12" x14ac:dyDescent="0.25">
      <c r="A1395" s="23"/>
      <c r="B1395" s="24"/>
      <c r="C1395" s="24"/>
      <c r="D1395" s="24"/>
      <c r="E1395" s="24"/>
      <c r="F1395" s="24"/>
      <c r="G1395" s="25"/>
      <c r="H1395" s="16" t="str">
        <f>IF(C1395="","",IFERROR(INDEX(Settings!$L$4:$L$56,MATCH(C1395,Settings!$K$4:$K$56,0)),"Unknown"))</f>
        <v/>
      </c>
      <c r="I1395" s="8" t="str">
        <f t="shared" si="63"/>
        <v/>
      </c>
      <c r="J1395" s="8" t="str">
        <f t="shared" si="64"/>
        <v/>
      </c>
      <c r="K1395" s="24"/>
      <c r="L1395" s="7" t="str">
        <f t="shared" si="65"/>
        <v/>
      </c>
    </row>
    <row r="1396" spans="1:12" x14ac:dyDescent="0.25">
      <c r="A1396" s="23"/>
      <c r="B1396" s="24"/>
      <c r="C1396" s="24"/>
      <c r="D1396" s="24"/>
      <c r="E1396" s="24"/>
      <c r="F1396" s="24"/>
      <c r="G1396" s="25"/>
      <c r="H1396" s="16" t="str">
        <f>IF(C1396="","",IFERROR(INDEX(Settings!$L$4:$L$56,MATCH(C1396,Settings!$K$4:$K$56,0)),"Unknown"))</f>
        <v/>
      </c>
      <c r="I1396" s="8" t="str">
        <f t="shared" si="63"/>
        <v/>
      </c>
      <c r="J1396" s="8" t="str">
        <f t="shared" si="64"/>
        <v/>
      </c>
      <c r="K1396" s="24"/>
      <c r="L1396" s="7" t="str">
        <f t="shared" si="65"/>
        <v/>
      </c>
    </row>
    <row r="1397" spans="1:12" x14ac:dyDescent="0.25">
      <c r="A1397" s="23"/>
      <c r="B1397" s="24"/>
      <c r="C1397" s="24"/>
      <c r="D1397" s="24"/>
      <c r="E1397" s="24"/>
      <c r="F1397" s="24"/>
      <c r="G1397" s="25"/>
      <c r="H1397" s="16" t="str">
        <f>IF(C1397="","",IFERROR(INDEX(Settings!$L$4:$L$56,MATCH(C1397,Settings!$K$4:$K$56,0)),"Unknown"))</f>
        <v/>
      </c>
      <c r="I1397" s="8" t="str">
        <f t="shared" si="63"/>
        <v/>
      </c>
      <c r="J1397" s="8" t="str">
        <f t="shared" si="64"/>
        <v/>
      </c>
      <c r="K1397" s="24"/>
      <c r="L1397" s="7" t="str">
        <f t="shared" si="65"/>
        <v/>
      </c>
    </row>
    <row r="1398" spans="1:12" x14ac:dyDescent="0.25">
      <c r="A1398" s="23"/>
      <c r="B1398" s="24"/>
      <c r="C1398" s="24"/>
      <c r="D1398" s="24"/>
      <c r="E1398" s="24"/>
      <c r="F1398" s="24"/>
      <c r="G1398" s="25"/>
      <c r="H1398" s="16" t="str">
        <f>IF(C1398="","",IFERROR(INDEX(Settings!$L$4:$L$56,MATCH(C1398,Settings!$K$4:$K$56,0)),"Unknown"))</f>
        <v/>
      </c>
      <c r="I1398" s="8" t="str">
        <f t="shared" si="63"/>
        <v/>
      </c>
      <c r="J1398" s="8" t="str">
        <f t="shared" si="64"/>
        <v/>
      </c>
      <c r="K1398" s="24"/>
      <c r="L1398" s="7" t="str">
        <f t="shared" si="65"/>
        <v/>
      </c>
    </row>
    <row r="1399" spans="1:12" x14ac:dyDescent="0.25">
      <c r="A1399" s="23"/>
      <c r="B1399" s="24"/>
      <c r="C1399" s="24"/>
      <c r="D1399" s="24"/>
      <c r="E1399" s="24"/>
      <c r="F1399" s="24"/>
      <c r="G1399" s="25"/>
      <c r="H1399" s="16" t="str">
        <f>IF(C1399="","",IFERROR(INDEX(Settings!$L$4:$L$56,MATCH(C1399,Settings!$K$4:$K$56,0)),"Unknown"))</f>
        <v/>
      </c>
      <c r="I1399" s="8" t="str">
        <f t="shared" si="63"/>
        <v/>
      </c>
      <c r="J1399" s="8" t="str">
        <f t="shared" si="64"/>
        <v/>
      </c>
      <c r="K1399" s="24"/>
      <c r="L1399" s="7" t="str">
        <f t="shared" si="65"/>
        <v/>
      </c>
    </row>
    <row r="1400" spans="1:12" x14ac:dyDescent="0.25">
      <c r="A1400" s="23"/>
      <c r="B1400" s="24"/>
      <c r="C1400" s="24"/>
      <c r="D1400" s="24"/>
      <c r="E1400" s="24"/>
      <c r="F1400" s="24"/>
      <c r="G1400" s="25"/>
      <c r="H1400" s="16" t="str">
        <f>IF(C1400="","",IFERROR(INDEX(Settings!$L$4:$L$56,MATCH(C1400,Settings!$K$4:$K$56,0)),"Unknown"))</f>
        <v/>
      </c>
      <c r="I1400" s="8" t="str">
        <f t="shared" si="63"/>
        <v/>
      </c>
      <c r="J1400" s="8" t="str">
        <f t="shared" si="64"/>
        <v/>
      </c>
      <c r="K1400" s="24"/>
      <c r="L1400" s="7" t="str">
        <f t="shared" si="65"/>
        <v/>
      </c>
    </row>
    <row r="1401" spans="1:12" x14ac:dyDescent="0.25">
      <c r="A1401" s="23"/>
      <c r="B1401" s="24"/>
      <c r="C1401" s="24"/>
      <c r="D1401" s="24"/>
      <c r="E1401" s="24"/>
      <c r="F1401" s="24"/>
      <c r="G1401" s="25"/>
      <c r="H1401" s="16" t="str">
        <f>IF(C1401="","",IFERROR(INDEX(Settings!$L$4:$L$56,MATCH(C1401,Settings!$K$4:$K$56,0)),"Unknown"))</f>
        <v/>
      </c>
      <c r="I1401" s="8" t="str">
        <f t="shared" si="63"/>
        <v/>
      </c>
      <c r="J1401" s="8" t="str">
        <f t="shared" si="64"/>
        <v/>
      </c>
      <c r="K1401" s="24"/>
      <c r="L1401" s="7" t="str">
        <f t="shared" si="65"/>
        <v/>
      </c>
    </row>
    <row r="1402" spans="1:12" x14ac:dyDescent="0.25">
      <c r="A1402" s="23"/>
      <c r="B1402" s="24"/>
      <c r="C1402" s="24"/>
      <c r="D1402" s="24"/>
      <c r="E1402" s="24"/>
      <c r="F1402" s="24"/>
      <c r="G1402" s="25"/>
      <c r="H1402" s="16" t="str">
        <f>IF(C1402="","",IFERROR(INDEX(Settings!$L$4:$L$56,MATCH(C1402,Settings!$K$4:$K$56,0)),"Unknown"))</f>
        <v/>
      </c>
      <c r="I1402" s="8" t="str">
        <f t="shared" si="63"/>
        <v/>
      </c>
      <c r="J1402" s="8" t="str">
        <f t="shared" si="64"/>
        <v/>
      </c>
      <c r="K1402" s="24"/>
      <c r="L1402" s="7" t="str">
        <f t="shared" si="65"/>
        <v/>
      </c>
    </row>
    <row r="1403" spans="1:12" x14ac:dyDescent="0.25">
      <c r="A1403" s="23"/>
      <c r="B1403" s="24"/>
      <c r="C1403" s="24"/>
      <c r="D1403" s="24"/>
      <c r="E1403" s="24"/>
      <c r="F1403" s="24"/>
      <c r="G1403" s="25"/>
      <c r="H1403" s="16" t="str">
        <f>IF(C1403="","",IFERROR(INDEX(Settings!$L$4:$L$56,MATCH(C1403,Settings!$K$4:$K$56,0)),"Unknown"))</f>
        <v/>
      </c>
      <c r="I1403" s="8" t="str">
        <f t="shared" si="63"/>
        <v/>
      </c>
      <c r="J1403" s="8" t="str">
        <f t="shared" si="64"/>
        <v/>
      </c>
      <c r="K1403" s="24"/>
      <c r="L1403" s="7" t="str">
        <f t="shared" si="65"/>
        <v/>
      </c>
    </row>
    <row r="1404" spans="1:12" x14ac:dyDescent="0.25">
      <c r="A1404" s="23"/>
      <c r="B1404" s="24"/>
      <c r="C1404" s="24"/>
      <c r="D1404" s="24"/>
      <c r="E1404" s="24"/>
      <c r="F1404" s="24"/>
      <c r="G1404" s="25"/>
      <c r="H1404" s="16" t="str">
        <f>IF(C1404="","",IFERROR(INDEX(Settings!$L$4:$L$56,MATCH(C1404,Settings!$K$4:$K$56,0)),"Unknown"))</f>
        <v/>
      </c>
      <c r="I1404" s="8" t="str">
        <f t="shared" si="63"/>
        <v/>
      </c>
      <c r="J1404" s="8" t="str">
        <f t="shared" si="64"/>
        <v/>
      </c>
      <c r="K1404" s="24"/>
      <c r="L1404" s="7" t="str">
        <f t="shared" si="65"/>
        <v/>
      </c>
    </row>
    <row r="1405" spans="1:12" x14ac:dyDescent="0.25">
      <c r="A1405" s="23"/>
      <c r="B1405" s="24"/>
      <c r="C1405" s="24"/>
      <c r="D1405" s="24"/>
      <c r="E1405" s="24"/>
      <c r="F1405" s="24"/>
      <c r="G1405" s="25"/>
      <c r="H1405" s="16" t="str">
        <f>IF(C1405="","",IFERROR(INDEX(Settings!$L$4:$L$56,MATCH(C1405,Settings!$K$4:$K$56,0)),"Unknown"))</f>
        <v/>
      </c>
      <c r="I1405" s="8" t="str">
        <f t="shared" si="63"/>
        <v/>
      </c>
      <c r="J1405" s="8" t="str">
        <f t="shared" si="64"/>
        <v/>
      </c>
      <c r="K1405" s="24"/>
      <c r="L1405" s="7" t="str">
        <f t="shared" si="65"/>
        <v/>
      </c>
    </row>
    <row r="1406" spans="1:12" x14ac:dyDescent="0.25">
      <c r="A1406" s="23"/>
      <c r="B1406" s="24"/>
      <c r="C1406" s="24"/>
      <c r="D1406" s="24"/>
      <c r="E1406" s="24"/>
      <c r="F1406" s="24"/>
      <c r="G1406" s="25"/>
      <c r="H1406" s="16" t="str">
        <f>IF(C1406="","",IFERROR(INDEX(Settings!$L$4:$L$56,MATCH(C1406,Settings!$K$4:$K$56,0)),"Unknown"))</f>
        <v/>
      </c>
      <c r="I1406" s="8" t="str">
        <f t="shared" si="63"/>
        <v/>
      </c>
      <c r="J1406" s="8" t="str">
        <f t="shared" si="64"/>
        <v/>
      </c>
      <c r="K1406" s="24"/>
      <c r="L1406" s="7" t="str">
        <f t="shared" si="65"/>
        <v/>
      </c>
    </row>
    <row r="1407" spans="1:12" x14ac:dyDescent="0.25">
      <c r="A1407" s="23"/>
      <c r="B1407" s="24"/>
      <c r="C1407" s="24"/>
      <c r="D1407" s="24"/>
      <c r="E1407" s="24"/>
      <c r="F1407" s="24"/>
      <c r="G1407" s="25"/>
      <c r="H1407" s="16" t="str">
        <f>IF(C1407="","",IFERROR(INDEX(Settings!$L$4:$L$56,MATCH(C1407,Settings!$K$4:$K$56,0)),"Unknown"))</f>
        <v/>
      </c>
      <c r="I1407" s="8" t="str">
        <f t="shared" si="63"/>
        <v/>
      </c>
      <c r="J1407" s="8" t="str">
        <f t="shared" si="64"/>
        <v/>
      </c>
      <c r="K1407" s="24"/>
      <c r="L1407" s="7" t="str">
        <f t="shared" si="65"/>
        <v/>
      </c>
    </row>
    <row r="1408" spans="1:12" x14ac:dyDescent="0.25">
      <c r="A1408" s="23"/>
      <c r="B1408" s="24"/>
      <c r="C1408" s="24"/>
      <c r="D1408" s="24"/>
      <c r="E1408" s="24"/>
      <c r="F1408" s="24"/>
      <c r="G1408" s="25"/>
      <c r="H1408" s="16" t="str">
        <f>IF(C1408="","",IFERROR(INDEX(Settings!$L$4:$L$56,MATCH(C1408,Settings!$K$4:$K$56,0)),"Unknown"))</f>
        <v/>
      </c>
      <c r="I1408" s="8" t="str">
        <f t="shared" si="63"/>
        <v/>
      </c>
      <c r="J1408" s="8" t="str">
        <f t="shared" si="64"/>
        <v/>
      </c>
      <c r="K1408" s="24"/>
      <c r="L1408" s="7" t="str">
        <f t="shared" si="65"/>
        <v/>
      </c>
    </row>
    <row r="1409" spans="1:12" x14ac:dyDescent="0.25">
      <c r="A1409" s="23"/>
      <c r="B1409" s="24"/>
      <c r="C1409" s="24"/>
      <c r="D1409" s="24"/>
      <c r="E1409" s="24"/>
      <c r="F1409" s="24"/>
      <c r="G1409" s="25"/>
      <c r="H1409" s="16" t="str">
        <f>IF(C1409="","",IFERROR(INDEX(Settings!$L$4:$L$56,MATCH(C1409,Settings!$K$4:$K$56,0)),"Unknown"))</f>
        <v/>
      </c>
      <c r="I1409" s="8" t="str">
        <f t="shared" si="63"/>
        <v/>
      </c>
      <c r="J1409" s="8" t="str">
        <f t="shared" si="64"/>
        <v/>
      </c>
      <c r="K1409" s="24"/>
      <c r="L1409" s="7" t="str">
        <f t="shared" si="65"/>
        <v/>
      </c>
    </row>
    <row r="1410" spans="1:12" x14ac:dyDescent="0.25">
      <c r="A1410" s="23"/>
      <c r="B1410" s="24"/>
      <c r="C1410" s="24"/>
      <c r="D1410" s="24"/>
      <c r="E1410" s="24"/>
      <c r="F1410" s="24"/>
      <c r="G1410" s="25"/>
      <c r="H1410" s="16" t="str">
        <f>IF(C1410="","",IFERROR(INDEX(Settings!$L$4:$L$56,MATCH(C1410,Settings!$K$4:$K$56,0)),"Unknown"))</f>
        <v/>
      </c>
      <c r="I1410" s="8" t="str">
        <f t="shared" si="63"/>
        <v/>
      </c>
      <c r="J1410" s="8" t="str">
        <f t="shared" si="64"/>
        <v/>
      </c>
      <c r="K1410" s="24"/>
      <c r="L1410" s="7" t="str">
        <f t="shared" si="65"/>
        <v/>
      </c>
    </row>
    <row r="1411" spans="1:12" x14ac:dyDescent="0.25">
      <c r="A1411" s="23"/>
      <c r="B1411" s="24"/>
      <c r="C1411" s="24"/>
      <c r="D1411" s="24"/>
      <c r="E1411" s="24"/>
      <c r="F1411" s="24"/>
      <c r="G1411" s="25"/>
      <c r="H1411" s="16" t="str">
        <f>IF(C1411="","",IFERROR(INDEX(Settings!$L$4:$L$56,MATCH(C1411,Settings!$K$4:$K$56,0)),"Unknown"))</f>
        <v/>
      </c>
      <c r="I1411" s="8" t="str">
        <f t="shared" si="63"/>
        <v/>
      </c>
      <c r="J1411" s="8" t="str">
        <f t="shared" si="64"/>
        <v/>
      </c>
      <c r="K1411" s="24"/>
      <c r="L1411" s="7" t="str">
        <f t="shared" si="65"/>
        <v/>
      </c>
    </row>
    <row r="1412" spans="1:12" x14ac:dyDescent="0.25">
      <c r="A1412" s="23"/>
      <c r="B1412" s="24"/>
      <c r="C1412" s="24"/>
      <c r="D1412" s="24"/>
      <c r="E1412" s="24"/>
      <c r="F1412" s="24"/>
      <c r="G1412" s="25"/>
      <c r="H1412" s="16" t="str">
        <f>IF(C1412="","",IFERROR(INDEX(Settings!$L$4:$L$56,MATCH(C1412,Settings!$K$4:$K$56,0)),"Unknown"))</f>
        <v/>
      </c>
      <c r="I1412" s="8" t="str">
        <f t="shared" si="63"/>
        <v/>
      </c>
      <c r="J1412" s="8" t="str">
        <f t="shared" si="64"/>
        <v/>
      </c>
      <c r="K1412" s="24"/>
      <c r="L1412" s="7" t="str">
        <f t="shared" si="65"/>
        <v/>
      </c>
    </row>
    <row r="1413" spans="1:12" x14ac:dyDescent="0.25">
      <c r="A1413" s="23"/>
      <c r="B1413" s="24"/>
      <c r="C1413" s="24"/>
      <c r="D1413" s="24"/>
      <c r="E1413" s="24"/>
      <c r="F1413" s="24"/>
      <c r="G1413" s="25"/>
      <c r="H1413" s="16" t="str">
        <f>IF(C1413="","",IFERROR(INDEX(Settings!$L$4:$L$56,MATCH(C1413,Settings!$K$4:$K$56,0)),"Unknown"))</f>
        <v/>
      </c>
      <c r="I1413" s="8" t="str">
        <f t="shared" si="63"/>
        <v/>
      </c>
      <c r="J1413" s="8" t="str">
        <f t="shared" si="64"/>
        <v/>
      </c>
      <c r="K1413" s="24"/>
      <c r="L1413" s="7" t="str">
        <f t="shared" si="65"/>
        <v/>
      </c>
    </row>
    <row r="1414" spans="1:12" x14ac:dyDescent="0.25">
      <c r="A1414" s="23"/>
      <c r="B1414" s="24"/>
      <c r="C1414" s="24"/>
      <c r="D1414" s="24"/>
      <c r="E1414" s="24"/>
      <c r="F1414" s="24"/>
      <c r="G1414" s="25"/>
      <c r="H1414" s="16" t="str">
        <f>IF(C1414="","",IFERROR(INDEX(Settings!$L$4:$L$56,MATCH(C1414,Settings!$K$4:$K$56,0)),"Unknown"))</f>
        <v/>
      </c>
      <c r="I1414" s="8" t="str">
        <f t="shared" ref="I1414:I1477" si="66">IF(A1414="","",MONTH(A1414))</f>
        <v/>
      </c>
      <c r="J1414" s="8" t="str">
        <f t="shared" ref="J1414:J1477" si="67">IF(A1414="","",YEAR(A1414))</f>
        <v/>
      </c>
      <c r="K1414" s="24"/>
      <c r="L1414" s="7" t="str">
        <f t="shared" ref="L1414:L1477" si="68">IF(OR(B1414="",C1414=""),"",IF(AND(B1414="Income",H1414&lt;&gt;"Income"),"Category is not an Income category",IF(AND(B1414="Expense",H1414="Income"),"Category is an Income category","OK")))</f>
        <v/>
      </c>
    </row>
    <row r="1415" spans="1:12" x14ac:dyDescent="0.25">
      <c r="A1415" s="23"/>
      <c r="B1415" s="24"/>
      <c r="C1415" s="24"/>
      <c r="D1415" s="24"/>
      <c r="E1415" s="24"/>
      <c r="F1415" s="24"/>
      <c r="G1415" s="25"/>
      <c r="H1415" s="16" t="str">
        <f>IF(C1415="","",IFERROR(INDEX(Settings!$L$4:$L$56,MATCH(C1415,Settings!$K$4:$K$56,0)),"Unknown"))</f>
        <v/>
      </c>
      <c r="I1415" s="8" t="str">
        <f t="shared" si="66"/>
        <v/>
      </c>
      <c r="J1415" s="8" t="str">
        <f t="shared" si="67"/>
        <v/>
      </c>
      <c r="K1415" s="24"/>
      <c r="L1415" s="7" t="str">
        <f t="shared" si="68"/>
        <v/>
      </c>
    </row>
    <row r="1416" spans="1:12" x14ac:dyDescent="0.25">
      <c r="A1416" s="23"/>
      <c r="B1416" s="24"/>
      <c r="C1416" s="24"/>
      <c r="D1416" s="24"/>
      <c r="E1416" s="24"/>
      <c r="F1416" s="24"/>
      <c r="G1416" s="25"/>
      <c r="H1416" s="16" t="str">
        <f>IF(C1416="","",IFERROR(INDEX(Settings!$L$4:$L$56,MATCH(C1416,Settings!$K$4:$K$56,0)),"Unknown"))</f>
        <v/>
      </c>
      <c r="I1416" s="8" t="str">
        <f t="shared" si="66"/>
        <v/>
      </c>
      <c r="J1416" s="8" t="str">
        <f t="shared" si="67"/>
        <v/>
      </c>
      <c r="K1416" s="24"/>
      <c r="L1416" s="7" t="str">
        <f t="shared" si="68"/>
        <v/>
      </c>
    </row>
    <row r="1417" spans="1:12" x14ac:dyDescent="0.25">
      <c r="A1417" s="23"/>
      <c r="B1417" s="24"/>
      <c r="C1417" s="24"/>
      <c r="D1417" s="24"/>
      <c r="E1417" s="24"/>
      <c r="F1417" s="24"/>
      <c r="G1417" s="25"/>
      <c r="H1417" s="16" t="str">
        <f>IF(C1417="","",IFERROR(INDEX(Settings!$L$4:$L$56,MATCH(C1417,Settings!$K$4:$K$56,0)),"Unknown"))</f>
        <v/>
      </c>
      <c r="I1417" s="8" t="str">
        <f t="shared" si="66"/>
        <v/>
      </c>
      <c r="J1417" s="8" t="str">
        <f t="shared" si="67"/>
        <v/>
      </c>
      <c r="K1417" s="24"/>
      <c r="L1417" s="7" t="str">
        <f t="shared" si="68"/>
        <v/>
      </c>
    </row>
    <row r="1418" spans="1:12" x14ac:dyDescent="0.25">
      <c r="A1418" s="23"/>
      <c r="B1418" s="24"/>
      <c r="C1418" s="24"/>
      <c r="D1418" s="24"/>
      <c r="E1418" s="24"/>
      <c r="F1418" s="24"/>
      <c r="G1418" s="25"/>
      <c r="H1418" s="16" t="str">
        <f>IF(C1418="","",IFERROR(INDEX(Settings!$L$4:$L$56,MATCH(C1418,Settings!$K$4:$K$56,0)),"Unknown"))</f>
        <v/>
      </c>
      <c r="I1418" s="8" t="str">
        <f t="shared" si="66"/>
        <v/>
      </c>
      <c r="J1418" s="8" t="str">
        <f t="shared" si="67"/>
        <v/>
      </c>
      <c r="K1418" s="24"/>
      <c r="L1418" s="7" t="str">
        <f t="shared" si="68"/>
        <v/>
      </c>
    </row>
    <row r="1419" spans="1:12" x14ac:dyDescent="0.25">
      <c r="A1419" s="23"/>
      <c r="B1419" s="24"/>
      <c r="C1419" s="24"/>
      <c r="D1419" s="24"/>
      <c r="E1419" s="24"/>
      <c r="F1419" s="24"/>
      <c r="G1419" s="25"/>
      <c r="H1419" s="16" t="str">
        <f>IF(C1419="","",IFERROR(INDEX(Settings!$L$4:$L$56,MATCH(C1419,Settings!$K$4:$K$56,0)),"Unknown"))</f>
        <v/>
      </c>
      <c r="I1419" s="8" t="str">
        <f t="shared" si="66"/>
        <v/>
      </c>
      <c r="J1419" s="8" t="str">
        <f t="shared" si="67"/>
        <v/>
      </c>
      <c r="K1419" s="24"/>
      <c r="L1419" s="7" t="str">
        <f t="shared" si="68"/>
        <v/>
      </c>
    </row>
    <row r="1420" spans="1:12" x14ac:dyDescent="0.25">
      <c r="A1420" s="23"/>
      <c r="B1420" s="24"/>
      <c r="C1420" s="24"/>
      <c r="D1420" s="24"/>
      <c r="E1420" s="24"/>
      <c r="F1420" s="24"/>
      <c r="G1420" s="25"/>
      <c r="H1420" s="16" t="str">
        <f>IF(C1420="","",IFERROR(INDEX(Settings!$L$4:$L$56,MATCH(C1420,Settings!$K$4:$K$56,0)),"Unknown"))</f>
        <v/>
      </c>
      <c r="I1420" s="8" t="str">
        <f t="shared" si="66"/>
        <v/>
      </c>
      <c r="J1420" s="8" t="str">
        <f t="shared" si="67"/>
        <v/>
      </c>
      <c r="K1420" s="24"/>
      <c r="L1420" s="7" t="str">
        <f t="shared" si="68"/>
        <v/>
      </c>
    </row>
    <row r="1421" spans="1:12" x14ac:dyDescent="0.25">
      <c r="A1421" s="23"/>
      <c r="B1421" s="24"/>
      <c r="C1421" s="24"/>
      <c r="D1421" s="24"/>
      <c r="E1421" s="24"/>
      <c r="F1421" s="24"/>
      <c r="G1421" s="25"/>
      <c r="H1421" s="16" t="str">
        <f>IF(C1421="","",IFERROR(INDEX(Settings!$L$4:$L$56,MATCH(C1421,Settings!$K$4:$K$56,0)),"Unknown"))</f>
        <v/>
      </c>
      <c r="I1421" s="8" t="str">
        <f t="shared" si="66"/>
        <v/>
      </c>
      <c r="J1421" s="8" t="str">
        <f t="shared" si="67"/>
        <v/>
      </c>
      <c r="K1421" s="24"/>
      <c r="L1421" s="7" t="str">
        <f t="shared" si="68"/>
        <v/>
      </c>
    </row>
    <row r="1422" spans="1:12" x14ac:dyDescent="0.25">
      <c r="A1422" s="23"/>
      <c r="B1422" s="24"/>
      <c r="C1422" s="24"/>
      <c r="D1422" s="24"/>
      <c r="E1422" s="24"/>
      <c r="F1422" s="24"/>
      <c r="G1422" s="25"/>
      <c r="H1422" s="16" t="str">
        <f>IF(C1422="","",IFERROR(INDEX(Settings!$L$4:$L$56,MATCH(C1422,Settings!$K$4:$K$56,0)),"Unknown"))</f>
        <v/>
      </c>
      <c r="I1422" s="8" t="str">
        <f t="shared" si="66"/>
        <v/>
      </c>
      <c r="J1422" s="8" t="str">
        <f t="shared" si="67"/>
        <v/>
      </c>
      <c r="K1422" s="24"/>
      <c r="L1422" s="7" t="str">
        <f t="shared" si="68"/>
        <v/>
      </c>
    </row>
    <row r="1423" spans="1:12" x14ac:dyDescent="0.25">
      <c r="A1423" s="23"/>
      <c r="B1423" s="24"/>
      <c r="C1423" s="24"/>
      <c r="D1423" s="24"/>
      <c r="E1423" s="24"/>
      <c r="F1423" s="24"/>
      <c r="G1423" s="25"/>
      <c r="H1423" s="16" t="str">
        <f>IF(C1423="","",IFERROR(INDEX(Settings!$L$4:$L$56,MATCH(C1423,Settings!$K$4:$K$56,0)),"Unknown"))</f>
        <v/>
      </c>
      <c r="I1423" s="8" t="str">
        <f t="shared" si="66"/>
        <v/>
      </c>
      <c r="J1423" s="8" t="str">
        <f t="shared" si="67"/>
        <v/>
      </c>
      <c r="K1423" s="24"/>
      <c r="L1423" s="7" t="str">
        <f t="shared" si="68"/>
        <v/>
      </c>
    </row>
    <row r="1424" spans="1:12" x14ac:dyDescent="0.25">
      <c r="A1424" s="23"/>
      <c r="B1424" s="24"/>
      <c r="C1424" s="24"/>
      <c r="D1424" s="24"/>
      <c r="E1424" s="24"/>
      <c r="F1424" s="24"/>
      <c r="G1424" s="25"/>
      <c r="H1424" s="16" t="str">
        <f>IF(C1424="","",IFERROR(INDEX(Settings!$L$4:$L$56,MATCH(C1424,Settings!$K$4:$K$56,0)),"Unknown"))</f>
        <v/>
      </c>
      <c r="I1424" s="8" t="str">
        <f t="shared" si="66"/>
        <v/>
      </c>
      <c r="J1424" s="8" t="str">
        <f t="shared" si="67"/>
        <v/>
      </c>
      <c r="K1424" s="24"/>
      <c r="L1424" s="7" t="str">
        <f t="shared" si="68"/>
        <v/>
      </c>
    </row>
    <row r="1425" spans="1:12" x14ac:dyDescent="0.25">
      <c r="A1425" s="23"/>
      <c r="B1425" s="24"/>
      <c r="C1425" s="24"/>
      <c r="D1425" s="24"/>
      <c r="E1425" s="24"/>
      <c r="F1425" s="24"/>
      <c r="G1425" s="25"/>
      <c r="H1425" s="16" t="str">
        <f>IF(C1425="","",IFERROR(INDEX(Settings!$L$4:$L$56,MATCH(C1425,Settings!$K$4:$K$56,0)),"Unknown"))</f>
        <v/>
      </c>
      <c r="I1425" s="8" t="str">
        <f t="shared" si="66"/>
        <v/>
      </c>
      <c r="J1425" s="8" t="str">
        <f t="shared" si="67"/>
        <v/>
      </c>
      <c r="K1425" s="24"/>
      <c r="L1425" s="7" t="str">
        <f t="shared" si="68"/>
        <v/>
      </c>
    </row>
    <row r="1426" spans="1:12" x14ac:dyDescent="0.25">
      <c r="A1426" s="23"/>
      <c r="B1426" s="24"/>
      <c r="C1426" s="24"/>
      <c r="D1426" s="24"/>
      <c r="E1426" s="24"/>
      <c r="F1426" s="24"/>
      <c r="G1426" s="25"/>
      <c r="H1426" s="16" t="str">
        <f>IF(C1426="","",IFERROR(INDEX(Settings!$L$4:$L$56,MATCH(C1426,Settings!$K$4:$K$56,0)),"Unknown"))</f>
        <v/>
      </c>
      <c r="I1426" s="8" t="str">
        <f t="shared" si="66"/>
        <v/>
      </c>
      <c r="J1426" s="8" t="str">
        <f t="shared" si="67"/>
        <v/>
      </c>
      <c r="K1426" s="24"/>
      <c r="L1426" s="7" t="str">
        <f t="shared" si="68"/>
        <v/>
      </c>
    </row>
    <row r="1427" spans="1:12" x14ac:dyDescent="0.25">
      <c r="A1427" s="23"/>
      <c r="B1427" s="24"/>
      <c r="C1427" s="24"/>
      <c r="D1427" s="24"/>
      <c r="E1427" s="24"/>
      <c r="F1427" s="24"/>
      <c r="G1427" s="25"/>
      <c r="H1427" s="16" t="str">
        <f>IF(C1427="","",IFERROR(INDEX(Settings!$L$4:$L$56,MATCH(C1427,Settings!$K$4:$K$56,0)),"Unknown"))</f>
        <v/>
      </c>
      <c r="I1427" s="8" t="str">
        <f t="shared" si="66"/>
        <v/>
      </c>
      <c r="J1427" s="8" t="str">
        <f t="shared" si="67"/>
        <v/>
      </c>
      <c r="K1427" s="24"/>
      <c r="L1427" s="7" t="str">
        <f t="shared" si="68"/>
        <v/>
      </c>
    </row>
    <row r="1428" spans="1:12" x14ac:dyDescent="0.25">
      <c r="A1428" s="23"/>
      <c r="B1428" s="24"/>
      <c r="C1428" s="24"/>
      <c r="D1428" s="24"/>
      <c r="E1428" s="24"/>
      <c r="F1428" s="24"/>
      <c r="G1428" s="25"/>
      <c r="H1428" s="16" t="str">
        <f>IF(C1428="","",IFERROR(INDEX(Settings!$L$4:$L$56,MATCH(C1428,Settings!$K$4:$K$56,0)),"Unknown"))</f>
        <v/>
      </c>
      <c r="I1428" s="8" t="str">
        <f t="shared" si="66"/>
        <v/>
      </c>
      <c r="J1428" s="8" t="str">
        <f t="shared" si="67"/>
        <v/>
      </c>
      <c r="K1428" s="24"/>
      <c r="L1428" s="7" t="str">
        <f t="shared" si="68"/>
        <v/>
      </c>
    </row>
    <row r="1429" spans="1:12" x14ac:dyDescent="0.25">
      <c r="A1429" s="23"/>
      <c r="B1429" s="24"/>
      <c r="C1429" s="24"/>
      <c r="D1429" s="24"/>
      <c r="E1429" s="24"/>
      <c r="F1429" s="24"/>
      <c r="G1429" s="25"/>
      <c r="H1429" s="16" t="str">
        <f>IF(C1429="","",IFERROR(INDEX(Settings!$L$4:$L$56,MATCH(C1429,Settings!$K$4:$K$56,0)),"Unknown"))</f>
        <v/>
      </c>
      <c r="I1429" s="8" t="str">
        <f t="shared" si="66"/>
        <v/>
      </c>
      <c r="J1429" s="8" t="str">
        <f t="shared" si="67"/>
        <v/>
      </c>
      <c r="K1429" s="24"/>
      <c r="L1429" s="7" t="str">
        <f t="shared" si="68"/>
        <v/>
      </c>
    </row>
    <row r="1430" spans="1:12" x14ac:dyDescent="0.25">
      <c r="A1430" s="23"/>
      <c r="B1430" s="24"/>
      <c r="C1430" s="24"/>
      <c r="D1430" s="24"/>
      <c r="E1430" s="24"/>
      <c r="F1430" s="24"/>
      <c r="G1430" s="25"/>
      <c r="H1430" s="16" t="str">
        <f>IF(C1430="","",IFERROR(INDEX(Settings!$L$4:$L$56,MATCH(C1430,Settings!$K$4:$K$56,0)),"Unknown"))</f>
        <v/>
      </c>
      <c r="I1430" s="8" t="str">
        <f t="shared" si="66"/>
        <v/>
      </c>
      <c r="J1430" s="8" t="str">
        <f t="shared" si="67"/>
        <v/>
      </c>
      <c r="K1430" s="24"/>
      <c r="L1430" s="7" t="str">
        <f t="shared" si="68"/>
        <v/>
      </c>
    </row>
    <row r="1431" spans="1:12" x14ac:dyDescent="0.25">
      <c r="A1431" s="23"/>
      <c r="B1431" s="24"/>
      <c r="C1431" s="24"/>
      <c r="D1431" s="24"/>
      <c r="E1431" s="24"/>
      <c r="F1431" s="24"/>
      <c r="G1431" s="25"/>
      <c r="H1431" s="16" t="str">
        <f>IF(C1431="","",IFERROR(INDEX(Settings!$L$4:$L$56,MATCH(C1431,Settings!$K$4:$K$56,0)),"Unknown"))</f>
        <v/>
      </c>
      <c r="I1431" s="8" t="str">
        <f t="shared" si="66"/>
        <v/>
      </c>
      <c r="J1431" s="8" t="str">
        <f t="shared" si="67"/>
        <v/>
      </c>
      <c r="K1431" s="24"/>
      <c r="L1431" s="7" t="str">
        <f t="shared" si="68"/>
        <v/>
      </c>
    </row>
    <row r="1432" spans="1:12" x14ac:dyDescent="0.25">
      <c r="A1432" s="23"/>
      <c r="B1432" s="24"/>
      <c r="C1432" s="24"/>
      <c r="D1432" s="24"/>
      <c r="E1432" s="24"/>
      <c r="F1432" s="24"/>
      <c r="G1432" s="25"/>
      <c r="H1432" s="16" t="str">
        <f>IF(C1432="","",IFERROR(INDEX(Settings!$L$4:$L$56,MATCH(C1432,Settings!$K$4:$K$56,0)),"Unknown"))</f>
        <v/>
      </c>
      <c r="I1432" s="8" t="str">
        <f t="shared" si="66"/>
        <v/>
      </c>
      <c r="J1432" s="8" t="str">
        <f t="shared" si="67"/>
        <v/>
      </c>
      <c r="K1432" s="24"/>
      <c r="L1432" s="7" t="str">
        <f t="shared" si="68"/>
        <v/>
      </c>
    </row>
    <row r="1433" spans="1:12" x14ac:dyDescent="0.25">
      <c r="A1433" s="23"/>
      <c r="B1433" s="24"/>
      <c r="C1433" s="24"/>
      <c r="D1433" s="24"/>
      <c r="E1433" s="24"/>
      <c r="F1433" s="24"/>
      <c r="G1433" s="25"/>
      <c r="H1433" s="16" t="str">
        <f>IF(C1433="","",IFERROR(INDEX(Settings!$L$4:$L$56,MATCH(C1433,Settings!$K$4:$K$56,0)),"Unknown"))</f>
        <v/>
      </c>
      <c r="I1433" s="8" t="str">
        <f t="shared" si="66"/>
        <v/>
      </c>
      <c r="J1433" s="8" t="str">
        <f t="shared" si="67"/>
        <v/>
      </c>
      <c r="K1433" s="24"/>
      <c r="L1433" s="7" t="str">
        <f t="shared" si="68"/>
        <v/>
      </c>
    </row>
    <row r="1434" spans="1:12" x14ac:dyDescent="0.25">
      <c r="A1434" s="23"/>
      <c r="B1434" s="24"/>
      <c r="C1434" s="24"/>
      <c r="D1434" s="24"/>
      <c r="E1434" s="24"/>
      <c r="F1434" s="24"/>
      <c r="G1434" s="25"/>
      <c r="H1434" s="16" t="str">
        <f>IF(C1434="","",IFERROR(INDEX(Settings!$L$4:$L$56,MATCH(C1434,Settings!$K$4:$K$56,0)),"Unknown"))</f>
        <v/>
      </c>
      <c r="I1434" s="8" t="str">
        <f t="shared" si="66"/>
        <v/>
      </c>
      <c r="J1434" s="8" t="str">
        <f t="shared" si="67"/>
        <v/>
      </c>
      <c r="K1434" s="24"/>
      <c r="L1434" s="7" t="str">
        <f t="shared" si="68"/>
        <v/>
      </c>
    </row>
    <row r="1435" spans="1:12" x14ac:dyDescent="0.25">
      <c r="A1435" s="23"/>
      <c r="B1435" s="24"/>
      <c r="C1435" s="24"/>
      <c r="D1435" s="24"/>
      <c r="E1435" s="24"/>
      <c r="F1435" s="24"/>
      <c r="G1435" s="25"/>
      <c r="H1435" s="16" t="str">
        <f>IF(C1435="","",IFERROR(INDEX(Settings!$L$4:$L$56,MATCH(C1435,Settings!$K$4:$K$56,0)),"Unknown"))</f>
        <v/>
      </c>
      <c r="I1435" s="8" t="str">
        <f t="shared" si="66"/>
        <v/>
      </c>
      <c r="J1435" s="8" t="str">
        <f t="shared" si="67"/>
        <v/>
      </c>
      <c r="K1435" s="24"/>
      <c r="L1435" s="7" t="str">
        <f t="shared" si="68"/>
        <v/>
      </c>
    </row>
    <row r="1436" spans="1:12" x14ac:dyDescent="0.25">
      <c r="A1436" s="23"/>
      <c r="B1436" s="24"/>
      <c r="C1436" s="24"/>
      <c r="D1436" s="24"/>
      <c r="E1436" s="24"/>
      <c r="F1436" s="24"/>
      <c r="G1436" s="25"/>
      <c r="H1436" s="16" t="str">
        <f>IF(C1436="","",IFERROR(INDEX(Settings!$L$4:$L$56,MATCH(C1436,Settings!$K$4:$K$56,0)),"Unknown"))</f>
        <v/>
      </c>
      <c r="I1436" s="8" t="str">
        <f t="shared" si="66"/>
        <v/>
      </c>
      <c r="J1436" s="8" t="str">
        <f t="shared" si="67"/>
        <v/>
      </c>
      <c r="K1436" s="24"/>
      <c r="L1436" s="7" t="str">
        <f t="shared" si="68"/>
        <v/>
      </c>
    </row>
    <row r="1437" spans="1:12" x14ac:dyDescent="0.25">
      <c r="A1437" s="23"/>
      <c r="B1437" s="24"/>
      <c r="C1437" s="24"/>
      <c r="D1437" s="24"/>
      <c r="E1437" s="24"/>
      <c r="F1437" s="24"/>
      <c r="G1437" s="25"/>
      <c r="H1437" s="16" t="str">
        <f>IF(C1437="","",IFERROR(INDEX(Settings!$L$4:$L$56,MATCH(C1437,Settings!$K$4:$K$56,0)),"Unknown"))</f>
        <v/>
      </c>
      <c r="I1437" s="8" t="str">
        <f t="shared" si="66"/>
        <v/>
      </c>
      <c r="J1437" s="8" t="str">
        <f t="shared" si="67"/>
        <v/>
      </c>
      <c r="K1437" s="24"/>
      <c r="L1437" s="7" t="str">
        <f t="shared" si="68"/>
        <v/>
      </c>
    </row>
    <row r="1438" spans="1:12" x14ac:dyDescent="0.25">
      <c r="A1438" s="23"/>
      <c r="B1438" s="24"/>
      <c r="C1438" s="24"/>
      <c r="D1438" s="24"/>
      <c r="E1438" s="24"/>
      <c r="F1438" s="24"/>
      <c r="G1438" s="25"/>
      <c r="H1438" s="16" t="str">
        <f>IF(C1438="","",IFERROR(INDEX(Settings!$L$4:$L$56,MATCH(C1438,Settings!$K$4:$K$56,0)),"Unknown"))</f>
        <v/>
      </c>
      <c r="I1438" s="8" t="str">
        <f t="shared" si="66"/>
        <v/>
      </c>
      <c r="J1438" s="8" t="str">
        <f t="shared" si="67"/>
        <v/>
      </c>
      <c r="K1438" s="24"/>
      <c r="L1438" s="7" t="str">
        <f t="shared" si="68"/>
        <v/>
      </c>
    </row>
    <row r="1439" spans="1:12" x14ac:dyDescent="0.25">
      <c r="A1439" s="23"/>
      <c r="B1439" s="24"/>
      <c r="C1439" s="24"/>
      <c r="D1439" s="24"/>
      <c r="E1439" s="24"/>
      <c r="F1439" s="24"/>
      <c r="G1439" s="25"/>
      <c r="H1439" s="16" t="str">
        <f>IF(C1439="","",IFERROR(INDEX(Settings!$L$4:$L$56,MATCH(C1439,Settings!$K$4:$K$56,0)),"Unknown"))</f>
        <v/>
      </c>
      <c r="I1439" s="8" t="str">
        <f t="shared" si="66"/>
        <v/>
      </c>
      <c r="J1439" s="8" t="str">
        <f t="shared" si="67"/>
        <v/>
      </c>
      <c r="K1439" s="24"/>
      <c r="L1439" s="7" t="str">
        <f t="shared" si="68"/>
        <v/>
      </c>
    </row>
    <row r="1440" spans="1:12" x14ac:dyDescent="0.25">
      <c r="A1440" s="23"/>
      <c r="B1440" s="24"/>
      <c r="C1440" s="24"/>
      <c r="D1440" s="24"/>
      <c r="E1440" s="24"/>
      <c r="F1440" s="24"/>
      <c r="G1440" s="25"/>
      <c r="H1440" s="16" t="str">
        <f>IF(C1440="","",IFERROR(INDEX(Settings!$L$4:$L$56,MATCH(C1440,Settings!$K$4:$K$56,0)),"Unknown"))</f>
        <v/>
      </c>
      <c r="I1440" s="8" t="str">
        <f t="shared" si="66"/>
        <v/>
      </c>
      <c r="J1440" s="8" t="str">
        <f t="shared" si="67"/>
        <v/>
      </c>
      <c r="K1440" s="24"/>
      <c r="L1440" s="7" t="str">
        <f t="shared" si="68"/>
        <v/>
      </c>
    </row>
    <row r="1441" spans="1:12" x14ac:dyDescent="0.25">
      <c r="A1441" s="23"/>
      <c r="B1441" s="24"/>
      <c r="C1441" s="24"/>
      <c r="D1441" s="24"/>
      <c r="E1441" s="24"/>
      <c r="F1441" s="24"/>
      <c r="G1441" s="25"/>
      <c r="H1441" s="16" t="str">
        <f>IF(C1441="","",IFERROR(INDEX(Settings!$L$4:$L$56,MATCH(C1441,Settings!$K$4:$K$56,0)),"Unknown"))</f>
        <v/>
      </c>
      <c r="I1441" s="8" t="str">
        <f t="shared" si="66"/>
        <v/>
      </c>
      <c r="J1441" s="8" t="str">
        <f t="shared" si="67"/>
        <v/>
      </c>
      <c r="K1441" s="24"/>
      <c r="L1441" s="7" t="str">
        <f t="shared" si="68"/>
        <v/>
      </c>
    </row>
    <row r="1442" spans="1:12" x14ac:dyDescent="0.25">
      <c r="A1442" s="23"/>
      <c r="B1442" s="24"/>
      <c r="C1442" s="24"/>
      <c r="D1442" s="24"/>
      <c r="E1442" s="24"/>
      <c r="F1442" s="24"/>
      <c r="G1442" s="25"/>
      <c r="H1442" s="16" t="str">
        <f>IF(C1442="","",IFERROR(INDEX(Settings!$L$4:$L$56,MATCH(C1442,Settings!$K$4:$K$56,0)),"Unknown"))</f>
        <v/>
      </c>
      <c r="I1442" s="8" t="str">
        <f t="shared" si="66"/>
        <v/>
      </c>
      <c r="J1442" s="8" t="str">
        <f t="shared" si="67"/>
        <v/>
      </c>
      <c r="K1442" s="24"/>
      <c r="L1442" s="7" t="str">
        <f t="shared" si="68"/>
        <v/>
      </c>
    </row>
    <row r="1443" spans="1:12" x14ac:dyDescent="0.25">
      <c r="A1443" s="23"/>
      <c r="B1443" s="24"/>
      <c r="C1443" s="24"/>
      <c r="D1443" s="24"/>
      <c r="E1443" s="24"/>
      <c r="F1443" s="24"/>
      <c r="G1443" s="25"/>
      <c r="H1443" s="16" t="str">
        <f>IF(C1443="","",IFERROR(INDEX(Settings!$L$4:$L$56,MATCH(C1443,Settings!$K$4:$K$56,0)),"Unknown"))</f>
        <v/>
      </c>
      <c r="I1443" s="8" t="str">
        <f t="shared" si="66"/>
        <v/>
      </c>
      <c r="J1443" s="8" t="str">
        <f t="shared" si="67"/>
        <v/>
      </c>
      <c r="K1443" s="24"/>
      <c r="L1443" s="7" t="str">
        <f t="shared" si="68"/>
        <v/>
      </c>
    </row>
    <row r="1444" spans="1:12" x14ac:dyDescent="0.25">
      <c r="A1444" s="23"/>
      <c r="B1444" s="24"/>
      <c r="C1444" s="24"/>
      <c r="D1444" s="24"/>
      <c r="E1444" s="24"/>
      <c r="F1444" s="24"/>
      <c r="G1444" s="25"/>
      <c r="H1444" s="16" t="str">
        <f>IF(C1444="","",IFERROR(INDEX(Settings!$L$4:$L$56,MATCH(C1444,Settings!$K$4:$K$56,0)),"Unknown"))</f>
        <v/>
      </c>
      <c r="I1444" s="8" t="str">
        <f t="shared" si="66"/>
        <v/>
      </c>
      <c r="J1444" s="8" t="str">
        <f t="shared" si="67"/>
        <v/>
      </c>
      <c r="K1444" s="24"/>
      <c r="L1444" s="7" t="str">
        <f t="shared" si="68"/>
        <v/>
      </c>
    </row>
    <row r="1445" spans="1:12" x14ac:dyDescent="0.25">
      <c r="A1445" s="23"/>
      <c r="B1445" s="24"/>
      <c r="C1445" s="24"/>
      <c r="D1445" s="24"/>
      <c r="E1445" s="24"/>
      <c r="F1445" s="24"/>
      <c r="G1445" s="25"/>
      <c r="H1445" s="16" t="str">
        <f>IF(C1445="","",IFERROR(INDEX(Settings!$L$4:$L$56,MATCH(C1445,Settings!$K$4:$K$56,0)),"Unknown"))</f>
        <v/>
      </c>
      <c r="I1445" s="8" t="str">
        <f t="shared" si="66"/>
        <v/>
      </c>
      <c r="J1445" s="8" t="str">
        <f t="shared" si="67"/>
        <v/>
      </c>
      <c r="K1445" s="24"/>
      <c r="L1445" s="7" t="str">
        <f t="shared" si="68"/>
        <v/>
      </c>
    </row>
    <row r="1446" spans="1:12" x14ac:dyDescent="0.25">
      <c r="A1446" s="23"/>
      <c r="B1446" s="24"/>
      <c r="C1446" s="24"/>
      <c r="D1446" s="24"/>
      <c r="E1446" s="24"/>
      <c r="F1446" s="24"/>
      <c r="G1446" s="25"/>
      <c r="H1446" s="16" t="str">
        <f>IF(C1446="","",IFERROR(INDEX(Settings!$L$4:$L$56,MATCH(C1446,Settings!$K$4:$K$56,0)),"Unknown"))</f>
        <v/>
      </c>
      <c r="I1446" s="8" t="str">
        <f t="shared" si="66"/>
        <v/>
      </c>
      <c r="J1446" s="8" t="str">
        <f t="shared" si="67"/>
        <v/>
      </c>
      <c r="K1446" s="24"/>
      <c r="L1446" s="7" t="str">
        <f t="shared" si="68"/>
        <v/>
      </c>
    </row>
    <row r="1447" spans="1:12" x14ac:dyDescent="0.25">
      <c r="A1447" s="23"/>
      <c r="B1447" s="24"/>
      <c r="C1447" s="24"/>
      <c r="D1447" s="24"/>
      <c r="E1447" s="24"/>
      <c r="F1447" s="24"/>
      <c r="G1447" s="25"/>
      <c r="H1447" s="16" t="str">
        <f>IF(C1447="","",IFERROR(INDEX(Settings!$L$4:$L$56,MATCH(C1447,Settings!$K$4:$K$56,0)),"Unknown"))</f>
        <v/>
      </c>
      <c r="I1447" s="8" t="str">
        <f t="shared" si="66"/>
        <v/>
      </c>
      <c r="J1447" s="8" t="str">
        <f t="shared" si="67"/>
        <v/>
      </c>
      <c r="K1447" s="24"/>
      <c r="L1447" s="7" t="str">
        <f t="shared" si="68"/>
        <v/>
      </c>
    </row>
    <row r="1448" spans="1:12" x14ac:dyDescent="0.25">
      <c r="A1448" s="23"/>
      <c r="B1448" s="24"/>
      <c r="C1448" s="24"/>
      <c r="D1448" s="24"/>
      <c r="E1448" s="24"/>
      <c r="F1448" s="24"/>
      <c r="G1448" s="25"/>
      <c r="H1448" s="16" t="str">
        <f>IF(C1448="","",IFERROR(INDEX(Settings!$L$4:$L$56,MATCH(C1448,Settings!$K$4:$K$56,0)),"Unknown"))</f>
        <v/>
      </c>
      <c r="I1448" s="8" t="str">
        <f t="shared" si="66"/>
        <v/>
      </c>
      <c r="J1448" s="8" t="str">
        <f t="shared" si="67"/>
        <v/>
      </c>
      <c r="K1448" s="24"/>
      <c r="L1448" s="7" t="str">
        <f t="shared" si="68"/>
        <v/>
      </c>
    </row>
    <row r="1449" spans="1:12" x14ac:dyDescent="0.25">
      <c r="A1449" s="23"/>
      <c r="B1449" s="24"/>
      <c r="C1449" s="24"/>
      <c r="D1449" s="24"/>
      <c r="E1449" s="24"/>
      <c r="F1449" s="24"/>
      <c r="G1449" s="25"/>
      <c r="H1449" s="16" t="str">
        <f>IF(C1449="","",IFERROR(INDEX(Settings!$L$4:$L$56,MATCH(C1449,Settings!$K$4:$K$56,0)),"Unknown"))</f>
        <v/>
      </c>
      <c r="I1449" s="8" t="str">
        <f t="shared" si="66"/>
        <v/>
      </c>
      <c r="J1449" s="8" t="str">
        <f t="shared" si="67"/>
        <v/>
      </c>
      <c r="K1449" s="24"/>
      <c r="L1449" s="7" t="str">
        <f t="shared" si="68"/>
        <v/>
      </c>
    </row>
    <row r="1450" spans="1:12" x14ac:dyDescent="0.25">
      <c r="A1450" s="23"/>
      <c r="B1450" s="24"/>
      <c r="C1450" s="24"/>
      <c r="D1450" s="24"/>
      <c r="E1450" s="24"/>
      <c r="F1450" s="24"/>
      <c r="G1450" s="25"/>
      <c r="H1450" s="16" t="str">
        <f>IF(C1450="","",IFERROR(INDEX(Settings!$L$4:$L$56,MATCH(C1450,Settings!$K$4:$K$56,0)),"Unknown"))</f>
        <v/>
      </c>
      <c r="I1450" s="8" t="str">
        <f t="shared" si="66"/>
        <v/>
      </c>
      <c r="J1450" s="8" t="str">
        <f t="shared" si="67"/>
        <v/>
      </c>
      <c r="K1450" s="24"/>
      <c r="L1450" s="7" t="str">
        <f t="shared" si="68"/>
        <v/>
      </c>
    </row>
    <row r="1451" spans="1:12" x14ac:dyDescent="0.25">
      <c r="A1451" s="23"/>
      <c r="B1451" s="24"/>
      <c r="C1451" s="24"/>
      <c r="D1451" s="24"/>
      <c r="E1451" s="24"/>
      <c r="F1451" s="24"/>
      <c r="G1451" s="25"/>
      <c r="H1451" s="16" t="str">
        <f>IF(C1451="","",IFERROR(INDEX(Settings!$L$4:$L$56,MATCH(C1451,Settings!$K$4:$K$56,0)),"Unknown"))</f>
        <v/>
      </c>
      <c r="I1451" s="8" t="str">
        <f t="shared" si="66"/>
        <v/>
      </c>
      <c r="J1451" s="8" t="str">
        <f t="shared" si="67"/>
        <v/>
      </c>
      <c r="K1451" s="24"/>
      <c r="L1451" s="7" t="str">
        <f t="shared" si="68"/>
        <v/>
      </c>
    </row>
    <row r="1452" spans="1:12" x14ac:dyDescent="0.25">
      <c r="A1452" s="23"/>
      <c r="B1452" s="24"/>
      <c r="C1452" s="24"/>
      <c r="D1452" s="24"/>
      <c r="E1452" s="24"/>
      <c r="F1452" s="24"/>
      <c r="G1452" s="25"/>
      <c r="H1452" s="16" t="str">
        <f>IF(C1452="","",IFERROR(INDEX(Settings!$L$4:$L$56,MATCH(C1452,Settings!$K$4:$K$56,0)),"Unknown"))</f>
        <v/>
      </c>
      <c r="I1452" s="8" t="str">
        <f t="shared" si="66"/>
        <v/>
      </c>
      <c r="J1452" s="8" t="str">
        <f t="shared" si="67"/>
        <v/>
      </c>
      <c r="K1452" s="24"/>
      <c r="L1452" s="7" t="str">
        <f t="shared" si="68"/>
        <v/>
      </c>
    </row>
    <row r="1453" spans="1:12" x14ac:dyDescent="0.25">
      <c r="A1453" s="23"/>
      <c r="B1453" s="24"/>
      <c r="C1453" s="24"/>
      <c r="D1453" s="24"/>
      <c r="E1453" s="24"/>
      <c r="F1453" s="24"/>
      <c r="G1453" s="25"/>
      <c r="H1453" s="16" t="str">
        <f>IF(C1453="","",IFERROR(INDEX(Settings!$L$4:$L$56,MATCH(C1453,Settings!$K$4:$K$56,0)),"Unknown"))</f>
        <v/>
      </c>
      <c r="I1453" s="8" t="str">
        <f t="shared" si="66"/>
        <v/>
      </c>
      <c r="J1453" s="8" t="str">
        <f t="shared" si="67"/>
        <v/>
      </c>
      <c r="K1453" s="24"/>
      <c r="L1453" s="7" t="str">
        <f t="shared" si="68"/>
        <v/>
      </c>
    </row>
    <row r="1454" spans="1:12" x14ac:dyDescent="0.25">
      <c r="A1454" s="23"/>
      <c r="B1454" s="24"/>
      <c r="C1454" s="24"/>
      <c r="D1454" s="24"/>
      <c r="E1454" s="24"/>
      <c r="F1454" s="24"/>
      <c r="G1454" s="25"/>
      <c r="H1454" s="16" t="str">
        <f>IF(C1454="","",IFERROR(INDEX(Settings!$L$4:$L$56,MATCH(C1454,Settings!$K$4:$K$56,0)),"Unknown"))</f>
        <v/>
      </c>
      <c r="I1454" s="8" t="str">
        <f t="shared" si="66"/>
        <v/>
      </c>
      <c r="J1454" s="8" t="str">
        <f t="shared" si="67"/>
        <v/>
      </c>
      <c r="K1454" s="24"/>
      <c r="L1454" s="7" t="str">
        <f t="shared" si="68"/>
        <v/>
      </c>
    </row>
    <row r="1455" spans="1:12" x14ac:dyDescent="0.25">
      <c r="A1455" s="23"/>
      <c r="B1455" s="24"/>
      <c r="C1455" s="24"/>
      <c r="D1455" s="24"/>
      <c r="E1455" s="24"/>
      <c r="F1455" s="24"/>
      <c r="G1455" s="25"/>
      <c r="H1455" s="16" t="str">
        <f>IF(C1455="","",IFERROR(INDEX(Settings!$L$4:$L$56,MATCH(C1455,Settings!$K$4:$K$56,0)),"Unknown"))</f>
        <v/>
      </c>
      <c r="I1455" s="8" t="str">
        <f t="shared" si="66"/>
        <v/>
      </c>
      <c r="J1455" s="8" t="str">
        <f t="shared" si="67"/>
        <v/>
      </c>
      <c r="K1455" s="24"/>
      <c r="L1455" s="7" t="str">
        <f t="shared" si="68"/>
        <v/>
      </c>
    </row>
    <row r="1456" spans="1:12" x14ac:dyDescent="0.25">
      <c r="A1456" s="23"/>
      <c r="B1456" s="24"/>
      <c r="C1456" s="24"/>
      <c r="D1456" s="24"/>
      <c r="E1456" s="24"/>
      <c r="F1456" s="24"/>
      <c r="G1456" s="25"/>
      <c r="H1456" s="16" t="str">
        <f>IF(C1456="","",IFERROR(INDEX(Settings!$L$4:$L$56,MATCH(C1456,Settings!$K$4:$K$56,0)),"Unknown"))</f>
        <v/>
      </c>
      <c r="I1456" s="8" t="str">
        <f t="shared" si="66"/>
        <v/>
      </c>
      <c r="J1456" s="8" t="str">
        <f t="shared" si="67"/>
        <v/>
      </c>
      <c r="K1456" s="24"/>
      <c r="L1456" s="7" t="str">
        <f t="shared" si="68"/>
        <v/>
      </c>
    </row>
    <row r="1457" spans="1:12" x14ac:dyDescent="0.25">
      <c r="A1457" s="23"/>
      <c r="B1457" s="24"/>
      <c r="C1457" s="24"/>
      <c r="D1457" s="24"/>
      <c r="E1457" s="24"/>
      <c r="F1457" s="24"/>
      <c r="G1457" s="25"/>
      <c r="H1457" s="16" t="str">
        <f>IF(C1457="","",IFERROR(INDEX(Settings!$L$4:$L$56,MATCH(C1457,Settings!$K$4:$K$56,0)),"Unknown"))</f>
        <v/>
      </c>
      <c r="I1457" s="8" t="str">
        <f t="shared" si="66"/>
        <v/>
      </c>
      <c r="J1457" s="8" t="str">
        <f t="shared" si="67"/>
        <v/>
      </c>
      <c r="K1457" s="24"/>
      <c r="L1457" s="7" t="str">
        <f t="shared" si="68"/>
        <v/>
      </c>
    </row>
    <row r="1458" spans="1:12" x14ac:dyDescent="0.25">
      <c r="A1458" s="23"/>
      <c r="B1458" s="24"/>
      <c r="C1458" s="24"/>
      <c r="D1458" s="24"/>
      <c r="E1458" s="24"/>
      <c r="F1458" s="24"/>
      <c r="G1458" s="25"/>
      <c r="H1458" s="16" t="str">
        <f>IF(C1458="","",IFERROR(INDEX(Settings!$L$4:$L$56,MATCH(C1458,Settings!$K$4:$K$56,0)),"Unknown"))</f>
        <v/>
      </c>
      <c r="I1458" s="8" t="str">
        <f t="shared" si="66"/>
        <v/>
      </c>
      <c r="J1458" s="8" t="str">
        <f t="shared" si="67"/>
        <v/>
      </c>
      <c r="K1458" s="24"/>
      <c r="L1458" s="7" t="str">
        <f t="shared" si="68"/>
        <v/>
      </c>
    </row>
    <row r="1459" spans="1:12" x14ac:dyDescent="0.25">
      <c r="A1459" s="23"/>
      <c r="B1459" s="24"/>
      <c r="C1459" s="24"/>
      <c r="D1459" s="24"/>
      <c r="E1459" s="24"/>
      <c r="F1459" s="24"/>
      <c r="G1459" s="25"/>
      <c r="H1459" s="16" t="str">
        <f>IF(C1459="","",IFERROR(INDEX(Settings!$L$4:$L$56,MATCH(C1459,Settings!$K$4:$K$56,0)),"Unknown"))</f>
        <v/>
      </c>
      <c r="I1459" s="8" t="str">
        <f t="shared" si="66"/>
        <v/>
      </c>
      <c r="J1459" s="8" t="str">
        <f t="shared" si="67"/>
        <v/>
      </c>
      <c r="K1459" s="24"/>
      <c r="L1459" s="7" t="str">
        <f t="shared" si="68"/>
        <v/>
      </c>
    </row>
    <row r="1460" spans="1:12" x14ac:dyDescent="0.25">
      <c r="A1460" s="23"/>
      <c r="B1460" s="24"/>
      <c r="C1460" s="24"/>
      <c r="D1460" s="24"/>
      <c r="E1460" s="24"/>
      <c r="F1460" s="24"/>
      <c r="G1460" s="25"/>
      <c r="H1460" s="16" t="str">
        <f>IF(C1460="","",IFERROR(INDEX(Settings!$L$4:$L$56,MATCH(C1460,Settings!$K$4:$K$56,0)),"Unknown"))</f>
        <v/>
      </c>
      <c r="I1460" s="8" t="str">
        <f t="shared" si="66"/>
        <v/>
      </c>
      <c r="J1460" s="8" t="str">
        <f t="shared" si="67"/>
        <v/>
      </c>
      <c r="K1460" s="24"/>
      <c r="L1460" s="7" t="str">
        <f t="shared" si="68"/>
        <v/>
      </c>
    </row>
    <row r="1461" spans="1:12" x14ac:dyDescent="0.25">
      <c r="A1461" s="23"/>
      <c r="B1461" s="24"/>
      <c r="C1461" s="24"/>
      <c r="D1461" s="24"/>
      <c r="E1461" s="24"/>
      <c r="F1461" s="24"/>
      <c r="G1461" s="25"/>
      <c r="H1461" s="16" t="str">
        <f>IF(C1461="","",IFERROR(INDEX(Settings!$L$4:$L$56,MATCH(C1461,Settings!$K$4:$K$56,0)),"Unknown"))</f>
        <v/>
      </c>
      <c r="I1461" s="8" t="str">
        <f t="shared" si="66"/>
        <v/>
      </c>
      <c r="J1461" s="8" t="str">
        <f t="shared" si="67"/>
        <v/>
      </c>
      <c r="K1461" s="24"/>
      <c r="L1461" s="7" t="str">
        <f t="shared" si="68"/>
        <v/>
      </c>
    </row>
    <row r="1462" spans="1:12" x14ac:dyDescent="0.25">
      <c r="A1462" s="23"/>
      <c r="B1462" s="24"/>
      <c r="C1462" s="24"/>
      <c r="D1462" s="24"/>
      <c r="E1462" s="24"/>
      <c r="F1462" s="24"/>
      <c r="G1462" s="25"/>
      <c r="H1462" s="16" t="str">
        <f>IF(C1462="","",IFERROR(INDEX(Settings!$L$4:$L$56,MATCH(C1462,Settings!$K$4:$K$56,0)),"Unknown"))</f>
        <v/>
      </c>
      <c r="I1462" s="8" t="str">
        <f t="shared" si="66"/>
        <v/>
      </c>
      <c r="J1462" s="8" t="str">
        <f t="shared" si="67"/>
        <v/>
      </c>
      <c r="K1462" s="24"/>
      <c r="L1462" s="7" t="str">
        <f t="shared" si="68"/>
        <v/>
      </c>
    </row>
    <row r="1463" spans="1:12" x14ac:dyDescent="0.25">
      <c r="A1463" s="23"/>
      <c r="B1463" s="24"/>
      <c r="C1463" s="24"/>
      <c r="D1463" s="24"/>
      <c r="E1463" s="24"/>
      <c r="F1463" s="24"/>
      <c r="G1463" s="25"/>
      <c r="H1463" s="16" t="str">
        <f>IF(C1463="","",IFERROR(INDEX(Settings!$L$4:$L$56,MATCH(C1463,Settings!$K$4:$K$56,0)),"Unknown"))</f>
        <v/>
      </c>
      <c r="I1463" s="8" t="str">
        <f t="shared" si="66"/>
        <v/>
      </c>
      <c r="J1463" s="8" t="str">
        <f t="shared" si="67"/>
        <v/>
      </c>
      <c r="K1463" s="24"/>
      <c r="L1463" s="7" t="str">
        <f t="shared" si="68"/>
        <v/>
      </c>
    </row>
    <row r="1464" spans="1:12" x14ac:dyDescent="0.25">
      <c r="A1464" s="23"/>
      <c r="B1464" s="24"/>
      <c r="C1464" s="24"/>
      <c r="D1464" s="24"/>
      <c r="E1464" s="24"/>
      <c r="F1464" s="24"/>
      <c r="G1464" s="25"/>
      <c r="H1464" s="16" t="str">
        <f>IF(C1464="","",IFERROR(INDEX(Settings!$L$4:$L$56,MATCH(C1464,Settings!$K$4:$K$56,0)),"Unknown"))</f>
        <v/>
      </c>
      <c r="I1464" s="8" t="str">
        <f t="shared" si="66"/>
        <v/>
      </c>
      <c r="J1464" s="8" t="str">
        <f t="shared" si="67"/>
        <v/>
      </c>
      <c r="K1464" s="24"/>
      <c r="L1464" s="7" t="str">
        <f t="shared" si="68"/>
        <v/>
      </c>
    </row>
    <row r="1465" spans="1:12" x14ac:dyDescent="0.25">
      <c r="A1465" s="23"/>
      <c r="B1465" s="24"/>
      <c r="C1465" s="24"/>
      <c r="D1465" s="24"/>
      <c r="E1465" s="24"/>
      <c r="F1465" s="24"/>
      <c r="G1465" s="25"/>
      <c r="H1465" s="16" t="str">
        <f>IF(C1465="","",IFERROR(INDEX(Settings!$L$4:$L$56,MATCH(C1465,Settings!$K$4:$K$56,0)),"Unknown"))</f>
        <v/>
      </c>
      <c r="I1465" s="8" t="str">
        <f t="shared" si="66"/>
        <v/>
      </c>
      <c r="J1465" s="8" t="str">
        <f t="shared" si="67"/>
        <v/>
      </c>
      <c r="K1465" s="24"/>
      <c r="L1465" s="7" t="str">
        <f t="shared" si="68"/>
        <v/>
      </c>
    </row>
    <row r="1466" spans="1:12" x14ac:dyDescent="0.25">
      <c r="A1466" s="23"/>
      <c r="B1466" s="24"/>
      <c r="C1466" s="24"/>
      <c r="D1466" s="24"/>
      <c r="E1466" s="24"/>
      <c r="F1466" s="24"/>
      <c r="G1466" s="25"/>
      <c r="H1466" s="16" t="str">
        <f>IF(C1466="","",IFERROR(INDEX(Settings!$L$4:$L$56,MATCH(C1466,Settings!$K$4:$K$56,0)),"Unknown"))</f>
        <v/>
      </c>
      <c r="I1466" s="8" t="str">
        <f t="shared" si="66"/>
        <v/>
      </c>
      <c r="J1466" s="8" t="str">
        <f t="shared" si="67"/>
        <v/>
      </c>
      <c r="K1466" s="24"/>
      <c r="L1466" s="7" t="str">
        <f t="shared" si="68"/>
        <v/>
      </c>
    </row>
    <row r="1467" spans="1:12" x14ac:dyDescent="0.25">
      <c r="A1467" s="23"/>
      <c r="B1467" s="24"/>
      <c r="C1467" s="24"/>
      <c r="D1467" s="24"/>
      <c r="E1467" s="24"/>
      <c r="F1467" s="24"/>
      <c r="G1467" s="25"/>
      <c r="H1467" s="16" t="str">
        <f>IF(C1467="","",IFERROR(INDEX(Settings!$L$4:$L$56,MATCH(C1467,Settings!$K$4:$K$56,0)),"Unknown"))</f>
        <v/>
      </c>
      <c r="I1467" s="8" t="str">
        <f t="shared" si="66"/>
        <v/>
      </c>
      <c r="J1467" s="8" t="str">
        <f t="shared" si="67"/>
        <v/>
      </c>
      <c r="K1467" s="24"/>
      <c r="L1467" s="7" t="str">
        <f t="shared" si="68"/>
        <v/>
      </c>
    </row>
    <row r="1468" spans="1:12" x14ac:dyDescent="0.25">
      <c r="A1468" s="23"/>
      <c r="B1468" s="24"/>
      <c r="C1468" s="24"/>
      <c r="D1468" s="24"/>
      <c r="E1468" s="24"/>
      <c r="F1468" s="24"/>
      <c r="G1468" s="25"/>
      <c r="H1468" s="16" t="str">
        <f>IF(C1468="","",IFERROR(INDEX(Settings!$L$4:$L$56,MATCH(C1468,Settings!$K$4:$K$56,0)),"Unknown"))</f>
        <v/>
      </c>
      <c r="I1468" s="8" t="str">
        <f t="shared" si="66"/>
        <v/>
      </c>
      <c r="J1468" s="8" t="str">
        <f t="shared" si="67"/>
        <v/>
      </c>
      <c r="K1468" s="24"/>
      <c r="L1468" s="7" t="str">
        <f t="shared" si="68"/>
        <v/>
      </c>
    </row>
    <row r="1469" spans="1:12" x14ac:dyDescent="0.25">
      <c r="A1469" s="23"/>
      <c r="B1469" s="24"/>
      <c r="C1469" s="24"/>
      <c r="D1469" s="24"/>
      <c r="E1469" s="24"/>
      <c r="F1469" s="24"/>
      <c r="G1469" s="25"/>
      <c r="H1469" s="16" t="str">
        <f>IF(C1469="","",IFERROR(INDEX(Settings!$L$4:$L$56,MATCH(C1469,Settings!$K$4:$K$56,0)),"Unknown"))</f>
        <v/>
      </c>
      <c r="I1469" s="8" t="str">
        <f t="shared" si="66"/>
        <v/>
      </c>
      <c r="J1469" s="8" t="str">
        <f t="shared" si="67"/>
        <v/>
      </c>
      <c r="K1469" s="24"/>
      <c r="L1469" s="7" t="str">
        <f t="shared" si="68"/>
        <v/>
      </c>
    </row>
    <row r="1470" spans="1:12" x14ac:dyDescent="0.25">
      <c r="A1470" s="23"/>
      <c r="B1470" s="24"/>
      <c r="C1470" s="24"/>
      <c r="D1470" s="24"/>
      <c r="E1470" s="24"/>
      <c r="F1470" s="24"/>
      <c r="G1470" s="25"/>
      <c r="H1470" s="16" t="str">
        <f>IF(C1470="","",IFERROR(INDEX(Settings!$L$4:$L$56,MATCH(C1470,Settings!$K$4:$K$56,0)),"Unknown"))</f>
        <v/>
      </c>
      <c r="I1470" s="8" t="str">
        <f t="shared" si="66"/>
        <v/>
      </c>
      <c r="J1470" s="8" t="str">
        <f t="shared" si="67"/>
        <v/>
      </c>
      <c r="K1470" s="24"/>
      <c r="L1470" s="7" t="str">
        <f t="shared" si="68"/>
        <v/>
      </c>
    </row>
    <row r="1471" spans="1:12" x14ac:dyDescent="0.25">
      <c r="A1471" s="23"/>
      <c r="B1471" s="24"/>
      <c r="C1471" s="24"/>
      <c r="D1471" s="24"/>
      <c r="E1471" s="24"/>
      <c r="F1471" s="24"/>
      <c r="G1471" s="25"/>
      <c r="H1471" s="16" t="str">
        <f>IF(C1471="","",IFERROR(INDEX(Settings!$L$4:$L$56,MATCH(C1471,Settings!$K$4:$K$56,0)),"Unknown"))</f>
        <v/>
      </c>
      <c r="I1471" s="8" t="str">
        <f t="shared" si="66"/>
        <v/>
      </c>
      <c r="J1471" s="8" t="str">
        <f t="shared" si="67"/>
        <v/>
      </c>
      <c r="K1471" s="24"/>
      <c r="L1471" s="7" t="str">
        <f t="shared" si="68"/>
        <v/>
      </c>
    </row>
    <row r="1472" spans="1:12" x14ac:dyDescent="0.25">
      <c r="A1472" s="23"/>
      <c r="B1472" s="24"/>
      <c r="C1472" s="24"/>
      <c r="D1472" s="24"/>
      <c r="E1472" s="24"/>
      <c r="F1472" s="24"/>
      <c r="G1472" s="25"/>
      <c r="H1472" s="16" t="str">
        <f>IF(C1472="","",IFERROR(INDEX(Settings!$L$4:$L$56,MATCH(C1472,Settings!$K$4:$K$56,0)),"Unknown"))</f>
        <v/>
      </c>
      <c r="I1472" s="8" t="str">
        <f t="shared" si="66"/>
        <v/>
      </c>
      <c r="J1472" s="8" t="str">
        <f t="shared" si="67"/>
        <v/>
      </c>
      <c r="K1472" s="24"/>
      <c r="L1472" s="7" t="str">
        <f t="shared" si="68"/>
        <v/>
      </c>
    </row>
    <row r="1473" spans="1:12" x14ac:dyDescent="0.25">
      <c r="A1473" s="23"/>
      <c r="B1473" s="24"/>
      <c r="C1473" s="24"/>
      <c r="D1473" s="24"/>
      <c r="E1473" s="24"/>
      <c r="F1473" s="24"/>
      <c r="G1473" s="25"/>
      <c r="H1473" s="16" t="str">
        <f>IF(C1473="","",IFERROR(INDEX(Settings!$L$4:$L$56,MATCH(C1473,Settings!$K$4:$K$56,0)),"Unknown"))</f>
        <v/>
      </c>
      <c r="I1473" s="8" t="str">
        <f t="shared" si="66"/>
        <v/>
      </c>
      <c r="J1473" s="8" t="str">
        <f t="shared" si="67"/>
        <v/>
      </c>
      <c r="K1473" s="24"/>
      <c r="L1473" s="7" t="str">
        <f t="shared" si="68"/>
        <v/>
      </c>
    </row>
    <row r="1474" spans="1:12" x14ac:dyDescent="0.25">
      <c r="A1474" s="23"/>
      <c r="B1474" s="24"/>
      <c r="C1474" s="24"/>
      <c r="D1474" s="24"/>
      <c r="E1474" s="24"/>
      <c r="F1474" s="24"/>
      <c r="G1474" s="25"/>
      <c r="H1474" s="16" t="str">
        <f>IF(C1474="","",IFERROR(INDEX(Settings!$L$4:$L$56,MATCH(C1474,Settings!$K$4:$K$56,0)),"Unknown"))</f>
        <v/>
      </c>
      <c r="I1474" s="8" t="str">
        <f t="shared" si="66"/>
        <v/>
      </c>
      <c r="J1474" s="8" t="str">
        <f t="shared" si="67"/>
        <v/>
      </c>
      <c r="K1474" s="24"/>
      <c r="L1474" s="7" t="str">
        <f t="shared" si="68"/>
        <v/>
      </c>
    </row>
    <row r="1475" spans="1:12" x14ac:dyDescent="0.25">
      <c r="A1475" s="23"/>
      <c r="B1475" s="24"/>
      <c r="C1475" s="24"/>
      <c r="D1475" s="24"/>
      <c r="E1475" s="24"/>
      <c r="F1475" s="24"/>
      <c r="G1475" s="25"/>
      <c r="H1475" s="16" t="str">
        <f>IF(C1475="","",IFERROR(INDEX(Settings!$L$4:$L$56,MATCH(C1475,Settings!$K$4:$K$56,0)),"Unknown"))</f>
        <v/>
      </c>
      <c r="I1475" s="8" t="str">
        <f t="shared" si="66"/>
        <v/>
      </c>
      <c r="J1475" s="8" t="str">
        <f t="shared" si="67"/>
        <v/>
      </c>
      <c r="K1475" s="24"/>
      <c r="L1475" s="7" t="str">
        <f t="shared" si="68"/>
        <v/>
      </c>
    </row>
    <row r="1476" spans="1:12" x14ac:dyDescent="0.25">
      <c r="A1476" s="23"/>
      <c r="B1476" s="24"/>
      <c r="C1476" s="24"/>
      <c r="D1476" s="24"/>
      <c r="E1476" s="24"/>
      <c r="F1476" s="24"/>
      <c r="G1476" s="25"/>
      <c r="H1476" s="16" t="str">
        <f>IF(C1476="","",IFERROR(INDEX(Settings!$L$4:$L$56,MATCH(C1476,Settings!$K$4:$K$56,0)),"Unknown"))</f>
        <v/>
      </c>
      <c r="I1476" s="8" t="str">
        <f t="shared" si="66"/>
        <v/>
      </c>
      <c r="J1476" s="8" t="str">
        <f t="shared" si="67"/>
        <v/>
      </c>
      <c r="K1476" s="24"/>
      <c r="L1476" s="7" t="str">
        <f t="shared" si="68"/>
        <v/>
      </c>
    </row>
    <row r="1477" spans="1:12" x14ac:dyDescent="0.25">
      <c r="A1477" s="23"/>
      <c r="B1477" s="24"/>
      <c r="C1477" s="24"/>
      <c r="D1477" s="24"/>
      <c r="E1477" s="24"/>
      <c r="F1477" s="24"/>
      <c r="G1477" s="25"/>
      <c r="H1477" s="16" t="str">
        <f>IF(C1477="","",IFERROR(INDEX(Settings!$L$4:$L$56,MATCH(C1477,Settings!$K$4:$K$56,0)),"Unknown"))</f>
        <v/>
      </c>
      <c r="I1477" s="8" t="str">
        <f t="shared" si="66"/>
        <v/>
      </c>
      <c r="J1477" s="8" t="str">
        <f t="shared" si="67"/>
        <v/>
      </c>
      <c r="K1477" s="24"/>
      <c r="L1477" s="7" t="str">
        <f t="shared" si="68"/>
        <v/>
      </c>
    </row>
    <row r="1478" spans="1:12" x14ac:dyDescent="0.25">
      <c r="A1478" s="23"/>
      <c r="B1478" s="24"/>
      <c r="C1478" s="24"/>
      <c r="D1478" s="24"/>
      <c r="E1478" s="24"/>
      <c r="F1478" s="24"/>
      <c r="G1478" s="25"/>
      <c r="H1478" s="16" t="str">
        <f>IF(C1478="","",IFERROR(INDEX(Settings!$L$4:$L$56,MATCH(C1478,Settings!$K$4:$K$56,0)),"Unknown"))</f>
        <v/>
      </c>
      <c r="I1478" s="8" t="str">
        <f t="shared" ref="I1478:I1541" si="69">IF(A1478="","",MONTH(A1478))</f>
        <v/>
      </c>
      <c r="J1478" s="8" t="str">
        <f t="shared" ref="J1478:J1541" si="70">IF(A1478="","",YEAR(A1478))</f>
        <v/>
      </c>
      <c r="K1478" s="24"/>
      <c r="L1478" s="7" t="str">
        <f t="shared" ref="L1478:L1541" si="71">IF(OR(B1478="",C1478=""),"",IF(AND(B1478="Income",H1478&lt;&gt;"Income"),"Category is not an Income category",IF(AND(B1478="Expense",H1478="Income"),"Category is an Income category","OK")))</f>
        <v/>
      </c>
    </row>
    <row r="1479" spans="1:12" x14ac:dyDescent="0.25">
      <c r="A1479" s="23"/>
      <c r="B1479" s="24"/>
      <c r="C1479" s="24"/>
      <c r="D1479" s="24"/>
      <c r="E1479" s="24"/>
      <c r="F1479" s="24"/>
      <c r="G1479" s="25"/>
      <c r="H1479" s="16" t="str">
        <f>IF(C1479="","",IFERROR(INDEX(Settings!$L$4:$L$56,MATCH(C1479,Settings!$K$4:$K$56,0)),"Unknown"))</f>
        <v/>
      </c>
      <c r="I1479" s="8" t="str">
        <f t="shared" si="69"/>
        <v/>
      </c>
      <c r="J1479" s="8" t="str">
        <f t="shared" si="70"/>
        <v/>
      </c>
      <c r="K1479" s="24"/>
      <c r="L1479" s="7" t="str">
        <f t="shared" si="71"/>
        <v/>
      </c>
    </row>
    <row r="1480" spans="1:12" x14ac:dyDescent="0.25">
      <c r="A1480" s="23"/>
      <c r="B1480" s="24"/>
      <c r="C1480" s="24"/>
      <c r="D1480" s="24"/>
      <c r="E1480" s="24"/>
      <c r="F1480" s="24"/>
      <c r="G1480" s="25"/>
      <c r="H1480" s="16" t="str">
        <f>IF(C1480="","",IFERROR(INDEX(Settings!$L$4:$L$56,MATCH(C1480,Settings!$K$4:$K$56,0)),"Unknown"))</f>
        <v/>
      </c>
      <c r="I1480" s="8" t="str">
        <f t="shared" si="69"/>
        <v/>
      </c>
      <c r="J1480" s="8" t="str">
        <f t="shared" si="70"/>
        <v/>
      </c>
      <c r="K1480" s="24"/>
      <c r="L1480" s="7" t="str">
        <f t="shared" si="71"/>
        <v/>
      </c>
    </row>
    <row r="1481" spans="1:12" x14ac:dyDescent="0.25">
      <c r="A1481" s="23"/>
      <c r="B1481" s="24"/>
      <c r="C1481" s="24"/>
      <c r="D1481" s="24"/>
      <c r="E1481" s="24"/>
      <c r="F1481" s="24"/>
      <c r="G1481" s="25"/>
      <c r="H1481" s="16" t="str">
        <f>IF(C1481="","",IFERROR(INDEX(Settings!$L$4:$L$56,MATCH(C1481,Settings!$K$4:$K$56,0)),"Unknown"))</f>
        <v/>
      </c>
      <c r="I1481" s="8" t="str">
        <f t="shared" si="69"/>
        <v/>
      </c>
      <c r="J1481" s="8" t="str">
        <f t="shared" si="70"/>
        <v/>
      </c>
      <c r="K1481" s="24"/>
      <c r="L1481" s="7" t="str">
        <f t="shared" si="71"/>
        <v/>
      </c>
    </row>
    <row r="1482" spans="1:12" x14ac:dyDescent="0.25">
      <c r="A1482" s="23"/>
      <c r="B1482" s="24"/>
      <c r="C1482" s="24"/>
      <c r="D1482" s="24"/>
      <c r="E1482" s="24"/>
      <c r="F1482" s="24"/>
      <c r="G1482" s="25"/>
      <c r="H1482" s="16" t="str">
        <f>IF(C1482="","",IFERROR(INDEX(Settings!$L$4:$L$56,MATCH(C1482,Settings!$K$4:$K$56,0)),"Unknown"))</f>
        <v/>
      </c>
      <c r="I1482" s="8" t="str">
        <f t="shared" si="69"/>
        <v/>
      </c>
      <c r="J1482" s="8" t="str">
        <f t="shared" si="70"/>
        <v/>
      </c>
      <c r="K1482" s="24"/>
      <c r="L1482" s="7" t="str">
        <f t="shared" si="71"/>
        <v/>
      </c>
    </row>
    <row r="1483" spans="1:12" x14ac:dyDescent="0.25">
      <c r="A1483" s="23"/>
      <c r="B1483" s="24"/>
      <c r="C1483" s="24"/>
      <c r="D1483" s="24"/>
      <c r="E1483" s="24"/>
      <c r="F1483" s="24"/>
      <c r="G1483" s="25"/>
      <c r="H1483" s="16" t="str">
        <f>IF(C1483="","",IFERROR(INDEX(Settings!$L$4:$L$56,MATCH(C1483,Settings!$K$4:$K$56,0)),"Unknown"))</f>
        <v/>
      </c>
      <c r="I1483" s="8" t="str">
        <f t="shared" si="69"/>
        <v/>
      </c>
      <c r="J1483" s="8" t="str">
        <f t="shared" si="70"/>
        <v/>
      </c>
      <c r="K1483" s="24"/>
      <c r="L1483" s="7" t="str">
        <f t="shared" si="71"/>
        <v/>
      </c>
    </row>
    <row r="1484" spans="1:12" x14ac:dyDescent="0.25">
      <c r="A1484" s="23"/>
      <c r="B1484" s="24"/>
      <c r="C1484" s="24"/>
      <c r="D1484" s="24"/>
      <c r="E1484" s="24"/>
      <c r="F1484" s="24"/>
      <c r="G1484" s="25"/>
      <c r="H1484" s="16" t="str">
        <f>IF(C1484="","",IFERROR(INDEX(Settings!$L$4:$L$56,MATCH(C1484,Settings!$K$4:$K$56,0)),"Unknown"))</f>
        <v/>
      </c>
      <c r="I1484" s="8" t="str">
        <f t="shared" si="69"/>
        <v/>
      </c>
      <c r="J1484" s="8" t="str">
        <f t="shared" si="70"/>
        <v/>
      </c>
      <c r="K1484" s="24"/>
      <c r="L1484" s="7" t="str">
        <f t="shared" si="71"/>
        <v/>
      </c>
    </row>
    <row r="1485" spans="1:12" x14ac:dyDescent="0.25">
      <c r="A1485" s="23"/>
      <c r="B1485" s="24"/>
      <c r="C1485" s="24"/>
      <c r="D1485" s="24"/>
      <c r="E1485" s="24"/>
      <c r="F1485" s="24"/>
      <c r="G1485" s="25"/>
      <c r="H1485" s="16" t="str">
        <f>IF(C1485="","",IFERROR(INDEX(Settings!$L$4:$L$56,MATCH(C1485,Settings!$K$4:$K$56,0)),"Unknown"))</f>
        <v/>
      </c>
      <c r="I1485" s="8" t="str">
        <f t="shared" si="69"/>
        <v/>
      </c>
      <c r="J1485" s="8" t="str">
        <f t="shared" si="70"/>
        <v/>
      </c>
      <c r="K1485" s="24"/>
      <c r="L1485" s="7" t="str">
        <f t="shared" si="71"/>
        <v/>
      </c>
    </row>
    <row r="1486" spans="1:12" x14ac:dyDescent="0.25">
      <c r="A1486" s="23"/>
      <c r="B1486" s="24"/>
      <c r="C1486" s="24"/>
      <c r="D1486" s="24"/>
      <c r="E1486" s="24"/>
      <c r="F1486" s="24"/>
      <c r="G1486" s="25"/>
      <c r="H1486" s="16" t="str">
        <f>IF(C1486="","",IFERROR(INDEX(Settings!$L$4:$L$56,MATCH(C1486,Settings!$K$4:$K$56,0)),"Unknown"))</f>
        <v/>
      </c>
      <c r="I1486" s="8" t="str">
        <f t="shared" si="69"/>
        <v/>
      </c>
      <c r="J1486" s="8" t="str">
        <f t="shared" si="70"/>
        <v/>
      </c>
      <c r="K1486" s="24"/>
      <c r="L1486" s="7" t="str">
        <f t="shared" si="71"/>
        <v/>
      </c>
    </row>
    <row r="1487" spans="1:12" x14ac:dyDescent="0.25">
      <c r="A1487" s="23"/>
      <c r="B1487" s="24"/>
      <c r="C1487" s="24"/>
      <c r="D1487" s="24"/>
      <c r="E1487" s="24"/>
      <c r="F1487" s="24"/>
      <c r="G1487" s="25"/>
      <c r="H1487" s="16" t="str">
        <f>IF(C1487="","",IFERROR(INDEX(Settings!$L$4:$L$56,MATCH(C1487,Settings!$K$4:$K$56,0)),"Unknown"))</f>
        <v/>
      </c>
      <c r="I1487" s="8" t="str">
        <f t="shared" si="69"/>
        <v/>
      </c>
      <c r="J1487" s="8" t="str">
        <f t="shared" si="70"/>
        <v/>
      </c>
      <c r="K1487" s="24"/>
      <c r="L1487" s="7" t="str">
        <f t="shared" si="71"/>
        <v/>
      </c>
    </row>
    <row r="1488" spans="1:12" x14ac:dyDescent="0.25">
      <c r="A1488" s="23"/>
      <c r="B1488" s="24"/>
      <c r="C1488" s="24"/>
      <c r="D1488" s="24"/>
      <c r="E1488" s="24"/>
      <c r="F1488" s="24"/>
      <c r="G1488" s="25"/>
      <c r="H1488" s="16" t="str">
        <f>IF(C1488="","",IFERROR(INDEX(Settings!$L$4:$L$56,MATCH(C1488,Settings!$K$4:$K$56,0)),"Unknown"))</f>
        <v/>
      </c>
      <c r="I1488" s="8" t="str">
        <f t="shared" si="69"/>
        <v/>
      </c>
      <c r="J1488" s="8" t="str">
        <f t="shared" si="70"/>
        <v/>
      </c>
      <c r="K1488" s="24"/>
      <c r="L1488" s="7" t="str">
        <f t="shared" si="71"/>
        <v/>
      </c>
    </row>
    <row r="1489" spans="1:12" x14ac:dyDescent="0.25">
      <c r="A1489" s="23"/>
      <c r="B1489" s="24"/>
      <c r="C1489" s="24"/>
      <c r="D1489" s="24"/>
      <c r="E1489" s="24"/>
      <c r="F1489" s="24"/>
      <c r="G1489" s="25"/>
      <c r="H1489" s="16" t="str">
        <f>IF(C1489="","",IFERROR(INDEX(Settings!$L$4:$L$56,MATCH(C1489,Settings!$K$4:$K$56,0)),"Unknown"))</f>
        <v/>
      </c>
      <c r="I1489" s="8" t="str">
        <f t="shared" si="69"/>
        <v/>
      </c>
      <c r="J1489" s="8" t="str">
        <f t="shared" si="70"/>
        <v/>
      </c>
      <c r="K1489" s="24"/>
      <c r="L1489" s="7" t="str">
        <f t="shared" si="71"/>
        <v/>
      </c>
    </row>
    <row r="1490" spans="1:12" x14ac:dyDescent="0.25">
      <c r="A1490" s="23"/>
      <c r="B1490" s="24"/>
      <c r="C1490" s="24"/>
      <c r="D1490" s="24"/>
      <c r="E1490" s="24"/>
      <c r="F1490" s="24"/>
      <c r="G1490" s="25"/>
      <c r="H1490" s="16" t="str">
        <f>IF(C1490="","",IFERROR(INDEX(Settings!$L$4:$L$56,MATCH(C1490,Settings!$K$4:$K$56,0)),"Unknown"))</f>
        <v/>
      </c>
      <c r="I1490" s="8" t="str">
        <f t="shared" si="69"/>
        <v/>
      </c>
      <c r="J1490" s="8" t="str">
        <f t="shared" si="70"/>
        <v/>
      </c>
      <c r="K1490" s="24"/>
      <c r="L1490" s="7" t="str">
        <f t="shared" si="71"/>
        <v/>
      </c>
    </row>
    <row r="1491" spans="1:12" x14ac:dyDescent="0.25">
      <c r="A1491" s="23"/>
      <c r="B1491" s="24"/>
      <c r="C1491" s="24"/>
      <c r="D1491" s="24"/>
      <c r="E1491" s="24"/>
      <c r="F1491" s="24"/>
      <c r="G1491" s="25"/>
      <c r="H1491" s="16" t="str">
        <f>IF(C1491="","",IFERROR(INDEX(Settings!$L$4:$L$56,MATCH(C1491,Settings!$K$4:$K$56,0)),"Unknown"))</f>
        <v/>
      </c>
      <c r="I1491" s="8" t="str">
        <f t="shared" si="69"/>
        <v/>
      </c>
      <c r="J1491" s="8" t="str">
        <f t="shared" si="70"/>
        <v/>
      </c>
      <c r="K1491" s="24"/>
      <c r="L1491" s="7" t="str">
        <f t="shared" si="71"/>
        <v/>
      </c>
    </row>
    <row r="1492" spans="1:12" x14ac:dyDescent="0.25">
      <c r="A1492" s="23"/>
      <c r="B1492" s="24"/>
      <c r="C1492" s="24"/>
      <c r="D1492" s="24"/>
      <c r="E1492" s="24"/>
      <c r="F1492" s="24"/>
      <c r="G1492" s="25"/>
      <c r="H1492" s="16" t="str">
        <f>IF(C1492="","",IFERROR(INDEX(Settings!$L$4:$L$56,MATCH(C1492,Settings!$K$4:$K$56,0)),"Unknown"))</f>
        <v/>
      </c>
      <c r="I1492" s="8" t="str">
        <f t="shared" si="69"/>
        <v/>
      </c>
      <c r="J1492" s="8" t="str">
        <f t="shared" si="70"/>
        <v/>
      </c>
      <c r="K1492" s="24"/>
      <c r="L1492" s="7" t="str">
        <f t="shared" si="71"/>
        <v/>
      </c>
    </row>
    <row r="1493" spans="1:12" x14ac:dyDescent="0.25">
      <c r="A1493" s="23"/>
      <c r="B1493" s="24"/>
      <c r="C1493" s="24"/>
      <c r="D1493" s="24"/>
      <c r="E1493" s="24"/>
      <c r="F1493" s="24"/>
      <c r="G1493" s="25"/>
      <c r="H1493" s="16" t="str">
        <f>IF(C1493="","",IFERROR(INDEX(Settings!$L$4:$L$56,MATCH(C1493,Settings!$K$4:$K$56,0)),"Unknown"))</f>
        <v/>
      </c>
      <c r="I1493" s="8" t="str">
        <f t="shared" si="69"/>
        <v/>
      </c>
      <c r="J1493" s="8" t="str">
        <f t="shared" si="70"/>
        <v/>
      </c>
      <c r="K1493" s="24"/>
      <c r="L1493" s="7" t="str">
        <f t="shared" si="71"/>
        <v/>
      </c>
    </row>
    <row r="1494" spans="1:12" x14ac:dyDescent="0.25">
      <c r="A1494" s="23"/>
      <c r="B1494" s="24"/>
      <c r="C1494" s="24"/>
      <c r="D1494" s="24"/>
      <c r="E1494" s="24"/>
      <c r="F1494" s="24"/>
      <c r="G1494" s="25"/>
      <c r="H1494" s="16" t="str">
        <f>IF(C1494="","",IFERROR(INDEX(Settings!$L$4:$L$56,MATCH(C1494,Settings!$K$4:$K$56,0)),"Unknown"))</f>
        <v/>
      </c>
      <c r="I1494" s="8" t="str">
        <f t="shared" si="69"/>
        <v/>
      </c>
      <c r="J1494" s="8" t="str">
        <f t="shared" si="70"/>
        <v/>
      </c>
      <c r="K1494" s="24"/>
      <c r="L1494" s="7" t="str">
        <f t="shared" si="71"/>
        <v/>
      </c>
    </row>
    <row r="1495" spans="1:12" x14ac:dyDescent="0.25">
      <c r="A1495" s="23"/>
      <c r="B1495" s="24"/>
      <c r="C1495" s="24"/>
      <c r="D1495" s="24"/>
      <c r="E1495" s="24"/>
      <c r="F1495" s="24"/>
      <c r="G1495" s="25"/>
      <c r="H1495" s="16" t="str">
        <f>IF(C1495="","",IFERROR(INDEX(Settings!$L$4:$L$56,MATCH(C1495,Settings!$K$4:$K$56,0)),"Unknown"))</f>
        <v/>
      </c>
      <c r="I1495" s="8" t="str">
        <f t="shared" si="69"/>
        <v/>
      </c>
      <c r="J1495" s="8" t="str">
        <f t="shared" si="70"/>
        <v/>
      </c>
      <c r="K1495" s="24"/>
      <c r="L1495" s="7" t="str">
        <f t="shared" si="71"/>
        <v/>
      </c>
    </row>
    <row r="1496" spans="1:12" x14ac:dyDescent="0.25">
      <c r="A1496" s="23"/>
      <c r="B1496" s="24"/>
      <c r="C1496" s="24"/>
      <c r="D1496" s="24"/>
      <c r="E1496" s="24"/>
      <c r="F1496" s="24"/>
      <c r="G1496" s="25"/>
      <c r="H1496" s="16" t="str">
        <f>IF(C1496="","",IFERROR(INDEX(Settings!$L$4:$L$56,MATCH(C1496,Settings!$K$4:$K$56,0)),"Unknown"))</f>
        <v/>
      </c>
      <c r="I1496" s="8" t="str">
        <f t="shared" si="69"/>
        <v/>
      </c>
      <c r="J1496" s="8" t="str">
        <f t="shared" si="70"/>
        <v/>
      </c>
      <c r="K1496" s="24"/>
      <c r="L1496" s="7" t="str">
        <f t="shared" si="71"/>
        <v/>
      </c>
    </row>
    <row r="1497" spans="1:12" x14ac:dyDescent="0.25">
      <c r="A1497" s="23"/>
      <c r="B1497" s="24"/>
      <c r="C1497" s="24"/>
      <c r="D1497" s="24"/>
      <c r="E1497" s="24"/>
      <c r="F1497" s="24"/>
      <c r="G1497" s="25"/>
      <c r="H1497" s="16" t="str">
        <f>IF(C1497="","",IFERROR(INDEX(Settings!$L$4:$L$56,MATCH(C1497,Settings!$K$4:$K$56,0)),"Unknown"))</f>
        <v/>
      </c>
      <c r="I1497" s="8" t="str">
        <f t="shared" si="69"/>
        <v/>
      </c>
      <c r="J1497" s="8" t="str">
        <f t="shared" si="70"/>
        <v/>
      </c>
      <c r="K1497" s="24"/>
      <c r="L1497" s="7" t="str">
        <f t="shared" si="71"/>
        <v/>
      </c>
    </row>
    <row r="1498" spans="1:12" x14ac:dyDescent="0.25">
      <c r="A1498" s="23"/>
      <c r="B1498" s="24"/>
      <c r="C1498" s="24"/>
      <c r="D1498" s="24"/>
      <c r="E1498" s="24"/>
      <c r="F1498" s="24"/>
      <c r="G1498" s="25"/>
      <c r="H1498" s="16" t="str">
        <f>IF(C1498="","",IFERROR(INDEX(Settings!$L$4:$L$56,MATCH(C1498,Settings!$K$4:$K$56,0)),"Unknown"))</f>
        <v/>
      </c>
      <c r="I1498" s="8" t="str">
        <f t="shared" si="69"/>
        <v/>
      </c>
      <c r="J1498" s="8" t="str">
        <f t="shared" si="70"/>
        <v/>
      </c>
      <c r="K1498" s="24"/>
      <c r="L1498" s="7" t="str">
        <f t="shared" si="71"/>
        <v/>
      </c>
    </row>
    <row r="1499" spans="1:12" x14ac:dyDescent="0.25">
      <c r="A1499" s="23"/>
      <c r="B1499" s="24"/>
      <c r="C1499" s="24"/>
      <c r="D1499" s="24"/>
      <c r="E1499" s="24"/>
      <c r="F1499" s="24"/>
      <c r="G1499" s="25"/>
      <c r="H1499" s="16" t="str">
        <f>IF(C1499="","",IFERROR(INDEX(Settings!$L$4:$L$56,MATCH(C1499,Settings!$K$4:$K$56,0)),"Unknown"))</f>
        <v/>
      </c>
      <c r="I1499" s="8" t="str">
        <f t="shared" si="69"/>
        <v/>
      </c>
      <c r="J1499" s="8" t="str">
        <f t="shared" si="70"/>
        <v/>
      </c>
      <c r="K1499" s="24"/>
      <c r="L1499" s="7" t="str">
        <f t="shared" si="71"/>
        <v/>
      </c>
    </row>
    <row r="1500" spans="1:12" x14ac:dyDescent="0.25">
      <c r="A1500" s="23"/>
      <c r="B1500" s="24"/>
      <c r="C1500" s="24"/>
      <c r="D1500" s="24"/>
      <c r="E1500" s="24"/>
      <c r="F1500" s="24"/>
      <c r="G1500" s="25"/>
      <c r="H1500" s="16" t="str">
        <f>IF(C1500="","",IFERROR(INDEX(Settings!$L$4:$L$56,MATCH(C1500,Settings!$K$4:$K$56,0)),"Unknown"))</f>
        <v/>
      </c>
      <c r="I1500" s="8" t="str">
        <f t="shared" si="69"/>
        <v/>
      </c>
      <c r="J1500" s="8" t="str">
        <f t="shared" si="70"/>
        <v/>
      </c>
      <c r="K1500" s="24"/>
      <c r="L1500" s="7" t="str">
        <f t="shared" si="71"/>
        <v/>
      </c>
    </row>
    <row r="1501" spans="1:12" x14ac:dyDescent="0.25">
      <c r="A1501" s="23"/>
      <c r="B1501" s="24"/>
      <c r="C1501" s="24"/>
      <c r="D1501" s="24"/>
      <c r="E1501" s="24"/>
      <c r="F1501" s="24"/>
      <c r="G1501" s="25"/>
      <c r="H1501" s="16" t="str">
        <f>IF(C1501="","",IFERROR(INDEX(Settings!$L$4:$L$56,MATCH(C1501,Settings!$K$4:$K$56,0)),"Unknown"))</f>
        <v/>
      </c>
      <c r="I1501" s="8" t="str">
        <f t="shared" si="69"/>
        <v/>
      </c>
      <c r="J1501" s="8" t="str">
        <f t="shared" si="70"/>
        <v/>
      </c>
      <c r="K1501" s="24"/>
      <c r="L1501" s="7" t="str">
        <f t="shared" si="71"/>
        <v/>
      </c>
    </row>
    <row r="1502" spans="1:12" x14ac:dyDescent="0.25">
      <c r="A1502" s="23"/>
      <c r="B1502" s="24"/>
      <c r="C1502" s="24"/>
      <c r="D1502" s="24"/>
      <c r="E1502" s="24"/>
      <c r="F1502" s="24"/>
      <c r="G1502" s="25"/>
      <c r="H1502" s="16" t="str">
        <f>IF(C1502="","",IFERROR(INDEX(Settings!$L$4:$L$56,MATCH(C1502,Settings!$K$4:$K$56,0)),"Unknown"))</f>
        <v/>
      </c>
      <c r="I1502" s="8" t="str">
        <f t="shared" si="69"/>
        <v/>
      </c>
      <c r="J1502" s="8" t="str">
        <f t="shared" si="70"/>
        <v/>
      </c>
      <c r="K1502" s="24"/>
      <c r="L1502" s="7" t="str">
        <f t="shared" si="71"/>
        <v/>
      </c>
    </row>
    <row r="1503" spans="1:12" x14ac:dyDescent="0.25">
      <c r="A1503" s="23"/>
      <c r="B1503" s="24"/>
      <c r="C1503" s="24"/>
      <c r="D1503" s="24"/>
      <c r="E1503" s="24"/>
      <c r="F1503" s="24"/>
      <c r="G1503" s="25"/>
      <c r="H1503" s="16" t="str">
        <f>IF(C1503="","",IFERROR(INDEX(Settings!$L$4:$L$56,MATCH(C1503,Settings!$K$4:$K$56,0)),"Unknown"))</f>
        <v/>
      </c>
      <c r="I1503" s="8" t="str">
        <f t="shared" si="69"/>
        <v/>
      </c>
      <c r="J1503" s="8" t="str">
        <f t="shared" si="70"/>
        <v/>
      </c>
      <c r="K1503" s="24"/>
      <c r="L1503" s="7" t="str">
        <f t="shared" si="71"/>
        <v/>
      </c>
    </row>
    <row r="1504" spans="1:12" x14ac:dyDescent="0.25">
      <c r="A1504" s="23"/>
      <c r="B1504" s="24"/>
      <c r="C1504" s="24"/>
      <c r="D1504" s="24"/>
      <c r="E1504" s="24"/>
      <c r="F1504" s="24"/>
      <c r="G1504" s="25"/>
      <c r="H1504" s="16" t="str">
        <f>IF(C1504="","",IFERROR(INDEX(Settings!$L$4:$L$56,MATCH(C1504,Settings!$K$4:$K$56,0)),"Unknown"))</f>
        <v/>
      </c>
      <c r="I1504" s="8" t="str">
        <f t="shared" si="69"/>
        <v/>
      </c>
      <c r="J1504" s="8" t="str">
        <f t="shared" si="70"/>
        <v/>
      </c>
      <c r="K1504" s="24"/>
      <c r="L1504" s="7" t="str">
        <f t="shared" si="71"/>
        <v/>
      </c>
    </row>
    <row r="1505" spans="1:12" x14ac:dyDescent="0.25">
      <c r="A1505" s="23"/>
      <c r="B1505" s="24"/>
      <c r="C1505" s="24"/>
      <c r="D1505" s="24"/>
      <c r="E1505" s="24"/>
      <c r="F1505" s="24"/>
      <c r="G1505" s="25"/>
      <c r="H1505" s="16" t="str">
        <f>IF(C1505="","",IFERROR(INDEX(Settings!$L$4:$L$56,MATCH(C1505,Settings!$K$4:$K$56,0)),"Unknown"))</f>
        <v/>
      </c>
      <c r="I1505" s="8" t="str">
        <f t="shared" si="69"/>
        <v/>
      </c>
      <c r="J1505" s="8" t="str">
        <f t="shared" si="70"/>
        <v/>
      </c>
      <c r="K1505" s="24"/>
      <c r="L1505" s="7" t="str">
        <f t="shared" si="71"/>
        <v/>
      </c>
    </row>
    <row r="1506" spans="1:12" x14ac:dyDescent="0.25">
      <c r="A1506" s="23"/>
      <c r="B1506" s="24"/>
      <c r="C1506" s="24"/>
      <c r="D1506" s="24"/>
      <c r="E1506" s="24"/>
      <c r="F1506" s="24"/>
      <c r="G1506" s="25"/>
      <c r="H1506" s="16" t="str">
        <f>IF(C1506="","",IFERROR(INDEX(Settings!$L$4:$L$56,MATCH(C1506,Settings!$K$4:$K$56,0)),"Unknown"))</f>
        <v/>
      </c>
      <c r="I1506" s="8" t="str">
        <f t="shared" si="69"/>
        <v/>
      </c>
      <c r="J1506" s="8" t="str">
        <f t="shared" si="70"/>
        <v/>
      </c>
      <c r="K1506" s="24"/>
      <c r="L1506" s="7" t="str">
        <f t="shared" si="71"/>
        <v/>
      </c>
    </row>
    <row r="1507" spans="1:12" x14ac:dyDescent="0.25">
      <c r="A1507" s="23"/>
      <c r="B1507" s="24"/>
      <c r="C1507" s="24"/>
      <c r="D1507" s="24"/>
      <c r="E1507" s="24"/>
      <c r="F1507" s="24"/>
      <c r="G1507" s="25"/>
      <c r="H1507" s="16" t="str">
        <f>IF(C1507="","",IFERROR(INDEX(Settings!$L$4:$L$56,MATCH(C1507,Settings!$K$4:$K$56,0)),"Unknown"))</f>
        <v/>
      </c>
      <c r="I1507" s="8" t="str">
        <f t="shared" si="69"/>
        <v/>
      </c>
      <c r="J1507" s="8" t="str">
        <f t="shared" si="70"/>
        <v/>
      </c>
      <c r="K1507" s="24"/>
      <c r="L1507" s="7" t="str">
        <f t="shared" si="71"/>
        <v/>
      </c>
    </row>
    <row r="1508" spans="1:12" x14ac:dyDescent="0.25">
      <c r="A1508" s="23"/>
      <c r="B1508" s="24"/>
      <c r="C1508" s="24"/>
      <c r="D1508" s="24"/>
      <c r="E1508" s="24"/>
      <c r="F1508" s="24"/>
      <c r="G1508" s="25"/>
      <c r="H1508" s="16" t="str">
        <f>IF(C1508="","",IFERROR(INDEX(Settings!$L$4:$L$56,MATCH(C1508,Settings!$K$4:$K$56,0)),"Unknown"))</f>
        <v/>
      </c>
      <c r="I1508" s="8" t="str">
        <f t="shared" si="69"/>
        <v/>
      </c>
      <c r="J1508" s="8" t="str">
        <f t="shared" si="70"/>
        <v/>
      </c>
      <c r="K1508" s="24"/>
      <c r="L1508" s="7" t="str">
        <f t="shared" si="71"/>
        <v/>
      </c>
    </row>
    <row r="1509" spans="1:12" x14ac:dyDescent="0.25">
      <c r="A1509" s="23"/>
      <c r="B1509" s="24"/>
      <c r="C1509" s="24"/>
      <c r="D1509" s="24"/>
      <c r="E1509" s="24"/>
      <c r="F1509" s="24"/>
      <c r="G1509" s="25"/>
      <c r="H1509" s="16" t="str">
        <f>IF(C1509="","",IFERROR(INDEX(Settings!$L$4:$L$56,MATCH(C1509,Settings!$K$4:$K$56,0)),"Unknown"))</f>
        <v/>
      </c>
      <c r="I1509" s="8" t="str">
        <f t="shared" si="69"/>
        <v/>
      </c>
      <c r="J1509" s="8" t="str">
        <f t="shared" si="70"/>
        <v/>
      </c>
      <c r="K1509" s="24"/>
      <c r="L1509" s="7" t="str">
        <f t="shared" si="71"/>
        <v/>
      </c>
    </row>
    <row r="1510" spans="1:12" x14ac:dyDescent="0.25">
      <c r="A1510" s="23"/>
      <c r="B1510" s="24"/>
      <c r="C1510" s="24"/>
      <c r="D1510" s="24"/>
      <c r="E1510" s="24"/>
      <c r="F1510" s="24"/>
      <c r="G1510" s="25"/>
      <c r="H1510" s="16" t="str">
        <f>IF(C1510="","",IFERROR(INDEX(Settings!$L$4:$L$56,MATCH(C1510,Settings!$K$4:$K$56,0)),"Unknown"))</f>
        <v/>
      </c>
      <c r="I1510" s="8" t="str">
        <f t="shared" si="69"/>
        <v/>
      </c>
      <c r="J1510" s="8" t="str">
        <f t="shared" si="70"/>
        <v/>
      </c>
      <c r="K1510" s="24"/>
      <c r="L1510" s="7" t="str">
        <f t="shared" si="71"/>
        <v/>
      </c>
    </row>
    <row r="1511" spans="1:12" x14ac:dyDescent="0.25">
      <c r="A1511" s="23"/>
      <c r="B1511" s="24"/>
      <c r="C1511" s="24"/>
      <c r="D1511" s="24"/>
      <c r="E1511" s="24"/>
      <c r="F1511" s="24"/>
      <c r="G1511" s="25"/>
      <c r="H1511" s="16" t="str">
        <f>IF(C1511="","",IFERROR(INDEX(Settings!$L$4:$L$56,MATCH(C1511,Settings!$K$4:$K$56,0)),"Unknown"))</f>
        <v/>
      </c>
      <c r="I1511" s="8" t="str">
        <f t="shared" si="69"/>
        <v/>
      </c>
      <c r="J1511" s="8" t="str">
        <f t="shared" si="70"/>
        <v/>
      </c>
      <c r="K1511" s="24"/>
      <c r="L1511" s="7" t="str">
        <f t="shared" si="71"/>
        <v/>
      </c>
    </row>
    <row r="1512" spans="1:12" x14ac:dyDescent="0.25">
      <c r="A1512" s="23"/>
      <c r="B1512" s="24"/>
      <c r="C1512" s="24"/>
      <c r="D1512" s="24"/>
      <c r="E1512" s="24"/>
      <c r="F1512" s="24"/>
      <c r="G1512" s="25"/>
      <c r="H1512" s="16" t="str">
        <f>IF(C1512="","",IFERROR(INDEX(Settings!$L$4:$L$56,MATCH(C1512,Settings!$K$4:$K$56,0)),"Unknown"))</f>
        <v/>
      </c>
      <c r="I1512" s="8" t="str">
        <f t="shared" si="69"/>
        <v/>
      </c>
      <c r="J1512" s="8" t="str">
        <f t="shared" si="70"/>
        <v/>
      </c>
      <c r="K1512" s="24"/>
      <c r="L1512" s="7" t="str">
        <f t="shared" si="71"/>
        <v/>
      </c>
    </row>
    <row r="1513" spans="1:12" x14ac:dyDescent="0.25">
      <c r="A1513" s="23"/>
      <c r="B1513" s="24"/>
      <c r="C1513" s="24"/>
      <c r="D1513" s="24"/>
      <c r="E1513" s="24"/>
      <c r="F1513" s="24"/>
      <c r="G1513" s="25"/>
      <c r="H1513" s="16" t="str">
        <f>IF(C1513="","",IFERROR(INDEX(Settings!$L$4:$L$56,MATCH(C1513,Settings!$K$4:$K$56,0)),"Unknown"))</f>
        <v/>
      </c>
      <c r="I1513" s="8" t="str">
        <f t="shared" si="69"/>
        <v/>
      </c>
      <c r="J1513" s="8" t="str">
        <f t="shared" si="70"/>
        <v/>
      </c>
      <c r="K1513" s="24"/>
      <c r="L1513" s="7" t="str">
        <f t="shared" si="71"/>
        <v/>
      </c>
    </row>
    <row r="1514" spans="1:12" x14ac:dyDescent="0.25">
      <c r="A1514" s="23"/>
      <c r="B1514" s="24"/>
      <c r="C1514" s="24"/>
      <c r="D1514" s="24"/>
      <c r="E1514" s="24"/>
      <c r="F1514" s="24"/>
      <c r="G1514" s="25"/>
      <c r="H1514" s="16" t="str">
        <f>IF(C1514="","",IFERROR(INDEX(Settings!$L$4:$L$56,MATCH(C1514,Settings!$K$4:$K$56,0)),"Unknown"))</f>
        <v/>
      </c>
      <c r="I1514" s="8" t="str">
        <f t="shared" si="69"/>
        <v/>
      </c>
      <c r="J1514" s="8" t="str">
        <f t="shared" si="70"/>
        <v/>
      </c>
      <c r="K1514" s="24"/>
      <c r="L1514" s="7" t="str">
        <f t="shared" si="71"/>
        <v/>
      </c>
    </row>
    <row r="1515" spans="1:12" x14ac:dyDescent="0.25">
      <c r="A1515" s="23"/>
      <c r="B1515" s="24"/>
      <c r="C1515" s="24"/>
      <c r="D1515" s="24"/>
      <c r="E1515" s="24"/>
      <c r="F1515" s="24"/>
      <c r="G1515" s="25"/>
      <c r="H1515" s="16" t="str">
        <f>IF(C1515="","",IFERROR(INDEX(Settings!$L$4:$L$56,MATCH(C1515,Settings!$K$4:$K$56,0)),"Unknown"))</f>
        <v/>
      </c>
      <c r="I1515" s="8" t="str">
        <f t="shared" si="69"/>
        <v/>
      </c>
      <c r="J1515" s="8" t="str">
        <f t="shared" si="70"/>
        <v/>
      </c>
      <c r="K1515" s="24"/>
      <c r="L1515" s="7" t="str">
        <f t="shared" si="71"/>
        <v/>
      </c>
    </row>
    <row r="1516" spans="1:12" x14ac:dyDescent="0.25">
      <c r="A1516" s="23"/>
      <c r="B1516" s="24"/>
      <c r="C1516" s="24"/>
      <c r="D1516" s="24"/>
      <c r="E1516" s="24"/>
      <c r="F1516" s="24"/>
      <c r="G1516" s="25"/>
      <c r="H1516" s="16" t="str">
        <f>IF(C1516="","",IFERROR(INDEX(Settings!$L$4:$L$56,MATCH(C1516,Settings!$K$4:$K$56,0)),"Unknown"))</f>
        <v/>
      </c>
      <c r="I1516" s="8" t="str">
        <f t="shared" si="69"/>
        <v/>
      </c>
      <c r="J1516" s="8" t="str">
        <f t="shared" si="70"/>
        <v/>
      </c>
      <c r="K1516" s="24"/>
      <c r="L1516" s="7" t="str">
        <f t="shared" si="71"/>
        <v/>
      </c>
    </row>
    <row r="1517" spans="1:12" x14ac:dyDescent="0.25">
      <c r="A1517" s="23"/>
      <c r="B1517" s="24"/>
      <c r="C1517" s="24"/>
      <c r="D1517" s="24"/>
      <c r="E1517" s="24"/>
      <c r="F1517" s="24"/>
      <c r="G1517" s="25"/>
      <c r="H1517" s="16" t="str">
        <f>IF(C1517="","",IFERROR(INDEX(Settings!$L$4:$L$56,MATCH(C1517,Settings!$K$4:$K$56,0)),"Unknown"))</f>
        <v/>
      </c>
      <c r="I1517" s="8" t="str">
        <f t="shared" si="69"/>
        <v/>
      </c>
      <c r="J1517" s="8" t="str">
        <f t="shared" si="70"/>
        <v/>
      </c>
      <c r="K1517" s="24"/>
      <c r="L1517" s="7" t="str">
        <f t="shared" si="71"/>
        <v/>
      </c>
    </row>
    <row r="1518" spans="1:12" x14ac:dyDescent="0.25">
      <c r="A1518" s="23"/>
      <c r="B1518" s="24"/>
      <c r="C1518" s="24"/>
      <c r="D1518" s="24"/>
      <c r="E1518" s="24"/>
      <c r="F1518" s="24"/>
      <c r="G1518" s="25"/>
      <c r="H1518" s="16" t="str">
        <f>IF(C1518="","",IFERROR(INDEX(Settings!$L$4:$L$56,MATCH(C1518,Settings!$K$4:$K$56,0)),"Unknown"))</f>
        <v/>
      </c>
      <c r="I1518" s="8" t="str">
        <f t="shared" si="69"/>
        <v/>
      </c>
      <c r="J1518" s="8" t="str">
        <f t="shared" si="70"/>
        <v/>
      </c>
      <c r="K1518" s="24"/>
      <c r="L1518" s="7" t="str">
        <f t="shared" si="71"/>
        <v/>
      </c>
    </row>
    <row r="1519" spans="1:12" x14ac:dyDescent="0.25">
      <c r="A1519" s="23"/>
      <c r="B1519" s="24"/>
      <c r="C1519" s="24"/>
      <c r="D1519" s="24"/>
      <c r="E1519" s="24"/>
      <c r="F1519" s="24"/>
      <c r="G1519" s="25"/>
      <c r="H1519" s="16" t="str">
        <f>IF(C1519="","",IFERROR(INDEX(Settings!$L$4:$L$56,MATCH(C1519,Settings!$K$4:$K$56,0)),"Unknown"))</f>
        <v/>
      </c>
      <c r="I1519" s="8" t="str">
        <f t="shared" si="69"/>
        <v/>
      </c>
      <c r="J1519" s="8" t="str">
        <f t="shared" si="70"/>
        <v/>
      </c>
      <c r="K1519" s="24"/>
      <c r="L1519" s="7" t="str">
        <f t="shared" si="71"/>
        <v/>
      </c>
    </row>
    <row r="1520" spans="1:12" x14ac:dyDescent="0.25">
      <c r="A1520" s="23"/>
      <c r="B1520" s="24"/>
      <c r="C1520" s="24"/>
      <c r="D1520" s="24"/>
      <c r="E1520" s="24"/>
      <c r="F1520" s="24"/>
      <c r="G1520" s="25"/>
      <c r="H1520" s="16" t="str">
        <f>IF(C1520="","",IFERROR(INDEX(Settings!$L$4:$L$56,MATCH(C1520,Settings!$K$4:$K$56,0)),"Unknown"))</f>
        <v/>
      </c>
      <c r="I1520" s="8" t="str">
        <f t="shared" si="69"/>
        <v/>
      </c>
      <c r="J1520" s="8" t="str">
        <f t="shared" si="70"/>
        <v/>
      </c>
      <c r="K1520" s="24"/>
      <c r="L1520" s="7" t="str">
        <f t="shared" si="71"/>
        <v/>
      </c>
    </row>
    <row r="1521" spans="1:12" x14ac:dyDescent="0.25">
      <c r="A1521" s="23"/>
      <c r="B1521" s="24"/>
      <c r="C1521" s="24"/>
      <c r="D1521" s="24"/>
      <c r="E1521" s="24"/>
      <c r="F1521" s="24"/>
      <c r="G1521" s="25"/>
      <c r="H1521" s="16" t="str">
        <f>IF(C1521="","",IFERROR(INDEX(Settings!$L$4:$L$56,MATCH(C1521,Settings!$K$4:$K$56,0)),"Unknown"))</f>
        <v/>
      </c>
      <c r="I1521" s="8" t="str">
        <f t="shared" si="69"/>
        <v/>
      </c>
      <c r="J1521" s="8" t="str">
        <f t="shared" si="70"/>
        <v/>
      </c>
      <c r="K1521" s="24"/>
      <c r="L1521" s="7" t="str">
        <f t="shared" si="71"/>
        <v/>
      </c>
    </row>
    <row r="1522" spans="1:12" x14ac:dyDescent="0.25">
      <c r="A1522" s="23"/>
      <c r="B1522" s="24"/>
      <c r="C1522" s="24"/>
      <c r="D1522" s="24"/>
      <c r="E1522" s="24"/>
      <c r="F1522" s="24"/>
      <c r="G1522" s="25"/>
      <c r="H1522" s="16" t="str">
        <f>IF(C1522="","",IFERROR(INDEX(Settings!$L$4:$L$56,MATCH(C1522,Settings!$K$4:$K$56,0)),"Unknown"))</f>
        <v/>
      </c>
      <c r="I1522" s="8" t="str">
        <f t="shared" si="69"/>
        <v/>
      </c>
      <c r="J1522" s="8" t="str">
        <f t="shared" si="70"/>
        <v/>
      </c>
      <c r="K1522" s="24"/>
      <c r="L1522" s="7" t="str">
        <f t="shared" si="71"/>
        <v/>
      </c>
    </row>
    <row r="1523" spans="1:12" x14ac:dyDescent="0.25">
      <c r="A1523" s="23"/>
      <c r="B1523" s="24"/>
      <c r="C1523" s="24"/>
      <c r="D1523" s="24"/>
      <c r="E1523" s="24"/>
      <c r="F1523" s="24"/>
      <c r="G1523" s="25"/>
      <c r="H1523" s="16" t="str">
        <f>IF(C1523="","",IFERROR(INDEX(Settings!$L$4:$L$56,MATCH(C1523,Settings!$K$4:$K$56,0)),"Unknown"))</f>
        <v/>
      </c>
      <c r="I1523" s="8" t="str">
        <f t="shared" si="69"/>
        <v/>
      </c>
      <c r="J1523" s="8" t="str">
        <f t="shared" si="70"/>
        <v/>
      </c>
      <c r="K1523" s="24"/>
      <c r="L1523" s="7" t="str">
        <f t="shared" si="71"/>
        <v/>
      </c>
    </row>
    <row r="1524" spans="1:12" x14ac:dyDescent="0.25">
      <c r="A1524" s="23"/>
      <c r="B1524" s="24"/>
      <c r="C1524" s="24"/>
      <c r="D1524" s="24"/>
      <c r="E1524" s="24"/>
      <c r="F1524" s="24"/>
      <c r="G1524" s="25"/>
      <c r="H1524" s="16" t="str">
        <f>IF(C1524="","",IFERROR(INDEX(Settings!$L$4:$L$56,MATCH(C1524,Settings!$K$4:$K$56,0)),"Unknown"))</f>
        <v/>
      </c>
      <c r="I1524" s="8" t="str">
        <f t="shared" si="69"/>
        <v/>
      </c>
      <c r="J1524" s="8" t="str">
        <f t="shared" si="70"/>
        <v/>
      </c>
      <c r="K1524" s="24"/>
      <c r="L1524" s="7" t="str">
        <f t="shared" si="71"/>
        <v/>
      </c>
    </row>
    <row r="1525" spans="1:12" x14ac:dyDescent="0.25">
      <c r="A1525" s="23"/>
      <c r="B1525" s="24"/>
      <c r="C1525" s="24"/>
      <c r="D1525" s="24"/>
      <c r="E1525" s="24"/>
      <c r="F1525" s="24"/>
      <c r="G1525" s="25"/>
      <c r="H1525" s="16" t="str">
        <f>IF(C1525="","",IFERROR(INDEX(Settings!$L$4:$L$56,MATCH(C1525,Settings!$K$4:$K$56,0)),"Unknown"))</f>
        <v/>
      </c>
      <c r="I1525" s="8" t="str">
        <f t="shared" si="69"/>
        <v/>
      </c>
      <c r="J1525" s="8" t="str">
        <f t="shared" si="70"/>
        <v/>
      </c>
      <c r="K1525" s="24"/>
      <c r="L1525" s="7" t="str">
        <f t="shared" si="71"/>
        <v/>
      </c>
    </row>
    <row r="1526" spans="1:12" x14ac:dyDescent="0.25">
      <c r="A1526" s="23"/>
      <c r="B1526" s="24"/>
      <c r="C1526" s="24"/>
      <c r="D1526" s="24"/>
      <c r="E1526" s="24"/>
      <c r="F1526" s="24"/>
      <c r="G1526" s="25"/>
      <c r="H1526" s="16" t="str">
        <f>IF(C1526="","",IFERROR(INDEX(Settings!$L$4:$L$56,MATCH(C1526,Settings!$K$4:$K$56,0)),"Unknown"))</f>
        <v/>
      </c>
      <c r="I1526" s="8" t="str">
        <f t="shared" si="69"/>
        <v/>
      </c>
      <c r="J1526" s="8" t="str">
        <f t="shared" si="70"/>
        <v/>
      </c>
      <c r="K1526" s="24"/>
      <c r="L1526" s="7" t="str">
        <f t="shared" si="71"/>
        <v/>
      </c>
    </row>
    <row r="1527" spans="1:12" x14ac:dyDescent="0.25">
      <c r="A1527" s="23"/>
      <c r="B1527" s="24"/>
      <c r="C1527" s="24"/>
      <c r="D1527" s="24"/>
      <c r="E1527" s="24"/>
      <c r="F1527" s="24"/>
      <c r="G1527" s="25"/>
      <c r="H1527" s="16" t="str">
        <f>IF(C1527="","",IFERROR(INDEX(Settings!$L$4:$L$56,MATCH(C1527,Settings!$K$4:$K$56,0)),"Unknown"))</f>
        <v/>
      </c>
      <c r="I1527" s="8" t="str">
        <f t="shared" si="69"/>
        <v/>
      </c>
      <c r="J1527" s="8" t="str">
        <f t="shared" si="70"/>
        <v/>
      </c>
      <c r="K1527" s="24"/>
      <c r="L1527" s="7" t="str">
        <f t="shared" si="71"/>
        <v/>
      </c>
    </row>
    <row r="1528" spans="1:12" x14ac:dyDescent="0.25">
      <c r="A1528" s="23"/>
      <c r="B1528" s="24"/>
      <c r="C1528" s="24"/>
      <c r="D1528" s="24"/>
      <c r="E1528" s="24"/>
      <c r="F1528" s="24"/>
      <c r="G1528" s="25"/>
      <c r="H1528" s="16" t="str">
        <f>IF(C1528="","",IFERROR(INDEX(Settings!$L$4:$L$56,MATCH(C1528,Settings!$K$4:$K$56,0)),"Unknown"))</f>
        <v/>
      </c>
      <c r="I1528" s="8" t="str">
        <f t="shared" si="69"/>
        <v/>
      </c>
      <c r="J1528" s="8" t="str">
        <f t="shared" si="70"/>
        <v/>
      </c>
      <c r="K1528" s="24"/>
      <c r="L1528" s="7" t="str">
        <f t="shared" si="71"/>
        <v/>
      </c>
    </row>
    <row r="1529" spans="1:12" x14ac:dyDescent="0.25">
      <c r="A1529" s="23"/>
      <c r="B1529" s="24"/>
      <c r="C1529" s="24"/>
      <c r="D1529" s="24"/>
      <c r="E1529" s="24"/>
      <c r="F1529" s="24"/>
      <c r="G1529" s="25"/>
      <c r="H1529" s="16" t="str">
        <f>IF(C1529="","",IFERROR(INDEX(Settings!$L$4:$L$56,MATCH(C1529,Settings!$K$4:$K$56,0)),"Unknown"))</f>
        <v/>
      </c>
      <c r="I1529" s="8" t="str">
        <f t="shared" si="69"/>
        <v/>
      </c>
      <c r="J1529" s="8" t="str">
        <f t="shared" si="70"/>
        <v/>
      </c>
      <c r="K1529" s="24"/>
      <c r="L1529" s="7" t="str">
        <f t="shared" si="71"/>
        <v/>
      </c>
    </row>
    <row r="1530" spans="1:12" x14ac:dyDescent="0.25">
      <c r="A1530" s="23"/>
      <c r="B1530" s="24"/>
      <c r="C1530" s="24"/>
      <c r="D1530" s="24"/>
      <c r="E1530" s="24"/>
      <c r="F1530" s="24"/>
      <c r="G1530" s="25"/>
      <c r="H1530" s="16" t="str">
        <f>IF(C1530="","",IFERROR(INDEX(Settings!$L$4:$L$56,MATCH(C1530,Settings!$K$4:$K$56,0)),"Unknown"))</f>
        <v/>
      </c>
      <c r="I1530" s="8" t="str">
        <f t="shared" si="69"/>
        <v/>
      </c>
      <c r="J1530" s="8" t="str">
        <f t="shared" si="70"/>
        <v/>
      </c>
      <c r="K1530" s="24"/>
      <c r="L1530" s="7" t="str">
        <f t="shared" si="71"/>
        <v/>
      </c>
    </row>
    <row r="1531" spans="1:12" x14ac:dyDescent="0.25">
      <c r="A1531" s="23"/>
      <c r="B1531" s="24"/>
      <c r="C1531" s="24"/>
      <c r="D1531" s="24"/>
      <c r="E1531" s="24"/>
      <c r="F1531" s="24"/>
      <c r="G1531" s="25"/>
      <c r="H1531" s="16" t="str">
        <f>IF(C1531="","",IFERROR(INDEX(Settings!$L$4:$L$56,MATCH(C1531,Settings!$K$4:$K$56,0)),"Unknown"))</f>
        <v/>
      </c>
      <c r="I1531" s="8" t="str">
        <f t="shared" si="69"/>
        <v/>
      </c>
      <c r="J1531" s="8" t="str">
        <f t="shared" si="70"/>
        <v/>
      </c>
      <c r="K1531" s="24"/>
      <c r="L1531" s="7" t="str">
        <f t="shared" si="71"/>
        <v/>
      </c>
    </row>
    <row r="1532" spans="1:12" x14ac:dyDescent="0.25">
      <c r="A1532" s="23"/>
      <c r="B1532" s="24"/>
      <c r="C1532" s="24"/>
      <c r="D1532" s="24"/>
      <c r="E1532" s="24"/>
      <c r="F1532" s="24"/>
      <c r="G1532" s="25"/>
      <c r="H1532" s="16" t="str">
        <f>IF(C1532="","",IFERROR(INDEX(Settings!$L$4:$L$56,MATCH(C1532,Settings!$K$4:$K$56,0)),"Unknown"))</f>
        <v/>
      </c>
      <c r="I1532" s="8" t="str">
        <f t="shared" si="69"/>
        <v/>
      </c>
      <c r="J1532" s="8" t="str">
        <f t="shared" si="70"/>
        <v/>
      </c>
      <c r="K1532" s="24"/>
      <c r="L1532" s="7" t="str">
        <f t="shared" si="71"/>
        <v/>
      </c>
    </row>
    <row r="1533" spans="1:12" x14ac:dyDescent="0.25">
      <c r="A1533" s="23"/>
      <c r="B1533" s="24"/>
      <c r="C1533" s="24"/>
      <c r="D1533" s="24"/>
      <c r="E1533" s="24"/>
      <c r="F1533" s="24"/>
      <c r="G1533" s="25"/>
      <c r="H1533" s="16" t="str">
        <f>IF(C1533="","",IFERROR(INDEX(Settings!$L$4:$L$56,MATCH(C1533,Settings!$K$4:$K$56,0)),"Unknown"))</f>
        <v/>
      </c>
      <c r="I1533" s="8" t="str">
        <f t="shared" si="69"/>
        <v/>
      </c>
      <c r="J1533" s="8" t="str">
        <f t="shared" si="70"/>
        <v/>
      </c>
      <c r="K1533" s="24"/>
      <c r="L1533" s="7" t="str">
        <f t="shared" si="71"/>
        <v/>
      </c>
    </row>
    <row r="1534" spans="1:12" x14ac:dyDescent="0.25">
      <c r="A1534" s="23"/>
      <c r="B1534" s="24"/>
      <c r="C1534" s="24"/>
      <c r="D1534" s="24"/>
      <c r="E1534" s="24"/>
      <c r="F1534" s="24"/>
      <c r="G1534" s="25"/>
      <c r="H1534" s="16" t="str">
        <f>IF(C1534="","",IFERROR(INDEX(Settings!$L$4:$L$56,MATCH(C1534,Settings!$K$4:$K$56,0)),"Unknown"))</f>
        <v/>
      </c>
      <c r="I1534" s="8" t="str">
        <f t="shared" si="69"/>
        <v/>
      </c>
      <c r="J1534" s="8" t="str">
        <f t="shared" si="70"/>
        <v/>
      </c>
      <c r="K1534" s="24"/>
      <c r="L1534" s="7" t="str">
        <f t="shared" si="71"/>
        <v/>
      </c>
    </row>
    <row r="1535" spans="1:12" x14ac:dyDescent="0.25">
      <c r="A1535" s="23"/>
      <c r="B1535" s="24"/>
      <c r="C1535" s="24"/>
      <c r="D1535" s="24"/>
      <c r="E1535" s="24"/>
      <c r="F1535" s="24"/>
      <c r="G1535" s="25"/>
      <c r="H1535" s="16" t="str">
        <f>IF(C1535="","",IFERROR(INDEX(Settings!$L$4:$L$56,MATCH(C1535,Settings!$K$4:$K$56,0)),"Unknown"))</f>
        <v/>
      </c>
      <c r="I1535" s="8" t="str">
        <f t="shared" si="69"/>
        <v/>
      </c>
      <c r="J1535" s="8" t="str">
        <f t="shared" si="70"/>
        <v/>
      </c>
      <c r="K1535" s="24"/>
      <c r="L1535" s="7" t="str">
        <f t="shared" si="71"/>
        <v/>
      </c>
    </row>
    <row r="1536" spans="1:12" x14ac:dyDescent="0.25">
      <c r="A1536" s="23"/>
      <c r="B1536" s="24"/>
      <c r="C1536" s="24"/>
      <c r="D1536" s="24"/>
      <c r="E1536" s="24"/>
      <c r="F1536" s="24"/>
      <c r="G1536" s="25"/>
      <c r="H1536" s="16" t="str">
        <f>IF(C1536="","",IFERROR(INDEX(Settings!$L$4:$L$56,MATCH(C1536,Settings!$K$4:$K$56,0)),"Unknown"))</f>
        <v/>
      </c>
      <c r="I1536" s="8" t="str">
        <f t="shared" si="69"/>
        <v/>
      </c>
      <c r="J1536" s="8" t="str">
        <f t="shared" si="70"/>
        <v/>
      </c>
      <c r="K1536" s="24"/>
      <c r="L1536" s="7" t="str">
        <f t="shared" si="71"/>
        <v/>
      </c>
    </row>
    <row r="1537" spans="1:12" x14ac:dyDescent="0.25">
      <c r="A1537" s="23"/>
      <c r="B1537" s="24"/>
      <c r="C1537" s="24"/>
      <c r="D1537" s="24"/>
      <c r="E1537" s="24"/>
      <c r="F1537" s="24"/>
      <c r="G1537" s="25"/>
      <c r="H1537" s="16" t="str">
        <f>IF(C1537="","",IFERROR(INDEX(Settings!$L$4:$L$56,MATCH(C1537,Settings!$K$4:$K$56,0)),"Unknown"))</f>
        <v/>
      </c>
      <c r="I1537" s="8" t="str">
        <f t="shared" si="69"/>
        <v/>
      </c>
      <c r="J1537" s="8" t="str">
        <f t="shared" si="70"/>
        <v/>
      </c>
      <c r="K1537" s="24"/>
      <c r="L1537" s="7" t="str">
        <f t="shared" si="71"/>
        <v/>
      </c>
    </row>
    <row r="1538" spans="1:12" x14ac:dyDescent="0.25">
      <c r="A1538" s="23"/>
      <c r="B1538" s="24"/>
      <c r="C1538" s="24"/>
      <c r="D1538" s="24"/>
      <c r="E1538" s="24"/>
      <c r="F1538" s="24"/>
      <c r="G1538" s="25"/>
      <c r="H1538" s="16" t="str">
        <f>IF(C1538="","",IFERROR(INDEX(Settings!$L$4:$L$56,MATCH(C1538,Settings!$K$4:$K$56,0)),"Unknown"))</f>
        <v/>
      </c>
      <c r="I1538" s="8" t="str">
        <f t="shared" si="69"/>
        <v/>
      </c>
      <c r="J1538" s="8" t="str">
        <f t="shared" si="70"/>
        <v/>
      </c>
      <c r="K1538" s="24"/>
      <c r="L1538" s="7" t="str">
        <f t="shared" si="71"/>
        <v/>
      </c>
    </row>
    <row r="1539" spans="1:12" x14ac:dyDescent="0.25">
      <c r="A1539" s="23"/>
      <c r="B1539" s="24"/>
      <c r="C1539" s="24"/>
      <c r="D1539" s="24"/>
      <c r="E1539" s="24"/>
      <c r="F1539" s="24"/>
      <c r="G1539" s="25"/>
      <c r="H1539" s="16" t="str">
        <f>IF(C1539="","",IFERROR(INDEX(Settings!$L$4:$L$56,MATCH(C1539,Settings!$K$4:$K$56,0)),"Unknown"))</f>
        <v/>
      </c>
      <c r="I1539" s="8" t="str">
        <f t="shared" si="69"/>
        <v/>
      </c>
      <c r="J1539" s="8" t="str">
        <f t="shared" si="70"/>
        <v/>
      </c>
      <c r="K1539" s="24"/>
      <c r="L1539" s="7" t="str">
        <f t="shared" si="71"/>
        <v/>
      </c>
    </row>
    <row r="1540" spans="1:12" x14ac:dyDescent="0.25">
      <c r="A1540" s="23"/>
      <c r="B1540" s="24"/>
      <c r="C1540" s="24"/>
      <c r="D1540" s="24"/>
      <c r="E1540" s="24"/>
      <c r="F1540" s="24"/>
      <c r="G1540" s="25"/>
      <c r="H1540" s="16" t="str">
        <f>IF(C1540="","",IFERROR(INDEX(Settings!$L$4:$L$56,MATCH(C1540,Settings!$K$4:$K$56,0)),"Unknown"))</f>
        <v/>
      </c>
      <c r="I1540" s="8" t="str">
        <f t="shared" si="69"/>
        <v/>
      </c>
      <c r="J1540" s="8" t="str">
        <f t="shared" si="70"/>
        <v/>
      </c>
      <c r="K1540" s="24"/>
      <c r="L1540" s="7" t="str">
        <f t="shared" si="71"/>
        <v/>
      </c>
    </row>
    <row r="1541" spans="1:12" x14ac:dyDescent="0.25">
      <c r="A1541" s="23"/>
      <c r="B1541" s="24"/>
      <c r="C1541" s="24"/>
      <c r="D1541" s="24"/>
      <c r="E1541" s="24"/>
      <c r="F1541" s="24"/>
      <c r="G1541" s="25"/>
      <c r="H1541" s="16" t="str">
        <f>IF(C1541="","",IFERROR(INDEX(Settings!$L$4:$L$56,MATCH(C1541,Settings!$K$4:$K$56,0)),"Unknown"))</f>
        <v/>
      </c>
      <c r="I1541" s="8" t="str">
        <f t="shared" si="69"/>
        <v/>
      </c>
      <c r="J1541" s="8" t="str">
        <f t="shared" si="70"/>
        <v/>
      </c>
      <c r="K1541" s="24"/>
      <c r="L1541" s="7" t="str">
        <f t="shared" si="71"/>
        <v/>
      </c>
    </row>
    <row r="1542" spans="1:12" x14ac:dyDescent="0.25">
      <c r="A1542" s="23"/>
      <c r="B1542" s="24"/>
      <c r="C1542" s="24"/>
      <c r="D1542" s="24"/>
      <c r="E1542" s="24"/>
      <c r="F1542" s="24"/>
      <c r="G1542" s="25"/>
      <c r="H1542" s="16" t="str">
        <f>IF(C1542="","",IFERROR(INDEX(Settings!$L$4:$L$56,MATCH(C1542,Settings!$K$4:$K$56,0)),"Unknown"))</f>
        <v/>
      </c>
      <c r="I1542" s="8" t="str">
        <f t="shared" ref="I1542:I1605" si="72">IF(A1542="","",MONTH(A1542))</f>
        <v/>
      </c>
      <c r="J1542" s="8" t="str">
        <f t="shared" ref="J1542:J1605" si="73">IF(A1542="","",YEAR(A1542))</f>
        <v/>
      </c>
      <c r="K1542" s="24"/>
      <c r="L1542" s="7" t="str">
        <f t="shared" ref="L1542:L1605" si="74">IF(OR(B1542="",C1542=""),"",IF(AND(B1542="Income",H1542&lt;&gt;"Income"),"Category is not an Income category",IF(AND(B1542="Expense",H1542="Income"),"Category is an Income category","OK")))</f>
        <v/>
      </c>
    </row>
    <row r="1543" spans="1:12" x14ac:dyDescent="0.25">
      <c r="A1543" s="23"/>
      <c r="B1543" s="24"/>
      <c r="C1543" s="24"/>
      <c r="D1543" s="24"/>
      <c r="E1543" s="24"/>
      <c r="F1543" s="24"/>
      <c r="G1543" s="25"/>
      <c r="H1543" s="16" t="str">
        <f>IF(C1543="","",IFERROR(INDEX(Settings!$L$4:$L$56,MATCH(C1543,Settings!$K$4:$K$56,0)),"Unknown"))</f>
        <v/>
      </c>
      <c r="I1543" s="8" t="str">
        <f t="shared" si="72"/>
        <v/>
      </c>
      <c r="J1543" s="8" t="str">
        <f t="shared" si="73"/>
        <v/>
      </c>
      <c r="K1543" s="24"/>
      <c r="L1543" s="7" t="str">
        <f t="shared" si="74"/>
        <v/>
      </c>
    </row>
    <row r="1544" spans="1:12" x14ac:dyDescent="0.25">
      <c r="A1544" s="23"/>
      <c r="B1544" s="24"/>
      <c r="C1544" s="24"/>
      <c r="D1544" s="24"/>
      <c r="E1544" s="24"/>
      <c r="F1544" s="24"/>
      <c r="G1544" s="25"/>
      <c r="H1544" s="16" t="str">
        <f>IF(C1544="","",IFERROR(INDEX(Settings!$L$4:$L$56,MATCH(C1544,Settings!$K$4:$K$56,0)),"Unknown"))</f>
        <v/>
      </c>
      <c r="I1544" s="8" t="str">
        <f t="shared" si="72"/>
        <v/>
      </c>
      <c r="J1544" s="8" t="str">
        <f t="shared" si="73"/>
        <v/>
      </c>
      <c r="K1544" s="24"/>
      <c r="L1544" s="7" t="str">
        <f t="shared" si="74"/>
        <v/>
      </c>
    </row>
    <row r="1545" spans="1:12" x14ac:dyDescent="0.25">
      <c r="A1545" s="23"/>
      <c r="B1545" s="24"/>
      <c r="C1545" s="24"/>
      <c r="D1545" s="24"/>
      <c r="E1545" s="24"/>
      <c r="F1545" s="24"/>
      <c r="G1545" s="25"/>
      <c r="H1545" s="16" t="str">
        <f>IF(C1545="","",IFERROR(INDEX(Settings!$L$4:$L$56,MATCH(C1545,Settings!$K$4:$K$56,0)),"Unknown"))</f>
        <v/>
      </c>
      <c r="I1545" s="8" t="str">
        <f t="shared" si="72"/>
        <v/>
      </c>
      <c r="J1545" s="8" t="str">
        <f t="shared" si="73"/>
        <v/>
      </c>
      <c r="K1545" s="24"/>
      <c r="L1545" s="7" t="str">
        <f t="shared" si="74"/>
        <v/>
      </c>
    </row>
    <row r="1546" spans="1:12" x14ac:dyDescent="0.25">
      <c r="A1546" s="23"/>
      <c r="B1546" s="24"/>
      <c r="C1546" s="24"/>
      <c r="D1546" s="24"/>
      <c r="E1546" s="24"/>
      <c r="F1546" s="24"/>
      <c r="G1546" s="25"/>
      <c r="H1546" s="16" t="str">
        <f>IF(C1546="","",IFERROR(INDEX(Settings!$L$4:$L$56,MATCH(C1546,Settings!$K$4:$K$56,0)),"Unknown"))</f>
        <v/>
      </c>
      <c r="I1546" s="8" t="str">
        <f t="shared" si="72"/>
        <v/>
      </c>
      <c r="J1546" s="8" t="str">
        <f t="shared" si="73"/>
        <v/>
      </c>
      <c r="K1546" s="24"/>
      <c r="L1546" s="7" t="str">
        <f t="shared" si="74"/>
        <v/>
      </c>
    </row>
    <row r="1547" spans="1:12" x14ac:dyDescent="0.25">
      <c r="A1547" s="23"/>
      <c r="B1547" s="24"/>
      <c r="C1547" s="24"/>
      <c r="D1547" s="24"/>
      <c r="E1547" s="24"/>
      <c r="F1547" s="24"/>
      <c r="G1547" s="25"/>
      <c r="H1547" s="16" t="str">
        <f>IF(C1547="","",IFERROR(INDEX(Settings!$L$4:$L$56,MATCH(C1547,Settings!$K$4:$K$56,0)),"Unknown"))</f>
        <v/>
      </c>
      <c r="I1547" s="8" t="str">
        <f t="shared" si="72"/>
        <v/>
      </c>
      <c r="J1547" s="8" t="str">
        <f t="shared" si="73"/>
        <v/>
      </c>
      <c r="K1547" s="24"/>
      <c r="L1547" s="7" t="str">
        <f t="shared" si="74"/>
        <v/>
      </c>
    </row>
    <row r="1548" spans="1:12" x14ac:dyDescent="0.25">
      <c r="A1548" s="23"/>
      <c r="B1548" s="24"/>
      <c r="C1548" s="24"/>
      <c r="D1548" s="24"/>
      <c r="E1548" s="24"/>
      <c r="F1548" s="24"/>
      <c r="G1548" s="25"/>
      <c r="H1548" s="16" t="str">
        <f>IF(C1548="","",IFERROR(INDEX(Settings!$L$4:$L$56,MATCH(C1548,Settings!$K$4:$K$56,0)),"Unknown"))</f>
        <v/>
      </c>
      <c r="I1548" s="8" t="str">
        <f t="shared" si="72"/>
        <v/>
      </c>
      <c r="J1548" s="8" t="str">
        <f t="shared" si="73"/>
        <v/>
      </c>
      <c r="K1548" s="24"/>
      <c r="L1548" s="7" t="str">
        <f t="shared" si="74"/>
        <v/>
      </c>
    </row>
    <row r="1549" spans="1:12" x14ac:dyDescent="0.25">
      <c r="A1549" s="23"/>
      <c r="B1549" s="24"/>
      <c r="C1549" s="24"/>
      <c r="D1549" s="24"/>
      <c r="E1549" s="24"/>
      <c r="F1549" s="24"/>
      <c r="G1549" s="25"/>
      <c r="H1549" s="16" t="str">
        <f>IF(C1549="","",IFERROR(INDEX(Settings!$L$4:$L$56,MATCH(C1549,Settings!$K$4:$K$56,0)),"Unknown"))</f>
        <v/>
      </c>
      <c r="I1549" s="8" t="str">
        <f t="shared" si="72"/>
        <v/>
      </c>
      <c r="J1549" s="8" t="str">
        <f t="shared" si="73"/>
        <v/>
      </c>
      <c r="K1549" s="24"/>
      <c r="L1549" s="7" t="str">
        <f t="shared" si="74"/>
        <v/>
      </c>
    </row>
    <row r="1550" spans="1:12" x14ac:dyDescent="0.25">
      <c r="A1550" s="23"/>
      <c r="B1550" s="24"/>
      <c r="C1550" s="24"/>
      <c r="D1550" s="24"/>
      <c r="E1550" s="24"/>
      <c r="F1550" s="24"/>
      <c r="G1550" s="25"/>
      <c r="H1550" s="16" t="str">
        <f>IF(C1550="","",IFERROR(INDEX(Settings!$L$4:$L$56,MATCH(C1550,Settings!$K$4:$K$56,0)),"Unknown"))</f>
        <v/>
      </c>
      <c r="I1550" s="8" t="str">
        <f t="shared" si="72"/>
        <v/>
      </c>
      <c r="J1550" s="8" t="str">
        <f t="shared" si="73"/>
        <v/>
      </c>
      <c r="K1550" s="24"/>
      <c r="L1550" s="7" t="str">
        <f t="shared" si="74"/>
        <v/>
      </c>
    </row>
    <row r="1551" spans="1:12" x14ac:dyDescent="0.25">
      <c r="A1551" s="23"/>
      <c r="B1551" s="24"/>
      <c r="C1551" s="24"/>
      <c r="D1551" s="24"/>
      <c r="E1551" s="24"/>
      <c r="F1551" s="24"/>
      <c r="G1551" s="25"/>
      <c r="H1551" s="16" t="str">
        <f>IF(C1551="","",IFERROR(INDEX(Settings!$L$4:$L$56,MATCH(C1551,Settings!$K$4:$K$56,0)),"Unknown"))</f>
        <v/>
      </c>
      <c r="I1551" s="8" t="str">
        <f t="shared" si="72"/>
        <v/>
      </c>
      <c r="J1551" s="8" t="str">
        <f t="shared" si="73"/>
        <v/>
      </c>
      <c r="K1551" s="24"/>
      <c r="L1551" s="7" t="str">
        <f t="shared" si="74"/>
        <v/>
      </c>
    </row>
    <row r="1552" spans="1:12" x14ac:dyDescent="0.25">
      <c r="A1552" s="23"/>
      <c r="B1552" s="24"/>
      <c r="C1552" s="24"/>
      <c r="D1552" s="24"/>
      <c r="E1552" s="24"/>
      <c r="F1552" s="24"/>
      <c r="G1552" s="25"/>
      <c r="H1552" s="16" t="str">
        <f>IF(C1552="","",IFERROR(INDEX(Settings!$L$4:$L$56,MATCH(C1552,Settings!$K$4:$K$56,0)),"Unknown"))</f>
        <v/>
      </c>
      <c r="I1552" s="8" t="str">
        <f t="shared" si="72"/>
        <v/>
      </c>
      <c r="J1552" s="8" t="str">
        <f t="shared" si="73"/>
        <v/>
      </c>
      <c r="K1552" s="24"/>
      <c r="L1552" s="7" t="str">
        <f t="shared" si="74"/>
        <v/>
      </c>
    </row>
    <row r="1553" spans="1:12" x14ac:dyDescent="0.25">
      <c r="A1553" s="23"/>
      <c r="B1553" s="24"/>
      <c r="C1553" s="24"/>
      <c r="D1553" s="24"/>
      <c r="E1553" s="24"/>
      <c r="F1553" s="24"/>
      <c r="G1553" s="25"/>
      <c r="H1553" s="16" t="str">
        <f>IF(C1553="","",IFERROR(INDEX(Settings!$L$4:$L$56,MATCH(C1553,Settings!$K$4:$K$56,0)),"Unknown"))</f>
        <v/>
      </c>
      <c r="I1553" s="8" t="str">
        <f t="shared" si="72"/>
        <v/>
      </c>
      <c r="J1553" s="8" t="str">
        <f t="shared" si="73"/>
        <v/>
      </c>
      <c r="K1553" s="24"/>
      <c r="L1553" s="7" t="str">
        <f t="shared" si="74"/>
        <v/>
      </c>
    </row>
    <row r="1554" spans="1:12" x14ac:dyDescent="0.25">
      <c r="A1554" s="23"/>
      <c r="B1554" s="24"/>
      <c r="C1554" s="24"/>
      <c r="D1554" s="24"/>
      <c r="E1554" s="24"/>
      <c r="F1554" s="24"/>
      <c r="G1554" s="25"/>
      <c r="H1554" s="16" t="str">
        <f>IF(C1554="","",IFERROR(INDEX(Settings!$L$4:$L$56,MATCH(C1554,Settings!$K$4:$K$56,0)),"Unknown"))</f>
        <v/>
      </c>
      <c r="I1554" s="8" t="str">
        <f t="shared" si="72"/>
        <v/>
      </c>
      <c r="J1554" s="8" t="str">
        <f t="shared" si="73"/>
        <v/>
      </c>
      <c r="K1554" s="24"/>
      <c r="L1554" s="7" t="str">
        <f t="shared" si="74"/>
        <v/>
      </c>
    </row>
    <row r="1555" spans="1:12" x14ac:dyDescent="0.25">
      <c r="A1555" s="23"/>
      <c r="B1555" s="24"/>
      <c r="C1555" s="24"/>
      <c r="D1555" s="24"/>
      <c r="E1555" s="24"/>
      <c r="F1555" s="24"/>
      <c r="G1555" s="25"/>
      <c r="H1555" s="16" t="str">
        <f>IF(C1555="","",IFERROR(INDEX(Settings!$L$4:$L$56,MATCH(C1555,Settings!$K$4:$K$56,0)),"Unknown"))</f>
        <v/>
      </c>
      <c r="I1555" s="8" t="str">
        <f t="shared" si="72"/>
        <v/>
      </c>
      <c r="J1555" s="8" t="str">
        <f t="shared" si="73"/>
        <v/>
      </c>
      <c r="K1555" s="24"/>
      <c r="L1555" s="7" t="str">
        <f t="shared" si="74"/>
        <v/>
      </c>
    </row>
    <row r="1556" spans="1:12" x14ac:dyDescent="0.25">
      <c r="A1556" s="23"/>
      <c r="B1556" s="24"/>
      <c r="C1556" s="24"/>
      <c r="D1556" s="24"/>
      <c r="E1556" s="24"/>
      <c r="F1556" s="24"/>
      <c r="G1556" s="25"/>
      <c r="H1556" s="16" t="str">
        <f>IF(C1556="","",IFERROR(INDEX(Settings!$L$4:$L$56,MATCH(C1556,Settings!$K$4:$K$56,0)),"Unknown"))</f>
        <v/>
      </c>
      <c r="I1556" s="8" t="str">
        <f t="shared" si="72"/>
        <v/>
      </c>
      <c r="J1556" s="8" t="str">
        <f t="shared" si="73"/>
        <v/>
      </c>
      <c r="K1556" s="24"/>
      <c r="L1556" s="7" t="str">
        <f t="shared" si="74"/>
        <v/>
      </c>
    </row>
    <row r="1557" spans="1:12" x14ac:dyDescent="0.25">
      <c r="A1557" s="23"/>
      <c r="B1557" s="24"/>
      <c r="C1557" s="24"/>
      <c r="D1557" s="24"/>
      <c r="E1557" s="24"/>
      <c r="F1557" s="24"/>
      <c r="G1557" s="25"/>
      <c r="H1557" s="16" t="str">
        <f>IF(C1557="","",IFERROR(INDEX(Settings!$L$4:$L$56,MATCH(C1557,Settings!$K$4:$K$56,0)),"Unknown"))</f>
        <v/>
      </c>
      <c r="I1557" s="8" t="str">
        <f t="shared" si="72"/>
        <v/>
      </c>
      <c r="J1557" s="8" t="str">
        <f t="shared" si="73"/>
        <v/>
      </c>
      <c r="K1557" s="24"/>
      <c r="L1557" s="7" t="str">
        <f t="shared" si="74"/>
        <v/>
      </c>
    </row>
    <row r="1558" spans="1:12" x14ac:dyDescent="0.25">
      <c r="A1558" s="23"/>
      <c r="B1558" s="24"/>
      <c r="C1558" s="24"/>
      <c r="D1558" s="24"/>
      <c r="E1558" s="24"/>
      <c r="F1558" s="24"/>
      <c r="G1558" s="25"/>
      <c r="H1558" s="16" t="str">
        <f>IF(C1558="","",IFERROR(INDEX(Settings!$L$4:$L$56,MATCH(C1558,Settings!$K$4:$K$56,0)),"Unknown"))</f>
        <v/>
      </c>
      <c r="I1558" s="8" t="str">
        <f t="shared" si="72"/>
        <v/>
      </c>
      <c r="J1558" s="8" t="str">
        <f t="shared" si="73"/>
        <v/>
      </c>
      <c r="K1558" s="24"/>
      <c r="L1558" s="7" t="str">
        <f t="shared" si="74"/>
        <v/>
      </c>
    </row>
    <row r="1559" spans="1:12" x14ac:dyDescent="0.25">
      <c r="A1559" s="23"/>
      <c r="B1559" s="24"/>
      <c r="C1559" s="24"/>
      <c r="D1559" s="24"/>
      <c r="E1559" s="24"/>
      <c r="F1559" s="24"/>
      <c r="G1559" s="25"/>
      <c r="H1559" s="16" t="str">
        <f>IF(C1559="","",IFERROR(INDEX(Settings!$L$4:$L$56,MATCH(C1559,Settings!$K$4:$K$56,0)),"Unknown"))</f>
        <v/>
      </c>
      <c r="I1559" s="8" t="str">
        <f t="shared" si="72"/>
        <v/>
      </c>
      <c r="J1559" s="8" t="str">
        <f t="shared" si="73"/>
        <v/>
      </c>
      <c r="K1559" s="24"/>
      <c r="L1559" s="7" t="str">
        <f t="shared" si="74"/>
        <v/>
      </c>
    </row>
    <row r="1560" spans="1:12" x14ac:dyDescent="0.25">
      <c r="A1560" s="23"/>
      <c r="B1560" s="24"/>
      <c r="C1560" s="24"/>
      <c r="D1560" s="24"/>
      <c r="E1560" s="24"/>
      <c r="F1560" s="24"/>
      <c r="G1560" s="25"/>
      <c r="H1560" s="16" t="str">
        <f>IF(C1560="","",IFERROR(INDEX(Settings!$L$4:$L$56,MATCH(C1560,Settings!$K$4:$K$56,0)),"Unknown"))</f>
        <v/>
      </c>
      <c r="I1560" s="8" t="str">
        <f t="shared" si="72"/>
        <v/>
      </c>
      <c r="J1560" s="8" t="str">
        <f t="shared" si="73"/>
        <v/>
      </c>
      <c r="K1560" s="24"/>
      <c r="L1560" s="7" t="str">
        <f t="shared" si="74"/>
        <v/>
      </c>
    </row>
    <row r="1561" spans="1:12" x14ac:dyDescent="0.25">
      <c r="A1561" s="23"/>
      <c r="B1561" s="24"/>
      <c r="C1561" s="24"/>
      <c r="D1561" s="24"/>
      <c r="E1561" s="24"/>
      <c r="F1561" s="24"/>
      <c r="G1561" s="25"/>
      <c r="H1561" s="16" t="str">
        <f>IF(C1561="","",IFERROR(INDEX(Settings!$L$4:$L$56,MATCH(C1561,Settings!$K$4:$K$56,0)),"Unknown"))</f>
        <v/>
      </c>
      <c r="I1561" s="8" t="str">
        <f t="shared" si="72"/>
        <v/>
      </c>
      <c r="J1561" s="8" t="str">
        <f t="shared" si="73"/>
        <v/>
      </c>
      <c r="K1561" s="24"/>
      <c r="L1561" s="7" t="str">
        <f t="shared" si="74"/>
        <v/>
      </c>
    </row>
    <row r="1562" spans="1:12" x14ac:dyDescent="0.25">
      <c r="A1562" s="23"/>
      <c r="B1562" s="24"/>
      <c r="C1562" s="24"/>
      <c r="D1562" s="24"/>
      <c r="E1562" s="24"/>
      <c r="F1562" s="24"/>
      <c r="G1562" s="25"/>
      <c r="H1562" s="16" t="str">
        <f>IF(C1562="","",IFERROR(INDEX(Settings!$L$4:$L$56,MATCH(C1562,Settings!$K$4:$K$56,0)),"Unknown"))</f>
        <v/>
      </c>
      <c r="I1562" s="8" t="str">
        <f t="shared" si="72"/>
        <v/>
      </c>
      <c r="J1562" s="8" t="str">
        <f t="shared" si="73"/>
        <v/>
      </c>
      <c r="K1562" s="24"/>
      <c r="L1562" s="7" t="str">
        <f t="shared" si="74"/>
        <v/>
      </c>
    </row>
    <row r="1563" spans="1:12" x14ac:dyDescent="0.25">
      <c r="A1563" s="23"/>
      <c r="B1563" s="24"/>
      <c r="C1563" s="24"/>
      <c r="D1563" s="24"/>
      <c r="E1563" s="24"/>
      <c r="F1563" s="24"/>
      <c r="G1563" s="25"/>
      <c r="H1563" s="16" t="str">
        <f>IF(C1563="","",IFERROR(INDEX(Settings!$L$4:$L$56,MATCH(C1563,Settings!$K$4:$K$56,0)),"Unknown"))</f>
        <v/>
      </c>
      <c r="I1563" s="8" t="str">
        <f t="shared" si="72"/>
        <v/>
      </c>
      <c r="J1563" s="8" t="str">
        <f t="shared" si="73"/>
        <v/>
      </c>
      <c r="K1563" s="24"/>
      <c r="L1563" s="7" t="str">
        <f t="shared" si="74"/>
        <v/>
      </c>
    </row>
    <row r="1564" spans="1:12" x14ac:dyDescent="0.25">
      <c r="A1564" s="23"/>
      <c r="B1564" s="24"/>
      <c r="C1564" s="24"/>
      <c r="D1564" s="24"/>
      <c r="E1564" s="24"/>
      <c r="F1564" s="24"/>
      <c r="G1564" s="25"/>
      <c r="H1564" s="16" t="str">
        <f>IF(C1564="","",IFERROR(INDEX(Settings!$L$4:$L$56,MATCH(C1564,Settings!$K$4:$K$56,0)),"Unknown"))</f>
        <v/>
      </c>
      <c r="I1564" s="8" t="str">
        <f t="shared" si="72"/>
        <v/>
      </c>
      <c r="J1564" s="8" t="str">
        <f t="shared" si="73"/>
        <v/>
      </c>
      <c r="K1564" s="24"/>
      <c r="L1564" s="7" t="str">
        <f t="shared" si="74"/>
        <v/>
      </c>
    </row>
    <row r="1565" spans="1:12" x14ac:dyDescent="0.25">
      <c r="A1565" s="23"/>
      <c r="B1565" s="24"/>
      <c r="C1565" s="24"/>
      <c r="D1565" s="24"/>
      <c r="E1565" s="24"/>
      <c r="F1565" s="24"/>
      <c r="G1565" s="25"/>
      <c r="H1565" s="16" t="str">
        <f>IF(C1565="","",IFERROR(INDEX(Settings!$L$4:$L$56,MATCH(C1565,Settings!$K$4:$K$56,0)),"Unknown"))</f>
        <v/>
      </c>
      <c r="I1565" s="8" t="str">
        <f t="shared" si="72"/>
        <v/>
      </c>
      <c r="J1565" s="8" t="str">
        <f t="shared" si="73"/>
        <v/>
      </c>
      <c r="K1565" s="24"/>
      <c r="L1565" s="7" t="str">
        <f t="shared" si="74"/>
        <v/>
      </c>
    </row>
    <row r="1566" spans="1:12" x14ac:dyDescent="0.25">
      <c r="A1566" s="23"/>
      <c r="B1566" s="24"/>
      <c r="C1566" s="24"/>
      <c r="D1566" s="24"/>
      <c r="E1566" s="24"/>
      <c r="F1566" s="24"/>
      <c r="G1566" s="25"/>
      <c r="H1566" s="16" t="str">
        <f>IF(C1566="","",IFERROR(INDEX(Settings!$L$4:$L$56,MATCH(C1566,Settings!$K$4:$K$56,0)),"Unknown"))</f>
        <v/>
      </c>
      <c r="I1566" s="8" t="str">
        <f t="shared" si="72"/>
        <v/>
      </c>
      <c r="J1566" s="8" t="str">
        <f t="shared" si="73"/>
        <v/>
      </c>
      <c r="K1566" s="24"/>
      <c r="L1566" s="7" t="str">
        <f t="shared" si="74"/>
        <v/>
      </c>
    </row>
    <row r="1567" spans="1:12" x14ac:dyDescent="0.25">
      <c r="A1567" s="23"/>
      <c r="B1567" s="24"/>
      <c r="C1567" s="24"/>
      <c r="D1567" s="24"/>
      <c r="E1567" s="24"/>
      <c r="F1567" s="24"/>
      <c r="G1567" s="25"/>
      <c r="H1567" s="16" t="str">
        <f>IF(C1567="","",IFERROR(INDEX(Settings!$L$4:$L$56,MATCH(C1567,Settings!$K$4:$K$56,0)),"Unknown"))</f>
        <v/>
      </c>
      <c r="I1567" s="8" t="str">
        <f t="shared" si="72"/>
        <v/>
      </c>
      <c r="J1567" s="8" t="str">
        <f t="shared" si="73"/>
        <v/>
      </c>
      <c r="K1567" s="24"/>
      <c r="L1567" s="7" t="str">
        <f t="shared" si="74"/>
        <v/>
      </c>
    </row>
    <row r="1568" spans="1:12" x14ac:dyDescent="0.25">
      <c r="A1568" s="23"/>
      <c r="B1568" s="24"/>
      <c r="C1568" s="24"/>
      <c r="D1568" s="24"/>
      <c r="E1568" s="24"/>
      <c r="F1568" s="24"/>
      <c r="G1568" s="25"/>
      <c r="H1568" s="16" t="str">
        <f>IF(C1568="","",IFERROR(INDEX(Settings!$L$4:$L$56,MATCH(C1568,Settings!$K$4:$K$56,0)),"Unknown"))</f>
        <v/>
      </c>
      <c r="I1568" s="8" t="str">
        <f t="shared" si="72"/>
        <v/>
      </c>
      <c r="J1568" s="8" t="str">
        <f t="shared" si="73"/>
        <v/>
      </c>
      <c r="K1568" s="24"/>
      <c r="L1568" s="7" t="str">
        <f t="shared" si="74"/>
        <v/>
      </c>
    </row>
    <row r="1569" spans="1:12" x14ac:dyDescent="0.25">
      <c r="A1569" s="23"/>
      <c r="B1569" s="24"/>
      <c r="C1569" s="24"/>
      <c r="D1569" s="24"/>
      <c r="E1569" s="24"/>
      <c r="F1569" s="24"/>
      <c r="G1569" s="25"/>
      <c r="H1569" s="16" t="str">
        <f>IF(C1569="","",IFERROR(INDEX(Settings!$L$4:$L$56,MATCH(C1569,Settings!$K$4:$K$56,0)),"Unknown"))</f>
        <v/>
      </c>
      <c r="I1569" s="8" t="str">
        <f t="shared" si="72"/>
        <v/>
      </c>
      <c r="J1569" s="8" t="str">
        <f t="shared" si="73"/>
        <v/>
      </c>
      <c r="K1569" s="24"/>
      <c r="L1569" s="7" t="str">
        <f t="shared" si="74"/>
        <v/>
      </c>
    </row>
    <row r="1570" spans="1:12" x14ac:dyDescent="0.25">
      <c r="A1570" s="23"/>
      <c r="B1570" s="24"/>
      <c r="C1570" s="24"/>
      <c r="D1570" s="24"/>
      <c r="E1570" s="24"/>
      <c r="F1570" s="24"/>
      <c r="G1570" s="25"/>
      <c r="H1570" s="16" t="str">
        <f>IF(C1570="","",IFERROR(INDEX(Settings!$L$4:$L$56,MATCH(C1570,Settings!$K$4:$K$56,0)),"Unknown"))</f>
        <v/>
      </c>
      <c r="I1570" s="8" t="str">
        <f t="shared" si="72"/>
        <v/>
      </c>
      <c r="J1570" s="8" t="str">
        <f t="shared" si="73"/>
        <v/>
      </c>
      <c r="K1570" s="24"/>
      <c r="L1570" s="7" t="str">
        <f t="shared" si="74"/>
        <v/>
      </c>
    </row>
    <row r="1571" spans="1:12" x14ac:dyDescent="0.25">
      <c r="A1571" s="23"/>
      <c r="B1571" s="24"/>
      <c r="C1571" s="24"/>
      <c r="D1571" s="24"/>
      <c r="E1571" s="24"/>
      <c r="F1571" s="24"/>
      <c r="G1571" s="25"/>
      <c r="H1571" s="16" t="str">
        <f>IF(C1571="","",IFERROR(INDEX(Settings!$L$4:$L$56,MATCH(C1571,Settings!$K$4:$K$56,0)),"Unknown"))</f>
        <v/>
      </c>
      <c r="I1571" s="8" t="str">
        <f t="shared" si="72"/>
        <v/>
      </c>
      <c r="J1571" s="8" t="str">
        <f t="shared" si="73"/>
        <v/>
      </c>
      <c r="K1571" s="24"/>
      <c r="L1571" s="7" t="str">
        <f t="shared" si="74"/>
        <v/>
      </c>
    </row>
    <row r="1572" spans="1:12" x14ac:dyDescent="0.25">
      <c r="A1572" s="23"/>
      <c r="B1572" s="24"/>
      <c r="C1572" s="24"/>
      <c r="D1572" s="24"/>
      <c r="E1572" s="24"/>
      <c r="F1572" s="24"/>
      <c r="G1572" s="25"/>
      <c r="H1572" s="16" t="str">
        <f>IF(C1572="","",IFERROR(INDEX(Settings!$L$4:$L$56,MATCH(C1572,Settings!$K$4:$K$56,0)),"Unknown"))</f>
        <v/>
      </c>
      <c r="I1572" s="8" t="str">
        <f t="shared" si="72"/>
        <v/>
      </c>
      <c r="J1572" s="8" t="str">
        <f t="shared" si="73"/>
        <v/>
      </c>
      <c r="K1572" s="24"/>
      <c r="L1572" s="7" t="str">
        <f t="shared" si="74"/>
        <v/>
      </c>
    </row>
    <row r="1573" spans="1:12" x14ac:dyDescent="0.25">
      <c r="A1573" s="23"/>
      <c r="B1573" s="24"/>
      <c r="C1573" s="24"/>
      <c r="D1573" s="24"/>
      <c r="E1573" s="24"/>
      <c r="F1573" s="24"/>
      <c r="G1573" s="25"/>
      <c r="H1573" s="16" t="str">
        <f>IF(C1573="","",IFERROR(INDEX(Settings!$L$4:$L$56,MATCH(C1573,Settings!$K$4:$K$56,0)),"Unknown"))</f>
        <v/>
      </c>
      <c r="I1573" s="8" t="str">
        <f t="shared" si="72"/>
        <v/>
      </c>
      <c r="J1573" s="8" t="str">
        <f t="shared" si="73"/>
        <v/>
      </c>
      <c r="K1573" s="24"/>
      <c r="L1573" s="7" t="str">
        <f t="shared" si="74"/>
        <v/>
      </c>
    </row>
    <row r="1574" spans="1:12" x14ac:dyDescent="0.25">
      <c r="A1574" s="23"/>
      <c r="B1574" s="24"/>
      <c r="C1574" s="24"/>
      <c r="D1574" s="24"/>
      <c r="E1574" s="24"/>
      <c r="F1574" s="24"/>
      <c r="G1574" s="25"/>
      <c r="H1574" s="16" t="str">
        <f>IF(C1574="","",IFERROR(INDEX(Settings!$L$4:$L$56,MATCH(C1574,Settings!$K$4:$K$56,0)),"Unknown"))</f>
        <v/>
      </c>
      <c r="I1574" s="8" t="str">
        <f t="shared" si="72"/>
        <v/>
      </c>
      <c r="J1574" s="8" t="str">
        <f t="shared" si="73"/>
        <v/>
      </c>
      <c r="K1574" s="24"/>
      <c r="L1574" s="7" t="str">
        <f t="shared" si="74"/>
        <v/>
      </c>
    </row>
    <row r="1575" spans="1:12" x14ac:dyDescent="0.25">
      <c r="A1575" s="23"/>
      <c r="B1575" s="24"/>
      <c r="C1575" s="24"/>
      <c r="D1575" s="24"/>
      <c r="E1575" s="24"/>
      <c r="F1575" s="24"/>
      <c r="G1575" s="25"/>
      <c r="H1575" s="16" t="str">
        <f>IF(C1575="","",IFERROR(INDEX(Settings!$L$4:$L$56,MATCH(C1575,Settings!$K$4:$K$56,0)),"Unknown"))</f>
        <v/>
      </c>
      <c r="I1575" s="8" t="str">
        <f t="shared" si="72"/>
        <v/>
      </c>
      <c r="J1575" s="8" t="str">
        <f t="shared" si="73"/>
        <v/>
      </c>
      <c r="K1575" s="24"/>
      <c r="L1575" s="7" t="str">
        <f t="shared" si="74"/>
        <v/>
      </c>
    </row>
    <row r="1576" spans="1:12" x14ac:dyDescent="0.25">
      <c r="A1576" s="23"/>
      <c r="B1576" s="24"/>
      <c r="C1576" s="24"/>
      <c r="D1576" s="24"/>
      <c r="E1576" s="24"/>
      <c r="F1576" s="24"/>
      <c r="G1576" s="25"/>
      <c r="H1576" s="16" t="str">
        <f>IF(C1576="","",IFERROR(INDEX(Settings!$L$4:$L$56,MATCH(C1576,Settings!$K$4:$K$56,0)),"Unknown"))</f>
        <v/>
      </c>
      <c r="I1576" s="8" t="str">
        <f t="shared" si="72"/>
        <v/>
      </c>
      <c r="J1576" s="8" t="str">
        <f t="shared" si="73"/>
        <v/>
      </c>
      <c r="K1576" s="24"/>
      <c r="L1576" s="7" t="str">
        <f t="shared" si="74"/>
        <v/>
      </c>
    </row>
    <row r="1577" spans="1:12" x14ac:dyDescent="0.25">
      <c r="A1577" s="23"/>
      <c r="B1577" s="24"/>
      <c r="C1577" s="24"/>
      <c r="D1577" s="24"/>
      <c r="E1577" s="24"/>
      <c r="F1577" s="24"/>
      <c r="G1577" s="25"/>
      <c r="H1577" s="16" t="str">
        <f>IF(C1577="","",IFERROR(INDEX(Settings!$L$4:$L$56,MATCH(C1577,Settings!$K$4:$K$56,0)),"Unknown"))</f>
        <v/>
      </c>
      <c r="I1577" s="8" t="str">
        <f t="shared" si="72"/>
        <v/>
      </c>
      <c r="J1577" s="8" t="str">
        <f t="shared" si="73"/>
        <v/>
      </c>
      <c r="K1577" s="24"/>
      <c r="L1577" s="7" t="str">
        <f t="shared" si="74"/>
        <v/>
      </c>
    </row>
    <row r="1578" spans="1:12" x14ac:dyDescent="0.25">
      <c r="A1578" s="23"/>
      <c r="B1578" s="24"/>
      <c r="C1578" s="24"/>
      <c r="D1578" s="24"/>
      <c r="E1578" s="24"/>
      <c r="F1578" s="24"/>
      <c r="G1578" s="25"/>
      <c r="H1578" s="16" t="str">
        <f>IF(C1578="","",IFERROR(INDEX(Settings!$L$4:$L$56,MATCH(C1578,Settings!$K$4:$K$56,0)),"Unknown"))</f>
        <v/>
      </c>
      <c r="I1578" s="8" t="str">
        <f t="shared" si="72"/>
        <v/>
      </c>
      <c r="J1578" s="8" t="str">
        <f t="shared" si="73"/>
        <v/>
      </c>
      <c r="K1578" s="24"/>
      <c r="L1578" s="7" t="str">
        <f t="shared" si="74"/>
        <v/>
      </c>
    </row>
    <row r="1579" spans="1:12" x14ac:dyDescent="0.25">
      <c r="A1579" s="23"/>
      <c r="B1579" s="24"/>
      <c r="C1579" s="24"/>
      <c r="D1579" s="24"/>
      <c r="E1579" s="24"/>
      <c r="F1579" s="24"/>
      <c r="G1579" s="25"/>
      <c r="H1579" s="16" t="str">
        <f>IF(C1579="","",IFERROR(INDEX(Settings!$L$4:$L$56,MATCH(C1579,Settings!$K$4:$K$56,0)),"Unknown"))</f>
        <v/>
      </c>
      <c r="I1579" s="8" t="str">
        <f t="shared" si="72"/>
        <v/>
      </c>
      <c r="J1579" s="8" t="str">
        <f t="shared" si="73"/>
        <v/>
      </c>
      <c r="K1579" s="24"/>
      <c r="L1579" s="7" t="str">
        <f t="shared" si="74"/>
        <v/>
      </c>
    </row>
    <row r="1580" spans="1:12" x14ac:dyDescent="0.25">
      <c r="A1580" s="23"/>
      <c r="B1580" s="24"/>
      <c r="C1580" s="24"/>
      <c r="D1580" s="24"/>
      <c r="E1580" s="24"/>
      <c r="F1580" s="24"/>
      <c r="G1580" s="25"/>
      <c r="H1580" s="16" t="str">
        <f>IF(C1580="","",IFERROR(INDEX(Settings!$L$4:$L$56,MATCH(C1580,Settings!$K$4:$K$56,0)),"Unknown"))</f>
        <v/>
      </c>
      <c r="I1580" s="8" t="str">
        <f t="shared" si="72"/>
        <v/>
      </c>
      <c r="J1580" s="8" t="str">
        <f t="shared" si="73"/>
        <v/>
      </c>
      <c r="K1580" s="24"/>
      <c r="L1580" s="7" t="str">
        <f t="shared" si="74"/>
        <v/>
      </c>
    </row>
    <row r="1581" spans="1:12" x14ac:dyDescent="0.25">
      <c r="A1581" s="23"/>
      <c r="B1581" s="24"/>
      <c r="C1581" s="24"/>
      <c r="D1581" s="24"/>
      <c r="E1581" s="24"/>
      <c r="F1581" s="24"/>
      <c r="G1581" s="25"/>
      <c r="H1581" s="16" t="str">
        <f>IF(C1581="","",IFERROR(INDEX(Settings!$L$4:$L$56,MATCH(C1581,Settings!$K$4:$K$56,0)),"Unknown"))</f>
        <v/>
      </c>
      <c r="I1581" s="8" t="str">
        <f t="shared" si="72"/>
        <v/>
      </c>
      <c r="J1581" s="8" t="str">
        <f t="shared" si="73"/>
        <v/>
      </c>
      <c r="K1581" s="24"/>
      <c r="L1581" s="7" t="str">
        <f t="shared" si="74"/>
        <v/>
      </c>
    </row>
    <row r="1582" spans="1:12" x14ac:dyDescent="0.25">
      <c r="A1582" s="23"/>
      <c r="B1582" s="24"/>
      <c r="C1582" s="24"/>
      <c r="D1582" s="24"/>
      <c r="E1582" s="24"/>
      <c r="F1582" s="24"/>
      <c r="G1582" s="25"/>
      <c r="H1582" s="16" t="str">
        <f>IF(C1582="","",IFERROR(INDEX(Settings!$L$4:$L$56,MATCH(C1582,Settings!$K$4:$K$56,0)),"Unknown"))</f>
        <v/>
      </c>
      <c r="I1582" s="8" t="str">
        <f t="shared" si="72"/>
        <v/>
      </c>
      <c r="J1582" s="8" t="str">
        <f t="shared" si="73"/>
        <v/>
      </c>
      <c r="K1582" s="24"/>
      <c r="L1582" s="7" t="str">
        <f t="shared" si="74"/>
        <v/>
      </c>
    </row>
    <row r="1583" spans="1:12" x14ac:dyDescent="0.25">
      <c r="A1583" s="23"/>
      <c r="B1583" s="24"/>
      <c r="C1583" s="24"/>
      <c r="D1583" s="24"/>
      <c r="E1583" s="24"/>
      <c r="F1583" s="24"/>
      <c r="G1583" s="25"/>
      <c r="H1583" s="16" t="str">
        <f>IF(C1583="","",IFERROR(INDEX(Settings!$L$4:$L$56,MATCH(C1583,Settings!$K$4:$K$56,0)),"Unknown"))</f>
        <v/>
      </c>
      <c r="I1583" s="8" t="str">
        <f t="shared" si="72"/>
        <v/>
      </c>
      <c r="J1583" s="8" t="str">
        <f t="shared" si="73"/>
        <v/>
      </c>
      <c r="K1583" s="24"/>
      <c r="L1583" s="7" t="str">
        <f t="shared" si="74"/>
        <v/>
      </c>
    </row>
    <row r="1584" spans="1:12" x14ac:dyDescent="0.25">
      <c r="A1584" s="23"/>
      <c r="B1584" s="24"/>
      <c r="C1584" s="24"/>
      <c r="D1584" s="24"/>
      <c r="E1584" s="24"/>
      <c r="F1584" s="24"/>
      <c r="G1584" s="25"/>
      <c r="H1584" s="16" t="str">
        <f>IF(C1584="","",IFERROR(INDEX(Settings!$L$4:$L$56,MATCH(C1584,Settings!$K$4:$K$56,0)),"Unknown"))</f>
        <v/>
      </c>
      <c r="I1584" s="8" t="str">
        <f t="shared" si="72"/>
        <v/>
      </c>
      <c r="J1584" s="8" t="str">
        <f t="shared" si="73"/>
        <v/>
      </c>
      <c r="K1584" s="24"/>
      <c r="L1584" s="7" t="str">
        <f t="shared" si="74"/>
        <v/>
      </c>
    </row>
    <row r="1585" spans="1:12" x14ac:dyDescent="0.25">
      <c r="A1585" s="23"/>
      <c r="B1585" s="24"/>
      <c r="C1585" s="24"/>
      <c r="D1585" s="24"/>
      <c r="E1585" s="24"/>
      <c r="F1585" s="24"/>
      <c r="G1585" s="25"/>
      <c r="H1585" s="16" t="str">
        <f>IF(C1585="","",IFERROR(INDEX(Settings!$L$4:$L$56,MATCH(C1585,Settings!$K$4:$K$56,0)),"Unknown"))</f>
        <v/>
      </c>
      <c r="I1585" s="8" t="str">
        <f t="shared" si="72"/>
        <v/>
      </c>
      <c r="J1585" s="8" t="str">
        <f t="shared" si="73"/>
        <v/>
      </c>
      <c r="K1585" s="24"/>
      <c r="L1585" s="7" t="str">
        <f t="shared" si="74"/>
        <v/>
      </c>
    </row>
    <row r="1586" spans="1:12" x14ac:dyDescent="0.25">
      <c r="A1586" s="23"/>
      <c r="B1586" s="24"/>
      <c r="C1586" s="24"/>
      <c r="D1586" s="24"/>
      <c r="E1586" s="24"/>
      <c r="F1586" s="24"/>
      <c r="G1586" s="25"/>
      <c r="H1586" s="16" t="str">
        <f>IF(C1586="","",IFERROR(INDEX(Settings!$L$4:$L$56,MATCH(C1586,Settings!$K$4:$K$56,0)),"Unknown"))</f>
        <v/>
      </c>
      <c r="I1586" s="8" t="str">
        <f t="shared" si="72"/>
        <v/>
      </c>
      <c r="J1586" s="8" t="str">
        <f t="shared" si="73"/>
        <v/>
      </c>
      <c r="K1586" s="24"/>
      <c r="L1586" s="7" t="str">
        <f t="shared" si="74"/>
        <v/>
      </c>
    </row>
    <row r="1587" spans="1:12" x14ac:dyDescent="0.25">
      <c r="A1587" s="23"/>
      <c r="B1587" s="24"/>
      <c r="C1587" s="24"/>
      <c r="D1587" s="24"/>
      <c r="E1587" s="24"/>
      <c r="F1587" s="24"/>
      <c r="G1587" s="25"/>
      <c r="H1587" s="16" t="str">
        <f>IF(C1587="","",IFERROR(INDEX(Settings!$L$4:$L$56,MATCH(C1587,Settings!$K$4:$K$56,0)),"Unknown"))</f>
        <v/>
      </c>
      <c r="I1587" s="8" t="str">
        <f t="shared" si="72"/>
        <v/>
      </c>
      <c r="J1587" s="8" t="str">
        <f t="shared" si="73"/>
        <v/>
      </c>
      <c r="K1587" s="24"/>
      <c r="L1587" s="7" t="str">
        <f t="shared" si="74"/>
        <v/>
      </c>
    </row>
    <row r="1588" spans="1:12" x14ac:dyDescent="0.25">
      <c r="A1588" s="23"/>
      <c r="B1588" s="24"/>
      <c r="C1588" s="24"/>
      <c r="D1588" s="24"/>
      <c r="E1588" s="24"/>
      <c r="F1588" s="24"/>
      <c r="G1588" s="25"/>
      <c r="H1588" s="16" t="str">
        <f>IF(C1588="","",IFERROR(INDEX(Settings!$L$4:$L$56,MATCH(C1588,Settings!$K$4:$K$56,0)),"Unknown"))</f>
        <v/>
      </c>
      <c r="I1588" s="8" t="str">
        <f t="shared" si="72"/>
        <v/>
      </c>
      <c r="J1588" s="8" t="str">
        <f t="shared" si="73"/>
        <v/>
      </c>
      <c r="K1588" s="24"/>
      <c r="L1588" s="7" t="str">
        <f t="shared" si="74"/>
        <v/>
      </c>
    </row>
    <row r="1589" spans="1:12" x14ac:dyDescent="0.25">
      <c r="A1589" s="23"/>
      <c r="B1589" s="24"/>
      <c r="C1589" s="24"/>
      <c r="D1589" s="24"/>
      <c r="E1589" s="24"/>
      <c r="F1589" s="24"/>
      <c r="G1589" s="25"/>
      <c r="H1589" s="16" t="str">
        <f>IF(C1589="","",IFERROR(INDEX(Settings!$L$4:$L$56,MATCH(C1589,Settings!$K$4:$K$56,0)),"Unknown"))</f>
        <v/>
      </c>
      <c r="I1589" s="8" t="str">
        <f t="shared" si="72"/>
        <v/>
      </c>
      <c r="J1589" s="8" t="str">
        <f t="shared" si="73"/>
        <v/>
      </c>
      <c r="K1589" s="24"/>
      <c r="L1589" s="7" t="str">
        <f t="shared" si="74"/>
        <v/>
      </c>
    </row>
    <row r="1590" spans="1:12" x14ac:dyDescent="0.25">
      <c r="A1590" s="23"/>
      <c r="B1590" s="24"/>
      <c r="C1590" s="24"/>
      <c r="D1590" s="24"/>
      <c r="E1590" s="24"/>
      <c r="F1590" s="24"/>
      <c r="G1590" s="25"/>
      <c r="H1590" s="16" t="str">
        <f>IF(C1590="","",IFERROR(INDEX(Settings!$L$4:$L$56,MATCH(C1590,Settings!$K$4:$K$56,0)),"Unknown"))</f>
        <v/>
      </c>
      <c r="I1590" s="8" t="str">
        <f t="shared" si="72"/>
        <v/>
      </c>
      <c r="J1590" s="8" t="str">
        <f t="shared" si="73"/>
        <v/>
      </c>
      <c r="K1590" s="24"/>
      <c r="L1590" s="7" t="str">
        <f t="shared" si="74"/>
        <v/>
      </c>
    </row>
    <row r="1591" spans="1:12" x14ac:dyDescent="0.25">
      <c r="A1591" s="23"/>
      <c r="B1591" s="24"/>
      <c r="C1591" s="24"/>
      <c r="D1591" s="24"/>
      <c r="E1591" s="24"/>
      <c r="F1591" s="24"/>
      <c r="G1591" s="25"/>
      <c r="H1591" s="16" t="str">
        <f>IF(C1591="","",IFERROR(INDEX(Settings!$L$4:$L$56,MATCH(C1591,Settings!$K$4:$K$56,0)),"Unknown"))</f>
        <v/>
      </c>
      <c r="I1591" s="8" t="str">
        <f t="shared" si="72"/>
        <v/>
      </c>
      <c r="J1591" s="8" t="str">
        <f t="shared" si="73"/>
        <v/>
      </c>
      <c r="K1591" s="24"/>
      <c r="L1591" s="7" t="str">
        <f t="shared" si="74"/>
        <v/>
      </c>
    </row>
    <row r="1592" spans="1:12" x14ac:dyDescent="0.25">
      <c r="A1592" s="23"/>
      <c r="B1592" s="24"/>
      <c r="C1592" s="24"/>
      <c r="D1592" s="24"/>
      <c r="E1592" s="24"/>
      <c r="F1592" s="24"/>
      <c r="G1592" s="25"/>
      <c r="H1592" s="16" t="str">
        <f>IF(C1592="","",IFERROR(INDEX(Settings!$L$4:$L$56,MATCH(C1592,Settings!$K$4:$K$56,0)),"Unknown"))</f>
        <v/>
      </c>
      <c r="I1592" s="8" t="str">
        <f t="shared" si="72"/>
        <v/>
      </c>
      <c r="J1592" s="8" t="str">
        <f t="shared" si="73"/>
        <v/>
      </c>
      <c r="K1592" s="24"/>
      <c r="L1592" s="7" t="str">
        <f t="shared" si="74"/>
        <v/>
      </c>
    </row>
    <row r="1593" spans="1:12" x14ac:dyDescent="0.25">
      <c r="A1593" s="23"/>
      <c r="B1593" s="24"/>
      <c r="C1593" s="24"/>
      <c r="D1593" s="24"/>
      <c r="E1593" s="24"/>
      <c r="F1593" s="24"/>
      <c r="G1593" s="25"/>
      <c r="H1593" s="16" t="str">
        <f>IF(C1593="","",IFERROR(INDEX(Settings!$L$4:$L$56,MATCH(C1593,Settings!$K$4:$K$56,0)),"Unknown"))</f>
        <v/>
      </c>
      <c r="I1593" s="8" t="str">
        <f t="shared" si="72"/>
        <v/>
      </c>
      <c r="J1593" s="8" t="str">
        <f t="shared" si="73"/>
        <v/>
      </c>
      <c r="K1593" s="24"/>
      <c r="L1593" s="7" t="str">
        <f t="shared" si="74"/>
        <v/>
      </c>
    </row>
    <row r="1594" spans="1:12" x14ac:dyDescent="0.25">
      <c r="A1594" s="23"/>
      <c r="B1594" s="24"/>
      <c r="C1594" s="24"/>
      <c r="D1594" s="24"/>
      <c r="E1594" s="24"/>
      <c r="F1594" s="24"/>
      <c r="G1594" s="25"/>
      <c r="H1594" s="16" t="str">
        <f>IF(C1594="","",IFERROR(INDEX(Settings!$L$4:$L$56,MATCH(C1594,Settings!$K$4:$K$56,0)),"Unknown"))</f>
        <v/>
      </c>
      <c r="I1594" s="8" t="str">
        <f t="shared" si="72"/>
        <v/>
      </c>
      <c r="J1594" s="8" t="str">
        <f t="shared" si="73"/>
        <v/>
      </c>
      <c r="K1594" s="24"/>
      <c r="L1594" s="7" t="str">
        <f t="shared" si="74"/>
        <v/>
      </c>
    </row>
    <row r="1595" spans="1:12" x14ac:dyDescent="0.25">
      <c r="A1595" s="23"/>
      <c r="B1595" s="24"/>
      <c r="C1595" s="24"/>
      <c r="D1595" s="24"/>
      <c r="E1595" s="24"/>
      <c r="F1595" s="24"/>
      <c r="G1595" s="25"/>
      <c r="H1595" s="16" t="str">
        <f>IF(C1595="","",IFERROR(INDEX(Settings!$L$4:$L$56,MATCH(C1595,Settings!$K$4:$K$56,0)),"Unknown"))</f>
        <v/>
      </c>
      <c r="I1595" s="8" t="str">
        <f t="shared" si="72"/>
        <v/>
      </c>
      <c r="J1595" s="8" t="str">
        <f t="shared" si="73"/>
        <v/>
      </c>
      <c r="K1595" s="24"/>
      <c r="L1595" s="7" t="str">
        <f t="shared" si="74"/>
        <v/>
      </c>
    </row>
    <row r="1596" spans="1:12" x14ac:dyDescent="0.25">
      <c r="A1596" s="23"/>
      <c r="B1596" s="24"/>
      <c r="C1596" s="24"/>
      <c r="D1596" s="24"/>
      <c r="E1596" s="24"/>
      <c r="F1596" s="24"/>
      <c r="G1596" s="25"/>
      <c r="H1596" s="16" t="str">
        <f>IF(C1596="","",IFERROR(INDEX(Settings!$L$4:$L$56,MATCH(C1596,Settings!$K$4:$K$56,0)),"Unknown"))</f>
        <v/>
      </c>
      <c r="I1596" s="8" t="str">
        <f t="shared" si="72"/>
        <v/>
      </c>
      <c r="J1596" s="8" t="str">
        <f t="shared" si="73"/>
        <v/>
      </c>
      <c r="K1596" s="24"/>
      <c r="L1596" s="7" t="str">
        <f t="shared" si="74"/>
        <v/>
      </c>
    </row>
    <row r="1597" spans="1:12" x14ac:dyDescent="0.25">
      <c r="A1597" s="23"/>
      <c r="B1597" s="24"/>
      <c r="C1597" s="24"/>
      <c r="D1597" s="24"/>
      <c r="E1597" s="24"/>
      <c r="F1597" s="24"/>
      <c r="G1597" s="25"/>
      <c r="H1597" s="16" t="str">
        <f>IF(C1597="","",IFERROR(INDEX(Settings!$L$4:$L$56,MATCH(C1597,Settings!$K$4:$K$56,0)),"Unknown"))</f>
        <v/>
      </c>
      <c r="I1597" s="8" t="str">
        <f t="shared" si="72"/>
        <v/>
      </c>
      <c r="J1597" s="8" t="str">
        <f t="shared" si="73"/>
        <v/>
      </c>
      <c r="K1597" s="24"/>
      <c r="L1597" s="7" t="str">
        <f t="shared" si="74"/>
        <v/>
      </c>
    </row>
    <row r="1598" spans="1:12" x14ac:dyDescent="0.25">
      <c r="A1598" s="23"/>
      <c r="B1598" s="24"/>
      <c r="C1598" s="24"/>
      <c r="D1598" s="24"/>
      <c r="E1598" s="24"/>
      <c r="F1598" s="24"/>
      <c r="G1598" s="25"/>
      <c r="H1598" s="16" t="str">
        <f>IF(C1598="","",IFERROR(INDEX(Settings!$L$4:$L$56,MATCH(C1598,Settings!$K$4:$K$56,0)),"Unknown"))</f>
        <v/>
      </c>
      <c r="I1598" s="8" t="str">
        <f t="shared" si="72"/>
        <v/>
      </c>
      <c r="J1598" s="8" t="str">
        <f t="shared" si="73"/>
        <v/>
      </c>
      <c r="K1598" s="24"/>
      <c r="L1598" s="7" t="str">
        <f t="shared" si="74"/>
        <v/>
      </c>
    </row>
    <row r="1599" spans="1:12" x14ac:dyDescent="0.25">
      <c r="A1599" s="23"/>
      <c r="B1599" s="24"/>
      <c r="C1599" s="24"/>
      <c r="D1599" s="24"/>
      <c r="E1599" s="24"/>
      <c r="F1599" s="24"/>
      <c r="G1599" s="25"/>
      <c r="H1599" s="16" t="str">
        <f>IF(C1599="","",IFERROR(INDEX(Settings!$L$4:$L$56,MATCH(C1599,Settings!$K$4:$K$56,0)),"Unknown"))</f>
        <v/>
      </c>
      <c r="I1599" s="8" t="str">
        <f t="shared" si="72"/>
        <v/>
      </c>
      <c r="J1599" s="8" t="str">
        <f t="shared" si="73"/>
        <v/>
      </c>
      <c r="K1599" s="24"/>
      <c r="L1599" s="7" t="str">
        <f t="shared" si="74"/>
        <v/>
      </c>
    </row>
    <row r="1600" spans="1:12" x14ac:dyDescent="0.25">
      <c r="A1600" s="23"/>
      <c r="B1600" s="24"/>
      <c r="C1600" s="24"/>
      <c r="D1600" s="24"/>
      <c r="E1600" s="24"/>
      <c r="F1600" s="24"/>
      <c r="G1600" s="25"/>
      <c r="H1600" s="16" t="str">
        <f>IF(C1600="","",IFERROR(INDEX(Settings!$L$4:$L$56,MATCH(C1600,Settings!$K$4:$K$56,0)),"Unknown"))</f>
        <v/>
      </c>
      <c r="I1600" s="8" t="str">
        <f t="shared" si="72"/>
        <v/>
      </c>
      <c r="J1600" s="8" t="str">
        <f t="shared" si="73"/>
        <v/>
      </c>
      <c r="K1600" s="24"/>
      <c r="L1600" s="7" t="str">
        <f t="shared" si="74"/>
        <v/>
      </c>
    </row>
    <row r="1601" spans="1:12" x14ac:dyDescent="0.25">
      <c r="A1601" s="23"/>
      <c r="B1601" s="24"/>
      <c r="C1601" s="24"/>
      <c r="D1601" s="24"/>
      <c r="E1601" s="24"/>
      <c r="F1601" s="24"/>
      <c r="G1601" s="25"/>
      <c r="H1601" s="16" t="str">
        <f>IF(C1601="","",IFERROR(INDEX(Settings!$L$4:$L$56,MATCH(C1601,Settings!$K$4:$K$56,0)),"Unknown"))</f>
        <v/>
      </c>
      <c r="I1601" s="8" t="str">
        <f t="shared" si="72"/>
        <v/>
      </c>
      <c r="J1601" s="8" t="str">
        <f t="shared" si="73"/>
        <v/>
      </c>
      <c r="K1601" s="24"/>
      <c r="L1601" s="7" t="str">
        <f t="shared" si="74"/>
        <v/>
      </c>
    </row>
    <row r="1602" spans="1:12" x14ac:dyDescent="0.25">
      <c r="A1602" s="23"/>
      <c r="B1602" s="24"/>
      <c r="C1602" s="24"/>
      <c r="D1602" s="24"/>
      <c r="E1602" s="24"/>
      <c r="F1602" s="24"/>
      <c r="G1602" s="25"/>
      <c r="H1602" s="16" t="str">
        <f>IF(C1602="","",IFERROR(INDEX(Settings!$L$4:$L$56,MATCH(C1602,Settings!$K$4:$K$56,0)),"Unknown"))</f>
        <v/>
      </c>
      <c r="I1602" s="8" t="str">
        <f t="shared" si="72"/>
        <v/>
      </c>
      <c r="J1602" s="8" t="str">
        <f t="shared" si="73"/>
        <v/>
      </c>
      <c r="K1602" s="24"/>
      <c r="L1602" s="7" t="str">
        <f t="shared" si="74"/>
        <v/>
      </c>
    </row>
    <row r="1603" spans="1:12" x14ac:dyDescent="0.25">
      <c r="A1603" s="23"/>
      <c r="B1603" s="24"/>
      <c r="C1603" s="24"/>
      <c r="D1603" s="24"/>
      <c r="E1603" s="24"/>
      <c r="F1603" s="24"/>
      <c r="G1603" s="25"/>
      <c r="H1603" s="16" t="str">
        <f>IF(C1603="","",IFERROR(INDEX(Settings!$L$4:$L$56,MATCH(C1603,Settings!$K$4:$K$56,0)),"Unknown"))</f>
        <v/>
      </c>
      <c r="I1603" s="8" t="str">
        <f t="shared" si="72"/>
        <v/>
      </c>
      <c r="J1603" s="8" t="str">
        <f t="shared" si="73"/>
        <v/>
      </c>
      <c r="K1603" s="24"/>
      <c r="L1603" s="7" t="str">
        <f t="shared" si="74"/>
        <v/>
      </c>
    </row>
    <row r="1604" spans="1:12" x14ac:dyDescent="0.25">
      <c r="A1604" s="23"/>
      <c r="B1604" s="24"/>
      <c r="C1604" s="24"/>
      <c r="D1604" s="24"/>
      <c r="E1604" s="24"/>
      <c r="F1604" s="24"/>
      <c r="G1604" s="25"/>
      <c r="H1604" s="16" t="str">
        <f>IF(C1604="","",IFERROR(INDEX(Settings!$L$4:$L$56,MATCH(C1604,Settings!$K$4:$K$56,0)),"Unknown"))</f>
        <v/>
      </c>
      <c r="I1604" s="8" t="str">
        <f t="shared" si="72"/>
        <v/>
      </c>
      <c r="J1604" s="8" t="str">
        <f t="shared" si="73"/>
        <v/>
      </c>
      <c r="K1604" s="24"/>
      <c r="L1604" s="7" t="str">
        <f t="shared" si="74"/>
        <v/>
      </c>
    </row>
    <row r="1605" spans="1:12" x14ac:dyDescent="0.25">
      <c r="A1605" s="23"/>
      <c r="B1605" s="24"/>
      <c r="C1605" s="24"/>
      <c r="D1605" s="24"/>
      <c r="E1605" s="24"/>
      <c r="F1605" s="24"/>
      <c r="G1605" s="25"/>
      <c r="H1605" s="16" t="str">
        <f>IF(C1605="","",IFERROR(INDEX(Settings!$L$4:$L$56,MATCH(C1605,Settings!$K$4:$K$56,0)),"Unknown"))</f>
        <v/>
      </c>
      <c r="I1605" s="8" t="str">
        <f t="shared" si="72"/>
        <v/>
      </c>
      <c r="J1605" s="8" t="str">
        <f t="shared" si="73"/>
        <v/>
      </c>
      <c r="K1605" s="24"/>
      <c r="L1605" s="7" t="str">
        <f t="shared" si="74"/>
        <v/>
      </c>
    </row>
    <row r="1606" spans="1:12" x14ac:dyDescent="0.25">
      <c r="A1606" s="23"/>
      <c r="B1606" s="24"/>
      <c r="C1606" s="24"/>
      <c r="D1606" s="24"/>
      <c r="E1606" s="24"/>
      <c r="F1606" s="24"/>
      <c r="G1606" s="25"/>
      <c r="H1606" s="16" t="str">
        <f>IF(C1606="","",IFERROR(INDEX(Settings!$L$4:$L$56,MATCH(C1606,Settings!$K$4:$K$56,0)),"Unknown"))</f>
        <v/>
      </c>
      <c r="I1606" s="8" t="str">
        <f t="shared" ref="I1606:I1669" si="75">IF(A1606="","",MONTH(A1606))</f>
        <v/>
      </c>
      <c r="J1606" s="8" t="str">
        <f t="shared" ref="J1606:J1669" si="76">IF(A1606="","",YEAR(A1606))</f>
        <v/>
      </c>
      <c r="K1606" s="24"/>
      <c r="L1606" s="7" t="str">
        <f t="shared" ref="L1606:L1669" si="77">IF(OR(B1606="",C1606=""),"",IF(AND(B1606="Income",H1606&lt;&gt;"Income"),"Category is not an Income category",IF(AND(B1606="Expense",H1606="Income"),"Category is an Income category","OK")))</f>
        <v/>
      </c>
    </row>
    <row r="1607" spans="1:12" x14ac:dyDescent="0.25">
      <c r="A1607" s="23"/>
      <c r="B1607" s="24"/>
      <c r="C1607" s="24"/>
      <c r="D1607" s="24"/>
      <c r="E1607" s="24"/>
      <c r="F1607" s="24"/>
      <c r="G1607" s="25"/>
      <c r="H1607" s="16" t="str">
        <f>IF(C1607="","",IFERROR(INDEX(Settings!$L$4:$L$56,MATCH(C1607,Settings!$K$4:$K$56,0)),"Unknown"))</f>
        <v/>
      </c>
      <c r="I1607" s="8" t="str">
        <f t="shared" si="75"/>
        <v/>
      </c>
      <c r="J1607" s="8" t="str">
        <f t="shared" si="76"/>
        <v/>
      </c>
      <c r="K1607" s="24"/>
      <c r="L1607" s="7" t="str">
        <f t="shared" si="77"/>
        <v/>
      </c>
    </row>
    <row r="1608" spans="1:12" x14ac:dyDescent="0.25">
      <c r="A1608" s="23"/>
      <c r="B1608" s="24"/>
      <c r="C1608" s="24"/>
      <c r="D1608" s="24"/>
      <c r="E1608" s="24"/>
      <c r="F1608" s="24"/>
      <c r="G1608" s="25"/>
      <c r="H1608" s="16" t="str">
        <f>IF(C1608="","",IFERROR(INDEX(Settings!$L$4:$L$56,MATCH(C1608,Settings!$K$4:$K$56,0)),"Unknown"))</f>
        <v/>
      </c>
      <c r="I1608" s="8" t="str">
        <f t="shared" si="75"/>
        <v/>
      </c>
      <c r="J1608" s="8" t="str">
        <f t="shared" si="76"/>
        <v/>
      </c>
      <c r="K1608" s="24"/>
      <c r="L1608" s="7" t="str">
        <f t="shared" si="77"/>
        <v/>
      </c>
    </row>
    <row r="1609" spans="1:12" x14ac:dyDescent="0.25">
      <c r="A1609" s="23"/>
      <c r="B1609" s="24"/>
      <c r="C1609" s="24"/>
      <c r="D1609" s="24"/>
      <c r="E1609" s="24"/>
      <c r="F1609" s="24"/>
      <c r="G1609" s="25"/>
      <c r="H1609" s="16" t="str">
        <f>IF(C1609="","",IFERROR(INDEX(Settings!$L$4:$L$56,MATCH(C1609,Settings!$K$4:$K$56,0)),"Unknown"))</f>
        <v/>
      </c>
      <c r="I1609" s="8" t="str">
        <f t="shared" si="75"/>
        <v/>
      </c>
      <c r="J1609" s="8" t="str">
        <f t="shared" si="76"/>
        <v/>
      </c>
      <c r="K1609" s="24"/>
      <c r="L1609" s="7" t="str">
        <f t="shared" si="77"/>
        <v/>
      </c>
    </row>
    <row r="1610" spans="1:12" x14ac:dyDescent="0.25">
      <c r="A1610" s="23"/>
      <c r="B1610" s="24"/>
      <c r="C1610" s="24"/>
      <c r="D1610" s="24"/>
      <c r="E1610" s="24"/>
      <c r="F1610" s="24"/>
      <c r="G1610" s="25"/>
      <c r="H1610" s="16" t="str">
        <f>IF(C1610="","",IFERROR(INDEX(Settings!$L$4:$L$56,MATCH(C1610,Settings!$K$4:$K$56,0)),"Unknown"))</f>
        <v/>
      </c>
      <c r="I1610" s="8" t="str">
        <f t="shared" si="75"/>
        <v/>
      </c>
      <c r="J1610" s="8" t="str">
        <f t="shared" si="76"/>
        <v/>
      </c>
      <c r="K1610" s="24"/>
      <c r="L1610" s="7" t="str">
        <f t="shared" si="77"/>
        <v/>
      </c>
    </row>
    <row r="1611" spans="1:12" x14ac:dyDescent="0.25">
      <c r="A1611" s="23"/>
      <c r="B1611" s="24"/>
      <c r="C1611" s="24"/>
      <c r="D1611" s="24"/>
      <c r="E1611" s="24"/>
      <c r="F1611" s="24"/>
      <c r="G1611" s="25"/>
      <c r="H1611" s="16" t="str">
        <f>IF(C1611="","",IFERROR(INDEX(Settings!$L$4:$L$56,MATCH(C1611,Settings!$K$4:$K$56,0)),"Unknown"))</f>
        <v/>
      </c>
      <c r="I1611" s="8" t="str">
        <f t="shared" si="75"/>
        <v/>
      </c>
      <c r="J1611" s="8" t="str">
        <f t="shared" si="76"/>
        <v/>
      </c>
      <c r="K1611" s="24"/>
      <c r="L1611" s="7" t="str">
        <f t="shared" si="77"/>
        <v/>
      </c>
    </row>
    <row r="1612" spans="1:12" x14ac:dyDescent="0.25">
      <c r="A1612" s="23"/>
      <c r="B1612" s="24"/>
      <c r="C1612" s="24"/>
      <c r="D1612" s="24"/>
      <c r="E1612" s="24"/>
      <c r="F1612" s="24"/>
      <c r="G1612" s="25"/>
      <c r="H1612" s="16" t="str">
        <f>IF(C1612="","",IFERROR(INDEX(Settings!$L$4:$L$56,MATCH(C1612,Settings!$K$4:$K$56,0)),"Unknown"))</f>
        <v/>
      </c>
      <c r="I1612" s="8" t="str">
        <f t="shared" si="75"/>
        <v/>
      </c>
      <c r="J1612" s="8" t="str">
        <f t="shared" si="76"/>
        <v/>
      </c>
      <c r="K1612" s="24"/>
      <c r="L1612" s="7" t="str">
        <f t="shared" si="77"/>
        <v/>
      </c>
    </row>
    <row r="1613" spans="1:12" x14ac:dyDescent="0.25">
      <c r="A1613" s="23"/>
      <c r="B1613" s="24"/>
      <c r="C1613" s="24"/>
      <c r="D1613" s="24"/>
      <c r="E1613" s="24"/>
      <c r="F1613" s="24"/>
      <c r="G1613" s="25"/>
      <c r="H1613" s="16" t="str">
        <f>IF(C1613="","",IFERROR(INDEX(Settings!$L$4:$L$56,MATCH(C1613,Settings!$K$4:$K$56,0)),"Unknown"))</f>
        <v/>
      </c>
      <c r="I1613" s="8" t="str">
        <f t="shared" si="75"/>
        <v/>
      </c>
      <c r="J1613" s="8" t="str">
        <f t="shared" si="76"/>
        <v/>
      </c>
      <c r="K1613" s="24"/>
      <c r="L1613" s="7" t="str">
        <f t="shared" si="77"/>
        <v/>
      </c>
    </row>
    <row r="1614" spans="1:12" x14ac:dyDescent="0.25">
      <c r="A1614" s="23"/>
      <c r="B1614" s="24"/>
      <c r="C1614" s="24"/>
      <c r="D1614" s="24"/>
      <c r="E1614" s="24"/>
      <c r="F1614" s="24"/>
      <c r="G1614" s="25"/>
      <c r="H1614" s="16" t="str">
        <f>IF(C1614="","",IFERROR(INDEX(Settings!$L$4:$L$56,MATCH(C1614,Settings!$K$4:$K$56,0)),"Unknown"))</f>
        <v/>
      </c>
      <c r="I1614" s="8" t="str">
        <f t="shared" si="75"/>
        <v/>
      </c>
      <c r="J1614" s="8" t="str">
        <f t="shared" si="76"/>
        <v/>
      </c>
      <c r="K1614" s="24"/>
      <c r="L1614" s="7" t="str">
        <f t="shared" si="77"/>
        <v/>
      </c>
    </row>
    <row r="1615" spans="1:12" x14ac:dyDescent="0.25">
      <c r="A1615" s="23"/>
      <c r="B1615" s="24"/>
      <c r="C1615" s="24"/>
      <c r="D1615" s="24"/>
      <c r="E1615" s="24"/>
      <c r="F1615" s="24"/>
      <c r="G1615" s="25"/>
      <c r="H1615" s="16" t="str">
        <f>IF(C1615="","",IFERROR(INDEX(Settings!$L$4:$L$56,MATCH(C1615,Settings!$K$4:$K$56,0)),"Unknown"))</f>
        <v/>
      </c>
      <c r="I1615" s="8" t="str">
        <f t="shared" si="75"/>
        <v/>
      </c>
      <c r="J1615" s="8" t="str">
        <f t="shared" si="76"/>
        <v/>
      </c>
      <c r="K1615" s="24"/>
      <c r="L1615" s="7" t="str">
        <f t="shared" si="77"/>
        <v/>
      </c>
    </row>
    <row r="1616" spans="1:12" x14ac:dyDescent="0.25">
      <c r="A1616" s="23"/>
      <c r="B1616" s="24"/>
      <c r="C1616" s="24"/>
      <c r="D1616" s="24"/>
      <c r="E1616" s="24"/>
      <c r="F1616" s="24"/>
      <c r="G1616" s="25"/>
      <c r="H1616" s="16" t="str">
        <f>IF(C1616="","",IFERROR(INDEX(Settings!$L$4:$L$56,MATCH(C1616,Settings!$K$4:$K$56,0)),"Unknown"))</f>
        <v/>
      </c>
      <c r="I1616" s="8" t="str">
        <f t="shared" si="75"/>
        <v/>
      </c>
      <c r="J1616" s="8" t="str">
        <f t="shared" si="76"/>
        <v/>
      </c>
      <c r="K1616" s="24"/>
      <c r="L1616" s="7" t="str">
        <f t="shared" si="77"/>
        <v/>
      </c>
    </row>
    <row r="1617" spans="1:12" x14ac:dyDescent="0.25">
      <c r="A1617" s="23"/>
      <c r="B1617" s="24"/>
      <c r="C1617" s="24"/>
      <c r="D1617" s="24"/>
      <c r="E1617" s="24"/>
      <c r="F1617" s="24"/>
      <c r="G1617" s="25"/>
      <c r="H1617" s="16" t="str">
        <f>IF(C1617="","",IFERROR(INDEX(Settings!$L$4:$L$56,MATCH(C1617,Settings!$K$4:$K$56,0)),"Unknown"))</f>
        <v/>
      </c>
      <c r="I1617" s="8" t="str">
        <f t="shared" si="75"/>
        <v/>
      </c>
      <c r="J1617" s="8" t="str">
        <f t="shared" si="76"/>
        <v/>
      </c>
      <c r="K1617" s="24"/>
      <c r="L1617" s="7" t="str">
        <f t="shared" si="77"/>
        <v/>
      </c>
    </row>
    <row r="1618" spans="1:12" x14ac:dyDescent="0.25">
      <c r="A1618" s="23"/>
      <c r="B1618" s="24"/>
      <c r="C1618" s="24"/>
      <c r="D1618" s="24"/>
      <c r="E1618" s="24"/>
      <c r="F1618" s="24"/>
      <c r="G1618" s="25"/>
      <c r="H1618" s="16" t="str">
        <f>IF(C1618="","",IFERROR(INDEX(Settings!$L$4:$L$56,MATCH(C1618,Settings!$K$4:$K$56,0)),"Unknown"))</f>
        <v/>
      </c>
      <c r="I1618" s="8" t="str">
        <f t="shared" si="75"/>
        <v/>
      </c>
      <c r="J1618" s="8" t="str">
        <f t="shared" si="76"/>
        <v/>
      </c>
      <c r="K1618" s="24"/>
      <c r="L1618" s="7" t="str">
        <f t="shared" si="77"/>
        <v/>
      </c>
    </row>
    <row r="1619" spans="1:12" x14ac:dyDescent="0.25">
      <c r="A1619" s="23"/>
      <c r="B1619" s="24"/>
      <c r="C1619" s="24"/>
      <c r="D1619" s="24"/>
      <c r="E1619" s="24"/>
      <c r="F1619" s="24"/>
      <c r="G1619" s="25"/>
      <c r="H1619" s="16" t="str">
        <f>IF(C1619="","",IFERROR(INDEX(Settings!$L$4:$L$56,MATCH(C1619,Settings!$K$4:$K$56,0)),"Unknown"))</f>
        <v/>
      </c>
      <c r="I1619" s="8" t="str">
        <f t="shared" si="75"/>
        <v/>
      </c>
      <c r="J1619" s="8" t="str">
        <f t="shared" si="76"/>
        <v/>
      </c>
      <c r="K1619" s="24"/>
      <c r="L1619" s="7" t="str">
        <f t="shared" si="77"/>
        <v/>
      </c>
    </row>
    <row r="1620" spans="1:12" x14ac:dyDescent="0.25">
      <c r="A1620" s="23"/>
      <c r="B1620" s="24"/>
      <c r="C1620" s="24"/>
      <c r="D1620" s="24"/>
      <c r="E1620" s="24"/>
      <c r="F1620" s="24"/>
      <c r="G1620" s="25"/>
      <c r="H1620" s="16" t="str">
        <f>IF(C1620="","",IFERROR(INDEX(Settings!$L$4:$L$56,MATCH(C1620,Settings!$K$4:$K$56,0)),"Unknown"))</f>
        <v/>
      </c>
      <c r="I1620" s="8" t="str">
        <f t="shared" si="75"/>
        <v/>
      </c>
      <c r="J1620" s="8" t="str">
        <f t="shared" si="76"/>
        <v/>
      </c>
      <c r="K1620" s="24"/>
      <c r="L1620" s="7" t="str">
        <f t="shared" si="77"/>
        <v/>
      </c>
    </row>
    <row r="1621" spans="1:12" x14ac:dyDescent="0.25">
      <c r="A1621" s="23"/>
      <c r="B1621" s="24"/>
      <c r="C1621" s="24"/>
      <c r="D1621" s="24"/>
      <c r="E1621" s="24"/>
      <c r="F1621" s="24"/>
      <c r="G1621" s="25"/>
      <c r="H1621" s="16" t="str">
        <f>IF(C1621="","",IFERROR(INDEX(Settings!$L$4:$L$56,MATCH(C1621,Settings!$K$4:$K$56,0)),"Unknown"))</f>
        <v/>
      </c>
      <c r="I1621" s="8" t="str">
        <f t="shared" si="75"/>
        <v/>
      </c>
      <c r="J1621" s="8" t="str">
        <f t="shared" si="76"/>
        <v/>
      </c>
      <c r="K1621" s="24"/>
      <c r="L1621" s="7" t="str">
        <f t="shared" si="77"/>
        <v/>
      </c>
    </row>
    <row r="1622" spans="1:12" x14ac:dyDescent="0.25">
      <c r="A1622" s="23"/>
      <c r="B1622" s="24"/>
      <c r="C1622" s="24"/>
      <c r="D1622" s="24"/>
      <c r="E1622" s="24"/>
      <c r="F1622" s="24"/>
      <c r="G1622" s="25"/>
      <c r="H1622" s="16" t="str">
        <f>IF(C1622="","",IFERROR(INDEX(Settings!$L$4:$L$56,MATCH(C1622,Settings!$K$4:$K$56,0)),"Unknown"))</f>
        <v/>
      </c>
      <c r="I1622" s="8" t="str">
        <f t="shared" si="75"/>
        <v/>
      </c>
      <c r="J1622" s="8" t="str">
        <f t="shared" si="76"/>
        <v/>
      </c>
      <c r="K1622" s="24"/>
      <c r="L1622" s="7" t="str">
        <f t="shared" si="77"/>
        <v/>
      </c>
    </row>
    <row r="1623" spans="1:12" x14ac:dyDescent="0.25">
      <c r="A1623" s="23"/>
      <c r="B1623" s="24"/>
      <c r="C1623" s="24"/>
      <c r="D1623" s="24"/>
      <c r="E1623" s="24"/>
      <c r="F1623" s="24"/>
      <c r="G1623" s="25"/>
      <c r="H1623" s="16" t="str">
        <f>IF(C1623="","",IFERROR(INDEX(Settings!$L$4:$L$56,MATCH(C1623,Settings!$K$4:$K$56,0)),"Unknown"))</f>
        <v/>
      </c>
      <c r="I1623" s="8" t="str">
        <f t="shared" si="75"/>
        <v/>
      </c>
      <c r="J1623" s="8" t="str">
        <f t="shared" si="76"/>
        <v/>
      </c>
      <c r="K1623" s="24"/>
      <c r="L1623" s="7" t="str">
        <f t="shared" si="77"/>
        <v/>
      </c>
    </row>
    <row r="1624" spans="1:12" x14ac:dyDescent="0.25">
      <c r="A1624" s="23"/>
      <c r="B1624" s="24"/>
      <c r="C1624" s="24"/>
      <c r="D1624" s="24"/>
      <c r="E1624" s="24"/>
      <c r="F1624" s="24"/>
      <c r="G1624" s="25"/>
      <c r="H1624" s="16" t="str">
        <f>IF(C1624="","",IFERROR(INDEX(Settings!$L$4:$L$56,MATCH(C1624,Settings!$K$4:$K$56,0)),"Unknown"))</f>
        <v/>
      </c>
      <c r="I1624" s="8" t="str">
        <f t="shared" si="75"/>
        <v/>
      </c>
      <c r="J1624" s="8" t="str">
        <f t="shared" si="76"/>
        <v/>
      </c>
      <c r="K1624" s="24"/>
      <c r="L1624" s="7" t="str">
        <f t="shared" si="77"/>
        <v/>
      </c>
    </row>
    <row r="1625" spans="1:12" x14ac:dyDescent="0.25">
      <c r="A1625" s="23"/>
      <c r="B1625" s="24"/>
      <c r="C1625" s="24"/>
      <c r="D1625" s="24"/>
      <c r="E1625" s="24"/>
      <c r="F1625" s="24"/>
      <c r="G1625" s="25"/>
      <c r="H1625" s="16" t="str">
        <f>IF(C1625="","",IFERROR(INDEX(Settings!$L$4:$L$56,MATCH(C1625,Settings!$K$4:$K$56,0)),"Unknown"))</f>
        <v/>
      </c>
      <c r="I1625" s="8" t="str">
        <f t="shared" si="75"/>
        <v/>
      </c>
      <c r="J1625" s="8" t="str">
        <f t="shared" si="76"/>
        <v/>
      </c>
      <c r="K1625" s="24"/>
      <c r="L1625" s="7" t="str">
        <f t="shared" si="77"/>
        <v/>
      </c>
    </row>
    <row r="1626" spans="1:12" x14ac:dyDescent="0.25">
      <c r="A1626" s="23"/>
      <c r="B1626" s="24"/>
      <c r="C1626" s="24"/>
      <c r="D1626" s="24"/>
      <c r="E1626" s="24"/>
      <c r="F1626" s="24"/>
      <c r="G1626" s="25"/>
      <c r="H1626" s="16" t="str">
        <f>IF(C1626="","",IFERROR(INDEX(Settings!$L$4:$L$56,MATCH(C1626,Settings!$K$4:$K$56,0)),"Unknown"))</f>
        <v/>
      </c>
      <c r="I1626" s="8" t="str">
        <f t="shared" si="75"/>
        <v/>
      </c>
      <c r="J1626" s="8" t="str">
        <f t="shared" si="76"/>
        <v/>
      </c>
      <c r="K1626" s="24"/>
      <c r="L1626" s="7" t="str">
        <f t="shared" si="77"/>
        <v/>
      </c>
    </row>
    <row r="1627" spans="1:12" x14ac:dyDescent="0.25">
      <c r="A1627" s="23"/>
      <c r="B1627" s="24"/>
      <c r="C1627" s="24"/>
      <c r="D1627" s="24"/>
      <c r="E1627" s="24"/>
      <c r="F1627" s="24"/>
      <c r="G1627" s="25"/>
      <c r="H1627" s="16" t="str">
        <f>IF(C1627="","",IFERROR(INDEX(Settings!$L$4:$L$56,MATCH(C1627,Settings!$K$4:$K$56,0)),"Unknown"))</f>
        <v/>
      </c>
      <c r="I1627" s="8" t="str">
        <f t="shared" si="75"/>
        <v/>
      </c>
      <c r="J1627" s="8" t="str">
        <f t="shared" si="76"/>
        <v/>
      </c>
      <c r="K1627" s="24"/>
      <c r="L1627" s="7" t="str">
        <f t="shared" si="77"/>
        <v/>
      </c>
    </row>
    <row r="1628" spans="1:12" x14ac:dyDescent="0.25">
      <c r="A1628" s="23"/>
      <c r="B1628" s="24"/>
      <c r="C1628" s="24"/>
      <c r="D1628" s="24"/>
      <c r="E1628" s="24"/>
      <c r="F1628" s="24"/>
      <c r="G1628" s="25"/>
      <c r="H1628" s="16" t="str">
        <f>IF(C1628="","",IFERROR(INDEX(Settings!$L$4:$L$56,MATCH(C1628,Settings!$K$4:$K$56,0)),"Unknown"))</f>
        <v/>
      </c>
      <c r="I1628" s="8" t="str">
        <f t="shared" si="75"/>
        <v/>
      </c>
      <c r="J1628" s="8" t="str">
        <f t="shared" si="76"/>
        <v/>
      </c>
      <c r="K1628" s="24"/>
      <c r="L1628" s="7" t="str">
        <f t="shared" si="77"/>
        <v/>
      </c>
    </row>
    <row r="1629" spans="1:12" x14ac:dyDescent="0.25">
      <c r="A1629" s="23"/>
      <c r="B1629" s="24"/>
      <c r="C1629" s="24"/>
      <c r="D1629" s="24"/>
      <c r="E1629" s="24"/>
      <c r="F1629" s="24"/>
      <c r="G1629" s="25"/>
      <c r="H1629" s="16" t="str">
        <f>IF(C1629="","",IFERROR(INDEX(Settings!$L$4:$L$56,MATCH(C1629,Settings!$K$4:$K$56,0)),"Unknown"))</f>
        <v/>
      </c>
      <c r="I1629" s="8" t="str">
        <f t="shared" si="75"/>
        <v/>
      </c>
      <c r="J1629" s="8" t="str">
        <f t="shared" si="76"/>
        <v/>
      </c>
      <c r="K1629" s="24"/>
      <c r="L1629" s="7" t="str">
        <f t="shared" si="77"/>
        <v/>
      </c>
    </row>
    <row r="1630" spans="1:12" x14ac:dyDescent="0.25">
      <c r="A1630" s="23"/>
      <c r="B1630" s="24"/>
      <c r="C1630" s="24"/>
      <c r="D1630" s="24"/>
      <c r="E1630" s="24"/>
      <c r="F1630" s="24"/>
      <c r="G1630" s="25"/>
      <c r="H1630" s="16" t="str">
        <f>IF(C1630="","",IFERROR(INDEX(Settings!$L$4:$L$56,MATCH(C1630,Settings!$K$4:$K$56,0)),"Unknown"))</f>
        <v/>
      </c>
      <c r="I1630" s="8" t="str">
        <f t="shared" si="75"/>
        <v/>
      </c>
      <c r="J1630" s="8" t="str">
        <f t="shared" si="76"/>
        <v/>
      </c>
      <c r="K1630" s="24"/>
      <c r="L1630" s="7" t="str">
        <f t="shared" si="77"/>
        <v/>
      </c>
    </row>
    <row r="1631" spans="1:12" x14ac:dyDescent="0.25">
      <c r="A1631" s="23"/>
      <c r="B1631" s="24"/>
      <c r="C1631" s="24"/>
      <c r="D1631" s="24"/>
      <c r="E1631" s="24"/>
      <c r="F1631" s="24"/>
      <c r="G1631" s="25"/>
      <c r="H1631" s="16" t="str">
        <f>IF(C1631="","",IFERROR(INDEX(Settings!$L$4:$L$56,MATCH(C1631,Settings!$K$4:$K$56,0)),"Unknown"))</f>
        <v/>
      </c>
      <c r="I1631" s="8" t="str">
        <f t="shared" si="75"/>
        <v/>
      </c>
      <c r="J1631" s="8" t="str">
        <f t="shared" si="76"/>
        <v/>
      </c>
      <c r="K1631" s="24"/>
      <c r="L1631" s="7" t="str">
        <f t="shared" si="77"/>
        <v/>
      </c>
    </row>
    <row r="1632" spans="1:12" x14ac:dyDescent="0.25">
      <c r="A1632" s="23"/>
      <c r="B1632" s="24"/>
      <c r="C1632" s="24"/>
      <c r="D1632" s="24"/>
      <c r="E1632" s="24"/>
      <c r="F1632" s="24"/>
      <c r="G1632" s="25"/>
      <c r="H1632" s="16" t="str">
        <f>IF(C1632="","",IFERROR(INDEX(Settings!$L$4:$L$56,MATCH(C1632,Settings!$K$4:$K$56,0)),"Unknown"))</f>
        <v/>
      </c>
      <c r="I1632" s="8" t="str">
        <f t="shared" si="75"/>
        <v/>
      </c>
      <c r="J1632" s="8" t="str">
        <f t="shared" si="76"/>
        <v/>
      </c>
      <c r="K1632" s="24"/>
      <c r="L1632" s="7" t="str">
        <f t="shared" si="77"/>
        <v/>
      </c>
    </row>
    <row r="1633" spans="1:12" x14ac:dyDescent="0.25">
      <c r="A1633" s="23"/>
      <c r="B1633" s="24"/>
      <c r="C1633" s="24"/>
      <c r="D1633" s="24"/>
      <c r="E1633" s="24"/>
      <c r="F1633" s="24"/>
      <c r="G1633" s="25"/>
      <c r="H1633" s="16" t="str">
        <f>IF(C1633="","",IFERROR(INDEX(Settings!$L$4:$L$56,MATCH(C1633,Settings!$K$4:$K$56,0)),"Unknown"))</f>
        <v/>
      </c>
      <c r="I1633" s="8" t="str">
        <f t="shared" si="75"/>
        <v/>
      </c>
      <c r="J1633" s="8" t="str">
        <f t="shared" si="76"/>
        <v/>
      </c>
      <c r="K1633" s="24"/>
      <c r="L1633" s="7" t="str">
        <f t="shared" si="77"/>
        <v/>
      </c>
    </row>
    <row r="1634" spans="1:12" x14ac:dyDescent="0.25">
      <c r="A1634" s="23"/>
      <c r="B1634" s="24"/>
      <c r="C1634" s="24"/>
      <c r="D1634" s="24"/>
      <c r="E1634" s="24"/>
      <c r="F1634" s="24"/>
      <c r="G1634" s="25"/>
      <c r="H1634" s="16" t="str">
        <f>IF(C1634="","",IFERROR(INDEX(Settings!$L$4:$L$56,MATCH(C1634,Settings!$K$4:$K$56,0)),"Unknown"))</f>
        <v/>
      </c>
      <c r="I1634" s="8" t="str">
        <f t="shared" si="75"/>
        <v/>
      </c>
      <c r="J1634" s="8" t="str">
        <f t="shared" si="76"/>
        <v/>
      </c>
      <c r="K1634" s="24"/>
      <c r="L1634" s="7" t="str">
        <f t="shared" si="77"/>
        <v/>
      </c>
    </row>
    <row r="1635" spans="1:12" x14ac:dyDescent="0.25">
      <c r="A1635" s="23"/>
      <c r="B1635" s="24"/>
      <c r="C1635" s="24"/>
      <c r="D1635" s="24"/>
      <c r="E1635" s="24"/>
      <c r="F1635" s="24"/>
      <c r="G1635" s="25"/>
      <c r="H1635" s="16" t="str">
        <f>IF(C1635="","",IFERROR(INDEX(Settings!$L$4:$L$56,MATCH(C1635,Settings!$K$4:$K$56,0)),"Unknown"))</f>
        <v/>
      </c>
      <c r="I1635" s="8" t="str">
        <f t="shared" si="75"/>
        <v/>
      </c>
      <c r="J1635" s="8" t="str">
        <f t="shared" si="76"/>
        <v/>
      </c>
      <c r="K1635" s="24"/>
      <c r="L1635" s="7" t="str">
        <f t="shared" si="77"/>
        <v/>
      </c>
    </row>
    <row r="1636" spans="1:12" x14ac:dyDescent="0.25">
      <c r="A1636" s="23"/>
      <c r="B1636" s="24"/>
      <c r="C1636" s="24"/>
      <c r="D1636" s="24"/>
      <c r="E1636" s="24"/>
      <c r="F1636" s="24"/>
      <c r="G1636" s="25"/>
      <c r="H1636" s="16" t="str">
        <f>IF(C1636="","",IFERROR(INDEX(Settings!$L$4:$L$56,MATCH(C1636,Settings!$K$4:$K$56,0)),"Unknown"))</f>
        <v/>
      </c>
      <c r="I1636" s="8" t="str">
        <f t="shared" si="75"/>
        <v/>
      </c>
      <c r="J1636" s="8" t="str">
        <f t="shared" si="76"/>
        <v/>
      </c>
      <c r="K1636" s="24"/>
      <c r="L1636" s="7" t="str">
        <f t="shared" si="77"/>
        <v/>
      </c>
    </row>
    <row r="1637" spans="1:12" x14ac:dyDescent="0.25">
      <c r="A1637" s="23"/>
      <c r="B1637" s="24"/>
      <c r="C1637" s="24"/>
      <c r="D1637" s="24"/>
      <c r="E1637" s="24"/>
      <c r="F1637" s="24"/>
      <c r="G1637" s="25"/>
      <c r="H1637" s="16" t="str">
        <f>IF(C1637="","",IFERROR(INDEX(Settings!$L$4:$L$56,MATCH(C1637,Settings!$K$4:$K$56,0)),"Unknown"))</f>
        <v/>
      </c>
      <c r="I1637" s="8" t="str">
        <f t="shared" si="75"/>
        <v/>
      </c>
      <c r="J1637" s="8" t="str">
        <f t="shared" si="76"/>
        <v/>
      </c>
      <c r="K1637" s="24"/>
      <c r="L1637" s="7" t="str">
        <f t="shared" si="77"/>
        <v/>
      </c>
    </row>
    <row r="1638" spans="1:12" x14ac:dyDescent="0.25">
      <c r="A1638" s="23"/>
      <c r="B1638" s="24"/>
      <c r="C1638" s="24"/>
      <c r="D1638" s="24"/>
      <c r="E1638" s="24"/>
      <c r="F1638" s="24"/>
      <c r="G1638" s="25"/>
      <c r="H1638" s="16" t="str">
        <f>IF(C1638="","",IFERROR(INDEX(Settings!$L$4:$L$56,MATCH(C1638,Settings!$K$4:$K$56,0)),"Unknown"))</f>
        <v/>
      </c>
      <c r="I1638" s="8" t="str">
        <f t="shared" si="75"/>
        <v/>
      </c>
      <c r="J1638" s="8" t="str">
        <f t="shared" si="76"/>
        <v/>
      </c>
      <c r="K1638" s="24"/>
      <c r="L1638" s="7" t="str">
        <f t="shared" si="77"/>
        <v/>
      </c>
    </row>
    <row r="1639" spans="1:12" x14ac:dyDescent="0.25">
      <c r="A1639" s="23"/>
      <c r="B1639" s="24"/>
      <c r="C1639" s="24"/>
      <c r="D1639" s="24"/>
      <c r="E1639" s="24"/>
      <c r="F1639" s="24"/>
      <c r="G1639" s="25"/>
      <c r="H1639" s="16" t="str">
        <f>IF(C1639="","",IFERROR(INDEX(Settings!$L$4:$L$56,MATCH(C1639,Settings!$K$4:$K$56,0)),"Unknown"))</f>
        <v/>
      </c>
      <c r="I1639" s="8" t="str">
        <f t="shared" si="75"/>
        <v/>
      </c>
      <c r="J1639" s="8" t="str">
        <f t="shared" si="76"/>
        <v/>
      </c>
      <c r="K1639" s="24"/>
      <c r="L1639" s="7" t="str">
        <f t="shared" si="77"/>
        <v/>
      </c>
    </row>
    <row r="1640" spans="1:12" x14ac:dyDescent="0.25">
      <c r="A1640" s="23"/>
      <c r="B1640" s="24"/>
      <c r="C1640" s="24"/>
      <c r="D1640" s="24"/>
      <c r="E1640" s="24"/>
      <c r="F1640" s="24"/>
      <c r="G1640" s="25"/>
      <c r="H1640" s="16" t="str">
        <f>IF(C1640="","",IFERROR(INDEX(Settings!$L$4:$L$56,MATCH(C1640,Settings!$K$4:$K$56,0)),"Unknown"))</f>
        <v/>
      </c>
      <c r="I1640" s="8" t="str">
        <f t="shared" si="75"/>
        <v/>
      </c>
      <c r="J1640" s="8" t="str">
        <f t="shared" si="76"/>
        <v/>
      </c>
      <c r="K1640" s="24"/>
      <c r="L1640" s="7" t="str">
        <f t="shared" si="77"/>
        <v/>
      </c>
    </row>
    <row r="1641" spans="1:12" x14ac:dyDescent="0.25">
      <c r="A1641" s="23"/>
      <c r="B1641" s="24"/>
      <c r="C1641" s="24"/>
      <c r="D1641" s="24"/>
      <c r="E1641" s="24"/>
      <c r="F1641" s="24"/>
      <c r="G1641" s="25"/>
      <c r="H1641" s="16" t="str">
        <f>IF(C1641="","",IFERROR(INDEX(Settings!$L$4:$L$56,MATCH(C1641,Settings!$K$4:$K$56,0)),"Unknown"))</f>
        <v/>
      </c>
      <c r="I1641" s="8" t="str">
        <f t="shared" si="75"/>
        <v/>
      </c>
      <c r="J1641" s="8" t="str">
        <f t="shared" si="76"/>
        <v/>
      </c>
      <c r="K1641" s="24"/>
      <c r="L1641" s="7" t="str">
        <f t="shared" si="77"/>
        <v/>
      </c>
    </row>
    <row r="1642" spans="1:12" x14ac:dyDescent="0.25">
      <c r="A1642" s="23"/>
      <c r="B1642" s="24"/>
      <c r="C1642" s="24"/>
      <c r="D1642" s="24"/>
      <c r="E1642" s="24"/>
      <c r="F1642" s="24"/>
      <c r="G1642" s="25"/>
      <c r="H1642" s="16" t="str">
        <f>IF(C1642="","",IFERROR(INDEX(Settings!$L$4:$L$56,MATCH(C1642,Settings!$K$4:$K$56,0)),"Unknown"))</f>
        <v/>
      </c>
      <c r="I1642" s="8" t="str">
        <f t="shared" si="75"/>
        <v/>
      </c>
      <c r="J1642" s="8" t="str">
        <f t="shared" si="76"/>
        <v/>
      </c>
      <c r="K1642" s="24"/>
      <c r="L1642" s="7" t="str">
        <f t="shared" si="77"/>
        <v/>
      </c>
    </row>
    <row r="1643" spans="1:12" x14ac:dyDescent="0.25">
      <c r="A1643" s="23"/>
      <c r="B1643" s="24"/>
      <c r="C1643" s="24"/>
      <c r="D1643" s="24"/>
      <c r="E1643" s="24"/>
      <c r="F1643" s="24"/>
      <c r="G1643" s="25"/>
      <c r="H1643" s="16" t="str">
        <f>IF(C1643="","",IFERROR(INDEX(Settings!$L$4:$L$56,MATCH(C1643,Settings!$K$4:$K$56,0)),"Unknown"))</f>
        <v/>
      </c>
      <c r="I1643" s="8" t="str">
        <f t="shared" si="75"/>
        <v/>
      </c>
      <c r="J1643" s="8" t="str">
        <f t="shared" si="76"/>
        <v/>
      </c>
      <c r="K1643" s="24"/>
      <c r="L1643" s="7" t="str">
        <f t="shared" si="77"/>
        <v/>
      </c>
    </row>
    <row r="1644" spans="1:12" x14ac:dyDescent="0.25">
      <c r="A1644" s="23"/>
      <c r="B1644" s="24"/>
      <c r="C1644" s="24"/>
      <c r="D1644" s="24"/>
      <c r="E1644" s="24"/>
      <c r="F1644" s="24"/>
      <c r="G1644" s="25"/>
      <c r="H1644" s="16" t="str">
        <f>IF(C1644="","",IFERROR(INDEX(Settings!$L$4:$L$56,MATCH(C1644,Settings!$K$4:$K$56,0)),"Unknown"))</f>
        <v/>
      </c>
      <c r="I1644" s="8" t="str">
        <f t="shared" si="75"/>
        <v/>
      </c>
      <c r="J1644" s="8" t="str">
        <f t="shared" si="76"/>
        <v/>
      </c>
      <c r="K1644" s="24"/>
      <c r="L1644" s="7" t="str">
        <f t="shared" si="77"/>
        <v/>
      </c>
    </row>
    <row r="1645" spans="1:12" x14ac:dyDescent="0.25">
      <c r="A1645" s="23"/>
      <c r="B1645" s="24"/>
      <c r="C1645" s="24"/>
      <c r="D1645" s="24"/>
      <c r="E1645" s="24"/>
      <c r="F1645" s="24"/>
      <c r="G1645" s="25"/>
      <c r="H1645" s="16" t="str">
        <f>IF(C1645="","",IFERROR(INDEX(Settings!$L$4:$L$56,MATCH(C1645,Settings!$K$4:$K$56,0)),"Unknown"))</f>
        <v/>
      </c>
      <c r="I1645" s="8" t="str">
        <f t="shared" si="75"/>
        <v/>
      </c>
      <c r="J1645" s="8" t="str">
        <f t="shared" si="76"/>
        <v/>
      </c>
      <c r="K1645" s="24"/>
      <c r="L1645" s="7" t="str">
        <f t="shared" si="77"/>
        <v/>
      </c>
    </row>
    <row r="1646" spans="1:12" x14ac:dyDescent="0.25">
      <c r="A1646" s="23"/>
      <c r="B1646" s="24"/>
      <c r="C1646" s="24"/>
      <c r="D1646" s="24"/>
      <c r="E1646" s="24"/>
      <c r="F1646" s="24"/>
      <c r="G1646" s="25"/>
      <c r="H1646" s="16" t="str">
        <f>IF(C1646="","",IFERROR(INDEX(Settings!$L$4:$L$56,MATCH(C1646,Settings!$K$4:$K$56,0)),"Unknown"))</f>
        <v/>
      </c>
      <c r="I1646" s="8" t="str">
        <f t="shared" si="75"/>
        <v/>
      </c>
      <c r="J1646" s="8" t="str">
        <f t="shared" si="76"/>
        <v/>
      </c>
      <c r="K1646" s="24"/>
      <c r="L1646" s="7" t="str">
        <f t="shared" si="77"/>
        <v/>
      </c>
    </row>
    <row r="1647" spans="1:12" x14ac:dyDescent="0.25">
      <c r="A1647" s="23"/>
      <c r="B1647" s="24"/>
      <c r="C1647" s="24"/>
      <c r="D1647" s="24"/>
      <c r="E1647" s="24"/>
      <c r="F1647" s="24"/>
      <c r="G1647" s="25"/>
      <c r="H1647" s="16" t="str">
        <f>IF(C1647="","",IFERROR(INDEX(Settings!$L$4:$L$56,MATCH(C1647,Settings!$K$4:$K$56,0)),"Unknown"))</f>
        <v/>
      </c>
      <c r="I1647" s="8" t="str">
        <f t="shared" si="75"/>
        <v/>
      </c>
      <c r="J1647" s="8" t="str">
        <f t="shared" si="76"/>
        <v/>
      </c>
      <c r="K1647" s="24"/>
      <c r="L1647" s="7" t="str">
        <f t="shared" si="77"/>
        <v/>
      </c>
    </row>
    <row r="1648" spans="1:12" x14ac:dyDescent="0.25">
      <c r="A1648" s="23"/>
      <c r="B1648" s="24"/>
      <c r="C1648" s="24"/>
      <c r="D1648" s="24"/>
      <c r="E1648" s="24"/>
      <c r="F1648" s="24"/>
      <c r="G1648" s="25"/>
      <c r="H1648" s="16" t="str">
        <f>IF(C1648="","",IFERROR(INDEX(Settings!$L$4:$L$56,MATCH(C1648,Settings!$K$4:$K$56,0)),"Unknown"))</f>
        <v/>
      </c>
      <c r="I1648" s="8" t="str">
        <f t="shared" si="75"/>
        <v/>
      </c>
      <c r="J1648" s="8" t="str">
        <f t="shared" si="76"/>
        <v/>
      </c>
      <c r="K1648" s="24"/>
      <c r="L1648" s="7" t="str">
        <f t="shared" si="77"/>
        <v/>
      </c>
    </row>
    <row r="1649" spans="1:12" x14ac:dyDescent="0.25">
      <c r="A1649" s="23"/>
      <c r="B1649" s="24"/>
      <c r="C1649" s="24"/>
      <c r="D1649" s="24"/>
      <c r="E1649" s="24"/>
      <c r="F1649" s="24"/>
      <c r="G1649" s="25"/>
      <c r="H1649" s="16" t="str">
        <f>IF(C1649="","",IFERROR(INDEX(Settings!$L$4:$L$56,MATCH(C1649,Settings!$K$4:$K$56,0)),"Unknown"))</f>
        <v/>
      </c>
      <c r="I1649" s="8" t="str">
        <f t="shared" si="75"/>
        <v/>
      </c>
      <c r="J1649" s="8" t="str">
        <f t="shared" si="76"/>
        <v/>
      </c>
      <c r="K1649" s="24"/>
      <c r="L1649" s="7" t="str">
        <f t="shared" si="77"/>
        <v/>
      </c>
    </row>
    <row r="1650" spans="1:12" x14ac:dyDescent="0.25">
      <c r="A1650" s="23"/>
      <c r="B1650" s="24"/>
      <c r="C1650" s="24"/>
      <c r="D1650" s="24"/>
      <c r="E1650" s="24"/>
      <c r="F1650" s="24"/>
      <c r="G1650" s="25"/>
      <c r="H1650" s="16" t="str">
        <f>IF(C1650="","",IFERROR(INDEX(Settings!$L$4:$L$56,MATCH(C1650,Settings!$K$4:$K$56,0)),"Unknown"))</f>
        <v/>
      </c>
      <c r="I1650" s="8" t="str">
        <f t="shared" si="75"/>
        <v/>
      </c>
      <c r="J1650" s="8" t="str">
        <f t="shared" si="76"/>
        <v/>
      </c>
      <c r="K1650" s="24"/>
      <c r="L1650" s="7" t="str">
        <f t="shared" si="77"/>
        <v/>
      </c>
    </row>
    <row r="1651" spans="1:12" x14ac:dyDescent="0.25">
      <c r="A1651" s="23"/>
      <c r="B1651" s="24"/>
      <c r="C1651" s="24"/>
      <c r="D1651" s="24"/>
      <c r="E1651" s="24"/>
      <c r="F1651" s="24"/>
      <c r="G1651" s="25"/>
      <c r="H1651" s="16" t="str">
        <f>IF(C1651="","",IFERROR(INDEX(Settings!$L$4:$L$56,MATCH(C1651,Settings!$K$4:$K$56,0)),"Unknown"))</f>
        <v/>
      </c>
      <c r="I1651" s="8" t="str">
        <f t="shared" si="75"/>
        <v/>
      </c>
      <c r="J1651" s="8" t="str">
        <f t="shared" si="76"/>
        <v/>
      </c>
      <c r="K1651" s="24"/>
      <c r="L1651" s="7" t="str">
        <f t="shared" si="77"/>
        <v/>
      </c>
    </row>
    <row r="1652" spans="1:12" x14ac:dyDescent="0.25">
      <c r="A1652" s="23"/>
      <c r="B1652" s="24"/>
      <c r="C1652" s="24"/>
      <c r="D1652" s="24"/>
      <c r="E1652" s="24"/>
      <c r="F1652" s="24"/>
      <c r="G1652" s="25"/>
      <c r="H1652" s="16" t="str">
        <f>IF(C1652="","",IFERROR(INDEX(Settings!$L$4:$L$56,MATCH(C1652,Settings!$K$4:$K$56,0)),"Unknown"))</f>
        <v/>
      </c>
      <c r="I1652" s="8" t="str">
        <f t="shared" si="75"/>
        <v/>
      </c>
      <c r="J1652" s="8" t="str">
        <f t="shared" si="76"/>
        <v/>
      </c>
      <c r="K1652" s="24"/>
      <c r="L1652" s="7" t="str">
        <f t="shared" si="77"/>
        <v/>
      </c>
    </row>
    <row r="1653" spans="1:12" x14ac:dyDescent="0.25">
      <c r="A1653" s="23"/>
      <c r="B1653" s="24"/>
      <c r="C1653" s="24"/>
      <c r="D1653" s="24"/>
      <c r="E1653" s="24"/>
      <c r="F1653" s="24"/>
      <c r="G1653" s="25"/>
      <c r="H1653" s="16" t="str">
        <f>IF(C1653="","",IFERROR(INDEX(Settings!$L$4:$L$56,MATCH(C1653,Settings!$K$4:$K$56,0)),"Unknown"))</f>
        <v/>
      </c>
      <c r="I1653" s="8" t="str">
        <f t="shared" si="75"/>
        <v/>
      </c>
      <c r="J1653" s="8" t="str">
        <f t="shared" si="76"/>
        <v/>
      </c>
      <c r="K1653" s="24"/>
      <c r="L1653" s="7" t="str">
        <f t="shared" si="77"/>
        <v/>
      </c>
    </row>
    <row r="1654" spans="1:12" x14ac:dyDescent="0.25">
      <c r="A1654" s="23"/>
      <c r="B1654" s="24"/>
      <c r="C1654" s="24"/>
      <c r="D1654" s="24"/>
      <c r="E1654" s="24"/>
      <c r="F1654" s="24"/>
      <c r="G1654" s="25"/>
      <c r="H1654" s="16" t="str">
        <f>IF(C1654="","",IFERROR(INDEX(Settings!$L$4:$L$56,MATCH(C1654,Settings!$K$4:$K$56,0)),"Unknown"))</f>
        <v/>
      </c>
      <c r="I1654" s="8" t="str">
        <f t="shared" si="75"/>
        <v/>
      </c>
      <c r="J1654" s="8" t="str">
        <f t="shared" si="76"/>
        <v/>
      </c>
      <c r="K1654" s="24"/>
      <c r="L1654" s="7" t="str">
        <f t="shared" si="77"/>
        <v/>
      </c>
    </row>
    <row r="1655" spans="1:12" x14ac:dyDescent="0.25">
      <c r="A1655" s="23"/>
      <c r="B1655" s="24"/>
      <c r="C1655" s="24"/>
      <c r="D1655" s="24"/>
      <c r="E1655" s="24"/>
      <c r="F1655" s="24"/>
      <c r="G1655" s="25"/>
      <c r="H1655" s="16" t="str">
        <f>IF(C1655="","",IFERROR(INDEX(Settings!$L$4:$L$56,MATCH(C1655,Settings!$K$4:$K$56,0)),"Unknown"))</f>
        <v/>
      </c>
      <c r="I1655" s="8" t="str">
        <f t="shared" si="75"/>
        <v/>
      </c>
      <c r="J1655" s="8" t="str">
        <f t="shared" si="76"/>
        <v/>
      </c>
      <c r="K1655" s="24"/>
      <c r="L1655" s="7" t="str">
        <f t="shared" si="77"/>
        <v/>
      </c>
    </row>
    <row r="1656" spans="1:12" x14ac:dyDescent="0.25">
      <c r="A1656" s="23"/>
      <c r="B1656" s="24"/>
      <c r="C1656" s="24"/>
      <c r="D1656" s="24"/>
      <c r="E1656" s="24"/>
      <c r="F1656" s="24"/>
      <c r="G1656" s="25"/>
      <c r="H1656" s="16" t="str">
        <f>IF(C1656="","",IFERROR(INDEX(Settings!$L$4:$L$56,MATCH(C1656,Settings!$K$4:$K$56,0)),"Unknown"))</f>
        <v/>
      </c>
      <c r="I1656" s="8" t="str">
        <f t="shared" si="75"/>
        <v/>
      </c>
      <c r="J1656" s="8" t="str">
        <f t="shared" si="76"/>
        <v/>
      </c>
      <c r="K1656" s="24"/>
      <c r="L1656" s="7" t="str">
        <f t="shared" si="77"/>
        <v/>
      </c>
    </row>
    <row r="1657" spans="1:12" x14ac:dyDescent="0.25">
      <c r="A1657" s="23"/>
      <c r="B1657" s="24"/>
      <c r="C1657" s="24"/>
      <c r="D1657" s="24"/>
      <c r="E1657" s="24"/>
      <c r="F1657" s="24"/>
      <c r="G1657" s="25"/>
      <c r="H1657" s="16" t="str">
        <f>IF(C1657="","",IFERROR(INDEX(Settings!$L$4:$L$56,MATCH(C1657,Settings!$K$4:$K$56,0)),"Unknown"))</f>
        <v/>
      </c>
      <c r="I1657" s="8" t="str">
        <f t="shared" si="75"/>
        <v/>
      </c>
      <c r="J1657" s="8" t="str">
        <f t="shared" si="76"/>
        <v/>
      </c>
      <c r="K1657" s="24"/>
      <c r="L1657" s="7" t="str">
        <f t="shared" si="77"/>
        <v/>
      </c>
    </row>
    <row r="1658" spans="1:12" x14ac:dyDescent="0.25">
      <c r="A1658" s="23"/>
      <c r="B1658" s="24"/>
      <c r="C1658" s="24"/>
      <c r="D1658" s="24"/>
      <c r="E1658" s="24"/>
      <c r="F1658" s="24"/>
      <c r="G1658" s="25"/>
      <c r="H1658" s="16" t="str">
        <f>IF(C1658="","",IFERROR(INDEX(Settings!$L$4:$L$56,MATCH(C1658,Settings!$K$4:$K$56,0)),"Unknown"))</f>
        <v/>
      </c>
      <c r="I1658" s="8" t="str">
        <f t="shared" si="75"/>
        <v/>
      </c>
      <c r="J1658" s="8" t="str">
        <f t="shared" si="76"/>
        <v/>
      </c>
      <c r="K1658" s="24"/>
      <c r="L1658" s="7" t="str">
        <f t="shared" si="77"/>
        <v/>
      </c>
    </row>
    <row r="1659" spans="1:12" x14ac:dyDescent="0.25">
      <c r="A1659" s="23"/>
      <c r="B1659" s="24"/>
      <c r="C1659" s="24"/>
      <c r="D1659" s="24"/>
      <c r="E1659" s="24"/>
      <c r="F1659" s="24"/>
      <c r="G1659" s="25"/>
      <c r="H1659" s="16" t="str">
        <f>IF(C1659="","",IFERROR(INDEX(Settings!$L$4:$L$56,MATCH(C1659,Settings!$K$4:$K$56,0)),"Unknown"))</f>
        <v/>
      </c>
      <c r="I1659" s="8" t="str">
        <f t="shared" si="75"/>
        <v/>
      </c>
      <c r="J1659" s="8" t="str">
        <f t="shared" si="76"/>
        <v/>
      </c>
      <c r="K1659" s="24"/>
      <c r="L1659" s="7" t="str">
        <f t="shared" si="77"/>
        <v/>
      </c>
    </row>
    <row r="1660" spans="1:12" x14ac:dyDescent="0.25">
      <c r="A1660" s="23"/>
      <c r="B1660" s="24"/>
      <c r="C1660" s="24"/>
      <c r="D1660" s="24"/>
      <c r="E1660" s="24"/>
      <c r="F1660" s="24"/>
      <c r="G1660" s="25"/>
      <c r="H1660" s="16" t="str">
        <f>IF(C1660="","",IFERROR(INDEX(Settings!$L$4:$L$56,MATCH(C1660,Settings!$K$4:$K$56,0)),"Unknown"))</f>
        <v/>
      </c>
      <c r="I1660" s="8" t="str">
        <f t="shared" si="75"/>
        <v/>
      </c>
      <c r="J1660" s="8" t="str">
        <f t="shared" si="76"/>
        <v/>
      </c>
      <c r="K1660" s="24"/>
      <c r="L1660" s="7" t="str">
        <f t="shared" si="77"/>
        <v/>
      </c>
    </row>
    <row r="1661" spans="1:12" x14ac:dyDescent="0.25">
      <c r="A1661" s="23"/>
      <c r="B1661" s="24"/>
      <c r="C1661" s="24"/>
      <c r="D1661" s="24"/>
      <c r="E1661" s="24"/>
      <c r="F1661" s="24"/>
      <c r="G1661" s="25"/>
      <c r="H1661" s="16" t="str">
        <f>IF(C1661="","",IFERROR(INDEX(Settings!$L$4:$L$56,MATCH(C1661,Settings!$K$4:$K$56,0)),"Unknown"))</f>
        <v/>
      </c>
      <c r="I1661" s="8" t="str">
        <f t="shared" si="75"/>
        <v/>
      </c>
      <c r="J1661" s="8" t="str">
        <f t="shared" si="76"/>
        <v/>
      </c>
      <c r="K1661" s="24"/>
      <c r="L1661" s="7" t="str">
        <f t="shared" si="77"/>
        <v/>
      </c>
    </row>
    <row r="1662" spans="1:12" x14ac:dyDescent="0.25">
      <c r="A1662" s="23"/>
      <c r="B1662" s="24"/>
      <c r="C1662" s="24"/>
      <c r="D1662" s="24"/>
      <c r="E1662" s="24"/>
      <c r="F1662" s="24"/>
      <c r="G1662" s="25"/>
      <c r="H1662" s="16" t="str">
        <f>IF(C1662="","",IFERROR(INDEX(Settings!$L$4:$L$56,MATCH(C1662,Settings!$K$4:$K$56,0)),"Unknown"))</f>
        <v/>
      </c>
      <c r="I1662" s="8" t="str">
        <f t="shared" si="75"/>
        <v/>
      </c>
      <c r="J1662" s="8" t="str">
        <f t="shared" si="76"/>
        <v/>
      </c>
      <c r="K1662" s="24"/>
      <c r="L1662" s="7" t="str">
        <f t="shared" si="77"/>
        <v/>
      </c>
    </row>
    <row r="1663" spans="1:12" x14ac:dyDescent="0.25">
      <c r="A1663" s="23"/>
      <c r="B1663" s="24"/>
      <c r="C1663" s="24"/>
      <c r="D1663" s="24"/>
      <c r="E1663" s="24"/>
      <c r="F1663" s="24"/>
      <c r="G1663" s="25"/>
      <c r="H1663" s="16" t="str">
        <f>IF(C1663="","",IFERROR(INDEX(Settings!$L$4:$L$56,MATCH(C1663,Settings!$K$4:$K$56,0)),"Unknown"))</f>
        <v/>
      </c>
      <c r="I1663" s="8" t="str">
        <f t="shared" si="75"/>
        <v/>
      </c>
      <c r="J1663" s="8" t="str">
        <f t="shared" si="76"/>
        <v/>
      </c>
      <c r="K1663" s="24"/>
      <c r="L1663" s="7" t="str">
        <f t="shared" si="77"/>
        <v/>
      </c>
    </row>
    <row r="1664" spans="1:12" x14ac:dyDescent="0.25">
      <c r="A1664" s="23"/>
      <c r="B1664" s="24"/>
      <c r="C1664" s="24"/>
      <c r="D1664" s="24"/>
      <c r="E1664" s="24"/>
      <c r="F1664" s="24"/>
      <c r="G1664" s="25"/>
      <c r="H1664" s="16" t="str">
        <f>IF(C1664="","",IFERROR(INDEX(Settings!$L$4:$L$56,MATCH(C1664,Settings!$K$4:$K$56,0)),"Unknown"))</f>
        <v/>
      </c>
      <c r="I1664" s="8" t="str">
        <f t="shared" si="75"/>
        <v/>
      </c>
      <c r="J1664" s="8" t="str">
        <f t="shared" si="76"/>
        <v/>
      </c>
      <c r="K1664" s="24"/>
      <c r="L1664" s="7" t="str">
        <f t="shared" si="77"/>
        <v/>
      </c>
    </row>
    <row r="1665" spans="1:12" x14ac:dyDescent="0.25">
      <c r="A1665" s="23"/>
      <c r="B1665" s="24"/>
      <c r="C1665" s="24"/>
      <c r="D1665" s="24"/>
      <c r="E1665" s="24"/>
      <c r="F1665" s="24"/>
      <c r="G1665" s="25"/>
      <c r="H1665" s="16" t="str">
        <f>IF(C1665="","",IFERROR(INDEX(Settings!$L$4:$L$56,MATCH(C1665,Settings!$K$4:$K$56,0)),"Unknown"))</f>
        <v/>
      </c>
      <c r="I1665" s="8" t="str">
        <f t="shared" si="75"/>
        <v/>
      </c>
      <c r="J1665" s="8" t="str">
        <f t="shared" si="76"/>
        <v/>
      </c>
      <c r="K1665" s="24"/>
      <c r="L1665" s="7" t="str">
        <f t="shared" si="77"/>
        <v/>
      </c>
    </row>
    <row r="1666" spans="1:12" x14ac:dyDescent="0.25">
      <c r="A1666" s="23"/>
      <c r="B1666" s="24"/>
      <c r="C1666" s="24"/>
      <c r="D1666" s="24"/>
      <c r="E1666" s="24"/>
      <c r="F1666" s="24"/>
      <c r="G1666" s="25"/>
      <c r="H1666" s="16" t="str">
        <f>IF(C1666="","",IFERROR(INDEX(Settings!$L$4:$L$56,MATCH(C1666,Settings!$K$4:$K$56,0)),"Unknown"))</f>
        <v/>
      </c>
      <c r="I1666" s="8" t="str">
        <f t="shared" si="75"/>
        <v/>
      </c>
      <c r="J1666" s="8" t="str">
        <f t="shared" si="76"/>
        <v/>
      </c>
      <c r="K1666" s="24"/>
      <c r="L1666" s="7" t="str">
        <f t="shared" si="77"/>
        <v/>
      </c>
    </row>
    <row r="1667" spans="1:12" x14ac:dyDescent="0.25">
      <c r="A1667" s="23"/>
      <c r="B1667" s="24"/>
      <c r="C1667" s="24"/>
      <c r="D1667" s="24"/>
      <c r="E1667" s="24"/>
      <c r="F1667" s="24"/>
      <c r="G1667" s="25"/>
      <c r="H1667" s="16" t="str">
        <f>IF(C1667="","",IFERROR(INDEX(Settings!$L$4:$L$56,MATCH(C1667,Settings!$K$4:$K$56,0)),"Unknown"))</f>
        <v/>
      </c>
      <c r="I1667" s="8" t="str">
        <f t="shared" si="75"/>
        <v/>
      </c>
      <c r="J1667" s="8" t="str">
        <f t="shared" si="76"/>
        <v/>
      </c>
      <c r="K1667" s="24"/>
      <c r="L1667" s="7" t="str">
        <f t="shared" si="77"/>
        <v/>
      </c>
    </row>
    <row r="1668" spans="1:12" x14ac:dyDescent="0.25">
      <c r="A1668" s="23"/>
      <c r="B1668" s="24"/>
      <c r="C1668" s="24"/>
      <c r="D1668" s="24"/>
      <c r="E1668" s="24"/>
      <c r="F1668" s="24"/>
      <c r="G1668" s="25"/>
      <c r="H1668" s="16" t="str">
        <f>IF(C1668="","",IFERROR(INDEX(Settings!$L$4:$L$56,MATCH(C1668,Settings!$K$4:$K$56,0)),"Unknown"))</f>
        <v/>
      </c>
      <c r="I1668" s="8" t="str">
        <f t="shared" si="75"/>
        <v/>
      </c>
      <c r="J1668" s="8" t="str">
        <f t="shared" si="76"/>
        <v/>
      </c>
      <c r="K1668" s="24"/>
      <c r="L1668" s="7" t="str">
        <f t="shared" si="77"/>
        <v/>
      </c>
    </row>
    <row r="1669" spans="1:12" x14ac:dyDescent="0.25">
      <c r="A1669" s="23"/>
      <c r="B1669" s="24"/>
      <c r="C1669" s="24"/>
      <c r="D1669" s="24"/>
      <c r="E1669" s="24"/>
      <c r="F1669" s="24"/>
      <c r="G1669" s="25"/>
      <c r="H1669" s="16" t="str">
        <f>IF(C1669="","",IFERROR(INDEX(Settings!$L$4:$L$56,MATCH(C1669,Settings!$K$4:$K$56,0)),"Unknown"))</f>
        <v/>
      </c>
      <c r="I1669" s="8" t="str">
        <f t="shared" si="75"/>
        <v/>
      </c>
      <c r="J1669" s="8" t="str">
        <f t="shared" si="76"/>
        <v/>
      </c>
      <c r="K1669" s="24"/>
      <c r="L1669" s="7" t="str">
        <f t="shared" si="77"/>
        <v/>
      </c>
    </row>
    <row r="1670" spans="1:12" x14ac:dyDescent="0.25">
      <c r="A1670" s="23"/>
      <c r="B1670" s="24"/>
      <c r="C1670" s="24"/>
      <c r="D1670" s="24"/>
      <c r="E1670" s="24"/>
      <c r="F1670" s="24"/>
      <c r="G1670" s="25"/>
      <c r="H1670" s="16" t="str">
        <f>IF(C1670="","",IFERROR(INDEX(Settings!$L$4:$L$56,MATCH(C1670,Settings!$K$4:$K$56,0)),"Unknown"))</f>
        <v/>
      </c>
      <c r="I1670" s="8" t="str">
        <f t="shared" ref="I1670:I1733" si="78">IF(A1670="","",MONTH(A1670))</f>
        <v/>
      </c>
      <c r="J1670" s="8" t="str">
        <f t="shared" ref="J1670:J1733" si="79">IF(A1670="","",YEAR(A1670))</f>
        <v/>
      </c>
      <c r="K1670" s="24"/>
      <c r="L1670" s="7" t="str">
        <f t="shared" ref="L1670:L1733" si="80">IF(OR(B1670="",C1670=""),"",IF(AND(B1670="Income",H1670&lt;&gt;"Income"),"Category is not an Income category",IF(AND(B1670="Expense",H1670="Income"),"Category is an Income category","OK")))</f>
        <v/>
      </c>
    </row>
    <row r="1671" spans="1:12" x14ac:dyDescent="0.25">
      <c r="A1671" s="23"/>
      <c r="B1671" s="24"/>
      <c r="C1671" s="24"/>
      <c r="D1671" s="24"/>
      <c r="E1671" s="24"/>
      <c r="F1671" s="24"/>
      <c r="G1671" s="25"/>
      <c r="H1671" s="16" t="str">
        <f>IF(C1671="","",IFERROR(INDEX(Settings!$L$4:$L$56,MATCH(C1671,Settings!$K$4:$K$56,0)),"Unknown"))</f>
        <v/>
      </c>
      <c r="I1671" s="8" t="str">
        <f t="shared" si="78"/>
        <v/>
      </c>
      <c r="J1671" s="8" t="str">
        <f t="shared" si="79"/>
        <v/>
      </c>
      <c r="K1671" s="24"/>
      <c r="L1671" s="7" t="str">
        <f t="shared" si="80"/>
        <v/>
      </c>
    </row>
    <row r="1672" spans="1:12" x14ac:dyDescent="0.25">
      <c r="A1672" s="23"/>
      <c r="B1672" s="24"/>
      <c r="C1672" s="24"/>
      <c r="D1672" s="24"/>
      <c r="E1672" s="24"/>
      <c r="F1672" s="24"/>
      <c r="G1672" s="25"/>
      <c r="H1672" s="16" t="str">
        <f>IF(C1672="","",IFERROR(INDEX(Settings!$L$4:$L$56,MATCH(C1672,Settings!$K$4:$K$56,0)),"Unknown"))</f>
        <v/>
      </c>
      <c r="I1672" s="8" t="str">
        <f t="shared" si="78"/>
        <v/>
      </c>
      <c r="J1672" s="8" t="str">
        <f t="shared" si="79"/>
        <v/>
      </c>
      <c r="K1672" s="24"/>
      <c r="L1672" s="7" t="str">
        <f t="shared" si="80"/>
        <v/>
      </c>
    </row>
    <row r="1673" spans="1:12" x14ac:dyDescent="0.25">
      <c r="A1673" s="23"/>
      <c r="B1673" s="24"/>
      <c r="C1673" s="24"/>
      <c r="D1673" s="24"/>
      <c r="E1673" s="24"/>
      <c r="F1673" s="24"/>
      <c r="G1673" s="25"/>
      <c r="H1673" s="16" t="str">
        <f>IF(C1673="","",IFERROR(INDEX(Settings!$L$4:$L$56,MATCH(C1673,Settings!$K$4:$K$56,0)),"Unknown"))</f>
        <v/>
      </c>
      <c r="I1673" s="8" t="str">
        <f t="shared" si="78"/>
        <v/>
      </c>
      <c r="J1673" s="8" t="str">
        <f t="shared" si="79"/>
        <v/>
      </c>
      <c r="K1673" s="24"/>
      <c r="L1673" s="7" t="str">
        <f t="shared" si="80"/>
        <v/>
      </c>
    </row>
    <row r="1674" spans="1:12" x14ac:dyDescent="0.25">
      <c r="A1674" s="23"/>
      <c r="B1674" s="24"/>
      <c r="C1674" s="24"/>
      <c r="D1674" s="24"/>
      <c r="E1674" s="24"/>
      <c r="F1674" s="24"/>
      <c r="G1674" s="25"/>
      <c r="H1674" s="16" t="str">
        <f>IF(C1674="","",IFERROR(INDEX(Settings!$L$4:$L$56,MATCH(C1674,Settings!$K$4:$K$56,0)),"Unknown"))</f>
        <v/>
      </c>
      <c r="I1674" s="8" t="str">
        <f t="shared" si="78"/>
        <v/>
      </c>
      <c r="J1674" s="8" t="str">
        <f t="shared" si="79"/>
        <v/>
      </c>
      <c r="K1674" s="24"/>
      <c r="L1674" s="7" t="str">
        <f t="shared" si="80"/>
        <v/>
      </c>
    </row>
    <row r="1675" spans="1:12" x14ac:dyDescent="0.25">
      <c r="A1675" s="23"/>
      <c r="B1675" s="24"/>
      <c r="C1675" s="24"/>
      <c r="D1675" s="24"/>
      <c r="E1675" s="24"/>
      <c r="F1675" s="24"/>
      <c r="G1675" s="25"/>
      <c r="H1675" s="16" t="str">
        <f>IF(C1675="","",IFERROR(INDEX(Settings!$L$4:$L$56,MATCH(C1675,Settings!$K$4:$K$56,0)),"Unknown"))</f>
        <v/>
      </c>
      <c r="I1675" s="8" t="str">
        <f t="shared" si="78"/>
        <v/>
      </c>
      <c r="J1675" s="8" t="str">
        <f t="shared" si="79"/>
        <v/>
      </c>
      <c r="K1675" s="24"/>
      <c r="L1675" s="7" t="str">
        <f t="shared" si="80"/>
        <v/>
      </c>
    </row>
    <row r="1676" spans="1:12" x14ac:dyDescent="0.25">
      <c r="A1676" s="23"/>
      <c r="B1676" s="24"/>
      <c r="C1676" s="24"/>
      <c r="D1676" s="24"/>
      <c r="E1676" s="24"/>
      <c r="F1676" s="24"/>
      <c r="G1676" s="25"/>
      <c r="H1676" s="16" t="str">
        <f>IF(C1676="","",IFERROR(INDEX(Settings!$L$4:$L$56,MATCH(C1676,Settings!$K$4:$K$56,0)),"Unknown"))</f>
        <v/>
      </c>
      <c r="I1676" s="8" t="str">
        <f t="shared" si="78"/>
        <v/>
      </c>
      <c r="J1676" s="8" t="str">
        <f t="shared" si="79"/>
        <v/>
      </c>
      <c r="K1676" s="24"/>
      <c r="L1676" s="7" t="str">
        <f t="shared" si="80"/>
        <v/>
      </c>
    </row>
    <row r="1677" spans="1:12" x14ac:dyDescent="0.25">
      <c r="A1677" s="23"/>
      <c r="B1677" s="24"/>
      <c r="C1677" s="24"/>
      <c r="D1677" s="24"/>
      <c r="E1677" s="24"/>
      <c r="F1677" s="24"/>
      <c r="G1677" s="25"/>
      <c r="H1677" s="16" t="str">
        <f>IF(C1677="","",IFERROR(INDEX(Settings!$L$4:$L$56,MATCH(C1677,Settings!$K$4:$K$56,0)),"Unknown"))</f>
        <v/>
      </c>
      <c r="I1677" s="8" t="str">
        <f t="shared" si="78"/>
        <v/>
      </c>
      <c r="J1677" s="8" t="str">
        <f t="shared" si="79"/>
        <v/>
      </c>
      <c r="K1677" s="24"/>
      <c r="L1677" s="7" t="str">
        <f t="shared" si="80"/>
        <v/>
      </c>
    </row>
    <row r="1678" spans="1:12" x14ac:dyDescent="0.25">
      <c r="A1678" s="23"/>
      <c r="B1678" s="24"/>
      <c r="C1678" s="24"/>
      <c r="D1678" s="24"/>
      <c r="E1678" s="24"/>
      <c r="F1678" s="24"/>
      <c r="G1678" s="25"/>
      <c r="H1678" s="16" t="str">
        <f>IF(C1678="","",IFERROR(INDEX(Settings!$L$4:$L$56,MATCH(C1678,Settings!$K$4:$K$56,0)),"Unknown"))</f>
        <v/>
      </c>
      <c r="I1678" s="8" t="str">
        <f t="shared" si="78"/>
        <v/>
      </c>
      <c r="J1678" s="8" t="str">
        <f t="shared" si="79"/>
        <v/>
      </c>
      <c r="K1678" s="24"/>
      <c r="L1678" s="7" t="str">
        <f t="shared" si="80"/>
        <v/>
      </c>
    </row>
    <row r="1679" spans="1:12" x14ac:dyDescent="0.25">
      <c r="A1679" s="23"/>
      <c r="B1679" s="24"/>
      <c r="C1679" s="24"/>
      <c r="D1679" s="24"/>
      <c r="E1679" s="24"/>
      <c r="F1679" s="24"/>
      <c r="G1679" s="25"/>
      <c r="H1679" s="16" t="str">
        <f>IF(C1679="","",IFERROR(INDEX(Settings!$L$4:$L$56,MATCH(C1679,Settings!$K$4:$K$56,0)),"Unknown"))</f>
        <v/>
      </c>
      <c r="I1679" s="8" t="str">
        <f t="shared" si="78"/>
        <v/>
      </c>
      <c r="J1679" s="8" t="str">
        <f t="shared" si="79"/>
        <v/>
      </c>
      <c r="K1679" s="24"/>
      <c r="L1679" s="7" t="str">
        <f t="shared" si="80"/>
        <v/>
      </c>
    </row>
    <row r="1680" spans="1:12" x14ac:dyDescent="0.25">
      <c r="A1680" s="23"/>
      <c r="B1680" s="24"/>
      <c r="C1680" s="24"/>
      <c r="D1680" s="24"/>
      <c r="E1680" s="24"/>
      <c r="F1680" s="24"/>
      <c r="G1680" s="25"/>
      <c r="H1680" s="16" t="str">
        <f>IF(C1680="","",IFERROR(INDEX(Settings!$L$4:$L$56,MATCH(C1680,Settings!$K$4:$K$56,0)),"Unknown"))</f>
        <v/>
      </c>
      <c r="I1680" s="8" t="str">
        <f t="shared" si="78"/>
        <v/>
      </c>
      <c r="J1680" s="8" t="str">
        <f t="shared" si="79"/>
        <v/>
      </c>
      <c r="K1680" s="24"/>
      <c r="L1680" s="7" t="str">
        <f t="shared" si="80"/>
        <v/>
      </c>
    </row>
    <row r="1681" spans="1:12" x14ac:dyDescent="0.25">
      <c r="A1681" s="23"/>
      <c r="B1681" s="24"/>
      <c r="C1681" s="24"/>
      <c r="D1681" s="24"/>
      <c r="E1681" s="24"/>
      <c r="F1681" s="24"/>
      <c r="G1681" s="25"/>
      <c r="H1681" s="16" t="str">
        <f>IF(C1681="","",IFERROR(INDEX(Settings!$L$4:$L$56,MATCH(C1681,Settings!$K$4:$K$56,0)),"Unknown"))</f>
        <v/>
      </c>
      <c r="I1681" s="8" t="str">
        <f t="shared" si="78"/>
        <v/>
      </c>
      <c r="J1681" s="8" t="str">
        <f t="shared" si="79"/>
        <v/>
      </c>
      <c r="K1681" s="24"/>
      <c r="L1681" s="7" t="str">
        <f t="shared" si="80"/>
        <v/>
      </c>
    </row>
    <row r="1682" spans="1:12" x14ac:dyDescent="0.25">
      <c r="A1682" s="23"/>
      <c r="B1682" s="24"/>
      <c r="C1682" s="24"/>
      <c r="D1682" s="24"/>
      <c r="E1682" s="24"/>
      <c r="F1682" s="24"/>
      <c r="G1682" s="25"/>
      <c r="H1682" s="16" t="str">
        <f>IF(C1682="","",IFERROR(INDEX(Settings!$L$4:$L$56,MATCH(C1682,Settings!$K$4:$K$56,0)),"Unknown"))</f>
        <v/>
      </c>
      <c r="I1682" s="8" t="str">
        <f t="shared" si="78"/>
        <v/>
      </c>
      <c r="J1682" s="8" t="str">
        <f t="shared" si="79"/>
        <v/>
      </c>
      <c r="K1682" s="24"/>
      <c r="L1682" s="7" t="str">
        <f t="shared" si="80"/>
        <v/>
      </c>
    </row>
    <row r="1683" spans="1:12" x14ac:dyDescent="0.25">
      <c r="A1683" s="23"/>
      <c r="B1683" s="24"/>
      <c r="C1683" s="24"/>
      <c r="D1683" s="24"/>
      <c r="E1683" s="24"/>
      <c r="F1683" s="24"/>
      <c r="G1683" s="25"/>
      <c r="H1683" s="16" t="str">
        <f>IF(C1683="","",IFERROR(INDEX(Settings!$L$4:$L$56,MATCH(C1683,Settings!$K$4:$K$56,0)),"Unknown"))</f>
        <v/>
      </c>
      <c r="I1683" s="8" t="str">
        <f t="shared" si="78"/>
        <v/>
      </c>
      <c r="J1683" s="8" t="str">
        <f t="shared" si="79"/>
        <v/>
      </c>
      <c r="K1683" s="24"/>
      <c r="L1683" s="7" t="str">
        <f t="shared" si="80"/>
        <v/>
      </c>
    </row>
    <row r="1684" spans="1:12" x14ac:dyDescent="0.25">
      <c r="A1684" s="23"/>
      <c r="B1684" s="24"/>
      <c r="C1684" s="24"/>
      <c r="D1684" s="24"/>
      <c r="E1684" s="24"/>
      <c r="F1684" s="24"/>
      <c r="G1684" s="25"/>
      <c r="H1684" s="16" t="str">
        <f>IF(C1684="","",IFERROR(INDEX(Settings!$L$4:$L$56,MATCH(C1684,Settings!$K$4:$K$56,0)),"Unknown"))</f>
        <v/>
      </c>
      <c r="I1684" s="8" t="str">
        <f t="shared" si="78"/>
        <v/>
      </c>
      <c r="J1684" s="8" t="str">
        <f t="shared" si="79"/>
        <v/>
      </c>
      <c r="K1684" s="24"/>
      <c r="L1684" s="7" t="str">
        <f t="shared" si="80"/>
        <v/>
      </c>
    </row>
    <row r="1685" spans="1:12" x14ac:dyDescent="0.25">
      <c r="A1685" s="23"/>
      <c r="B1685" s="24"/>
      <c r="C1685" s="24"/>
      <c r="D1685" s="24"/>
      <c r="E1685" s="24"/>
      <c r="F1685" s="24"/>
      <c r="G1685" s="25"/>
      <c r="H1685" s="16" t="str">
        <f>IF(C1685="","",IFERROR(INDEX(Settings!$L$4:$L$56,MATCH(C1685,Settings!$K$4:$K$56,0)),"Unknown"))</f>
        <v/>
      </c>
      <c r="I1685" s="8" t="str">
        <f t="shared" si="78"/>
        <v/>
      </c>
      <c r="J1685" s="8" t="str">
        <f t="shared" si="79"/>
        <v/>
      </c>
      <c r="K1685" s="24"/>
      <c r="L1685" s="7" t="str">
        <f t="shared" si="80"/>
        <v/>
      </c>
    </row>
    <row r="1686" spans="1:12" x14ac:dyDescent="0.25">
      <c r="A1686" s="23"/>
      <c r="B1686" s="24"/>
      <c r="C1686" s="24"/>
      <c r="D1686" s="24"/>
      <c r="E1686" s="24"/>
      <c r="F1686" s="24"/>
      <c r="G1686" s="25"/>
      <c r="H1686" s="16" t="str">
        <f>IF(C1686="","",IFERROR(INDEX(Settings!$L$4:$L$56,MATCH(C1686,Settings!$K$4:$K$56,0)),"Unknown"))</f>
        <v/>
      </c>
      <c r="I1686" s="8" t="str">
        <f t="shared" si="78"/>
        <v/>
      </c>
      <c r="J1686" s="8" t="str">
        <f t="shared" si="79"/>
        <v/>
      </c>
      <c r="K1686" s="24"/>
      <c r="L1686" s="7" t="str">
        <f t="shared" si="80"/>
        <v/>
      </c>
    </row>
    <row r="1687" spans="1:12" x14ac:dyDescent="0.25">
      <c r="A1687" s="23"/>
      <c r="B1687" s="24"/>
      <c r="C1687" s="24"/>
      <c r="D1687" s="24"/>
      <c r="E1687" s="24"/>
      <c r="F1687" s="24"/>
      <c r="G1687" s="25"/>
      <c r="H1687" s="16" t="str">
        <f>IF(C1687="","",IFERROR(INDEX(Settings!$L$4:$L$56,MATCH(C1687,Settings!$K$4:$K$56,0)),"Unknown"))</f>
        <v/>
      </c>
      <c r="I1687" s="8" t="str">
        <f t="shared" si="78"/>
        <v/>
      </c>
      <c r="J1687" s="8" t="str">
        <f t="shared" si="79"/>
        <v/>
      </c>
      <c r="K1687" s="24"/>
      <c r="L1687" s="7" t="str">
        <f t="shared" si="80"/>
        <v/>
      </c>
    </row>
    <row r="1688" spans="1:12" x14ac:dyDescent="0.25">
      <c r="A1688" s="23"/>
      <c r="B1688" s="24"/>
      <c r="C1688" s="24"/>
      <c r="D1688" s="24"/>
      <c r="E1688" s="24"/>
      <c r="F1688" s="24"/>
      <c r="G1688" s="25"/>
      <c r="H1688" s="16" t="str">
        <f>IF(C1688="","",IFERROR(INDEX(Settings!$L$4:$L$56,MATCH(C1688,Settings!$K$4:$K$56,0)),"Unknown"))</f>
        <v/>
      </c>
      <c r="I1688" s="8" t="str">
        <f t="shared" si="78"/>
        <v/>
      </c>
      <c r="J1688" s="8" t="str">
        <f t="shared" si="79"/>
        <v/>
      </c>
      <c r="K1688" s="24"/>
      <c r="L1688" s="7" t="str">
        <f t="shared" si="80"/>
        <v/>
      </c>
    </row>
    <row r="1689" spans="1:12" x14ac:dyDescent="0.25">
      <c r="A1689" s="23"/>
      <c r="B1689" s="24"/>
      <c r="C1689" s="24"/>
      <c r="D1689" s="24"/>
      <c r="E1689" s="24"/>
      <c r="F1689" s="24"/>
      <c r="G1689" s="25"/>
      <c r="H1689" s="16" t="str">
        <f>IF(C1689="","",IFERROR(INDEX(Settings!$L$4:$L$56,MATCH(C1689,Settings!$K$4:$K$56,0)),"Unknown"))</f>
        <v/>
      </c>
      <c r="I1689" s="8" t="str">
        <f t="shared" si="78"/>
        <v/>
      </c>
      <c r="J1689" s="8" t="str">
        <f t="shared" si="79"/>
        <v/>
      </c>
      <c r="K1689" s="24"/>
      <c r="L1689" s="7" t="str">
        <f t="shared" si="80"/>
        <v/>
      </c>
    </row>
    <row r="1690" spans="1:12" x14ac:dyDescent="0.25">
      <c r="A1690" s="23"/>
      <c r="B1690" s="24"/>
      <c r="C1690" s="24"/>
      <c r="D1690" s="24"/>
      <c r="E1690" s="24"/>
      <c r="F1690" s="24"/>
      <c r="G1690" s="25"/>
      <c r="H1690" s="16" t="str">
        <f>IF(C1690="","",IFERROR(INDEX(Settings!$L$4:$L$56,MATCH(C1690,Settings!$K$4:$K$56,0)),"Unknown"))</f>
        <v/>
      </c>
      <c r="I1690" s="8" t="str">
        <f t="shared" si="78"/>
        <v/>
      </c>
      <c r="J1690" s="8" t="str">
        <f t="shared" si="79"/>
        <v/>
      </c>
      <c r="K1690" s="24"/>
      <c r="L1690" s="7" t="str">
        <f t="shared" si="80"/>
        <v/>
      </c>
    </row>
    <row r="1691" spans="1:12" x14ac:dyDescent="0.25">
      <c r="A1691" s="23"/>
      <c r="B1691" s="24"/>
      <c r="C1691" s="24"/>
      <c r="D1691" s="24"/>
      <c r="E1691" s="24"/>
      <c r="F1691" s="24"/>
      <c r="G1691" s="25"/>
      <c r="H1691" s="16" t="str">
        <f>IF(C1691="","",IFERROR(INDEX(Settings!$L$4:$L$56,MATCH(C1691,Settings!$K$4:$K$56,0)),"Unknown"))</f>
        <v/>
      </c>
      <c r="I1691" s="8" t="str">
        <f t="shared" si="78"/>
        <v/>
      </c>
      <c r="J1691" s="8" t="str">
        <f t="shared" si="79"/>
        <v/>
      </c>
      <c r="K1691" s="24"/>
      <c r="L1691" s="7" t="str">
        <f t="shared" si="80"/>
        <v/>
      </c>
    </row>
    <row r="1692" spans="1:12" x14ac:dyDescent="0.25">
      <c r="A1692" s="23"/>
      <c r="B1692" s="24"/>
      <c r="C1692" s="24"/>
      <c r="D1692" s="24"/>
      <c r="E1692" s="24"/>
      <c r="F1692" s="24"/>
      <c r="G1692" s="25"/>
      <c r="H1692" s="16" t="str">
        <f>IF(C1692="","",IFERROR(INDEX(Settings!$L$4:$L$56,MATCH(C1692,Settings!$K$4:$K$56,0)),"Unknown"))</f>
        <v/>
      </c>
      <c r="I1692" s="8" t="str">
        <f t="shared" si="78"/>
        <v/>
      </c>
      <c r="J1692" s="8" t="str">
        <f t="shared" si="79"/>
        <v/>
      </c>
      <c r="K1692" s="24"/>
      <c r="L1692" s="7" t="str">
        <f t="shared" si="80"/>
        <v/>
      </c>
    </row>
    <row r="1693" spans="1:12" x14ac:dyDescent="0.25">
      <c r="A1693" s="23"/>
      <c r="B1693" s="24"/>
      <c r="C1693" s="24"/>
      <c r="D1693" s="24"/>
      <c r="E1693" s="24"/>
      <c r="F1693" s="24"/>
      <c r="G1693" s="25"/>
      <c r="H1693" s="16" t="str">
        <f>IF(C1693="","",IFERROR(INDEX(Settings!$L$4:$L$56,MATCH(C1693,Settings!$K$4:$K$56,0)),"Unknown"))</f>
        <v/>
      </c>
      <c r="I1693" s="8" t="str">
        <f t="shared" si="78"/>
        <v/>
      </c>
      <c r="J1693" s="8" t="str">
        <f t="shared" si="79"/>
        <v/>
      </c>
      <c r="K1693" s="24"/>
      <c r="L1693" s="7" t="str">
        <f t="shared" si="80"/>
        <v/>
      </c>
    </row>
    <row r="1694" spans="1:12" x14ac:dyDescent="0.25">
      <c r="A1694" s="23"/>
      <c r="B1694" s="24"/>
      <c r="C1694" s="24"/>
      <c r="D1694" s="24"/>
      <c r="E1694" s="24"/>
      <c r="F1694" s="24"/>
      <c r="G1694" s="25"/>
      <c r="H1694" s="16" t="str">
        <f>IF(C1694="","",IFERROR(INDEX(Settings!$L$4:$L$56,MATCH(C1694,Settings!$K$4:$K$56,0)),"Unknown"))</f>
        <v/>
      </c>
      <c r="I1694" s="8" t="str">
        <f t="shared" si="78"/>
        <v/>
      </c>
      <c r="J1694" s="8" t="str">
        <f t="shared" si="79"/>
        <v/>
      </c>
      <c r="K1694" s="24"/>
      <c r="L1694" s="7" t="str">
        <f t="shared" si="80"/>
        <v/>
      </c>
    </row>
    <row r="1695" spans="1:12" x14ac:dyDescent="0.25">
      <c r="A1695" s="23"/>
      <c r="B1695" s="24"/>
      <c r="C1695" s="24"/>
      <c r="D1695" s="24"/>
      <c r="E1695" s="24"/>
      <c r="F1695" s="24"/>
      <c r="G1695" s="25"/>
      <c r="H1695" s="16" t="str">
        <f>IF(C1695="","",IFERROR(INDEX(Settings!$L$4:$L$56,MATCH(C1695,Settings!$K$4:$K$56,0)),"Unknown"))</f>
        <v/>
      </c>
      <c r="I1695" s="8" t="str">
        <f t="shared" si="78"/>
        <v/>
      </c>
      <c r="J1695" s="8" t="str">
        <f t="shared" si="79"/>
        <v/>
      </c>
      <c r="K1695" s="24"/>
      <c r="L1695" s="7" t="str">
        <f t="shared" si="80"/>
        <v/>
      </c>
    </row>
    <row r="1696" spans="1:12" x14ac:dyDescent="0.25">
      <c r="A1696" s="23"/>
      <c r="B1696" s="24"/>
      <c r="C1696" s="24"/>
      <c r="D1696" s="24"/>
      <c r="E1696" s="24"/>
      <c r="F1696" s="24"/>
      <c r="G1696" s="25"/>
      <c r="H1696" s="16" t="str">
        <f>IF(C1696="","",IFERROR(INDEX(Settings!$L$4:$L$56,MATCH(C1696,Settings!$K$4:$K$56,0)),"Unknown"))</f>
        <v/>
      </c>
      <c r="I1696" s="8" t="str">
        <f t="shared" si="78"/>
        <v/>
      </c>
      <c r="J1696" s="8" t="str">
        <f t="shared" si="79"/>
        <v/>
      </c>
      <c r="K1696" s="24"/>
      <c r="L1696" s="7" t="str">
        <f t="shared" si="80"/>
        <v/>
      </c>
    </row>
    <row r="1697" spans="1:12" x14ac:dyDescent="0.25">
      <c r="A1697" s="23"/>
      <c r="B1697" s="24"/>
      <c r="C1697" s="24"/>
      <c r="D1697" s="24"/>
      <c r="E1697" s="24"/>
      <c r="F1697" s="24"/>
      <c r="G1697" s="25"/>
      <c r="H1697" s="16" t="str">
        <f>IF(C1697="","",IFERROR(INDEX(Settings!$L$4:$L$56,MATCH(C1697,Settings!$K$4:$K$56,0)),"Unknown"))</f>
        <v/>
      </c>
      <c r="I1697" s="8" t="str">
        <f t="shared" si="78"/>
        <v/>
      </c>
      <c r="J1697" s="8" t="str">
        <f t="shared" si="79"/>
        <v/>
      </c>
      <c r="K1697" s="24"/>
      <c r="L1697" s="7" t="str">
        <f t="shared" si="80"/>
        <v/>
      </c>
    </row>
    <row r="1698" spans="1:12" x14ac:dyDescent="0.25">
      <c r="A1698" s="23"/>
      <c r="B1698" s="24"/>
      <c r="C1698" s="24"/>
      <c r="D1698" s="24"/>
      <c r="E1698" s="24"/>
      <c r="F1698" s="24"/>
      <c r="G1698" s="25"/>
      <c r="H1698" s="16" t="str">
        <f>IF(C1698="","",IFERROR(INDEX(Settings!$L$4:$L$56,MATCH(C1698,Settings!$K$4:$K$56,0)),"Unknown"))</f>
        <v/>
      </c>
      <c r="I1698" s="8" t="str">
        <f t="shared" si="78"/>
        <v/>
      </c>
      <c r="J1698" s="8" t="str">
        <f t="shared" si="79"/>
        <v/>
      </c>
      <c r="K1698" s="24"/>
      <c r="L1698" s="7" t="str">
        <f t="shared" si="80"/>
        <v/>
      </c>
    </row>
    <row r="1699" spans="1:12" x14ac:dyDescent="0.25">
      <c r="A1699" s="23"/>
      <c r="B1699" s="24"/>
      <c r="C1699" s="24"/>
      <c r="D1699" s="24"/>
      <c r="E1699" s="24"/>
      <c r="F1699" s="24"/>
      <c r="G1699" s="25"/>
      <c r="H1699" s="16" t="str">
        <f>IF(C1699="","",IFERROR(INDEX(Settings!$L$4:$L$56,MATCH(C1699,Settings!$K$4:$K$56,0)),"Unknown"))</f>
        <v/>
      </c>
      <c r="I1699" s="8" t="str">
        <f t="shared" si="78"/>
        <v/>
      </c>
      <c r="J1699" s="8" t="str">
        <f t="shared" si="79"/>
        <v/>
      </c>
      <c r="K1699" s="24"/>
      <c r="L1699" s="7" t="str">
        <f t="shared" si="80"/>
        <v/>
      </c>
    </row>
    <row r="1700" spans="1:12" x14ac:dyDescent="0.25">
      <c r="A1700" s="23"/>
      <c r="B1700" s="24"/>
      <c r="C1700" s="24"/>
      <c r="D1700" s="24"/>
      <c r="E1700" s="24"/>
      <c r="F1700" s="24"/>
      <c r="G1700" s="25"/>
      <c r="H1700" s="16" t="str">
        <f>IF(C1700="","",IFERROR(INDEX(Settings!$L$4:$L$56,MATCH(C1700,Settings!$K$4:$K$56,0)),"Unknown"))</f>
        <v/>
      </c>
      <c r="I1700" s="8" t="str">
        <f t="shared" si="78"/>
        <v/>
      </c>
      <c r="J1700" s="8" t="str">
        <f t="shared" si="79"/>
        <v/>
      </c>
      <c r="K1700" s="24"/>
      <c r="L1700" s="7" t="str">
        <f t="shared" si="80"/>
        <v/>
      </c>
    </row>
    <row r="1701" spans="1:12" x14ac:dyDescent="0.25">
      <c r="A1701" s="23"/>
      <c r="B1701" s="24"/>
      <c r="C1701" s="24"/>
      <c r="D1701" s="24"/>
      <c r="E1701" s="24"/>
      <c r="F1701" s="24"/>
      <c r="G1701" s="25"/>
      <c r="H1701" s="16" t="str">
        <f>IF(C1701="","",IFERROR(INDEX(Settings!$L$4:$L$56,MATCH(C1701,Settings!$K$4:$K$56,0)),"Unknown"))</f>
        <v/>
      </c>
      <c r="I1701" s="8" t="str">
        <f t="shared" si="78"/>
        <v/>
      </c>
      <c r="J1701" s="8" t="str">
        <f t="shared" si="79"/>
        <v/>
      </c>
      <c r="K1701" s="24"/>
      <c r="L1701" s="7" t="str">
        <f t="shared" si="80"/>
        <v/>
      </c>
    </row>
    <row r="1702" spans="1:12" x14ac:dyDescent="0.25">
      <c r="A1702" s="23"/>
      <c r="B1702" s="24"/>
      <c r="C1702" s="24"/>
      <c r="D1702" s="24"/>
      <c r="E1702" s="24"/>
      <c r="F1702" s="24"/>
      <c r="G1702" s="25"/>
      <c r="H1702" s="16" t="str">
        <f>IF(C1702="","",IFERROR(INDEX(Settings!$L$4:$L$56,MATCH(C1702,Settings!$K$4:$K$56,0)),"Unknown"))</f>
        <v/>
      </c>
      <c r="I1702" s="8" t="str">
        <f t="shared" si="78"/>
        <v/>
      </c>
      <c r="J1702" s="8" t="str">
        <f t="shared" si="79"/>
        <v/>
      </c>
      <c r="K1702" s="24"/>
      <c r="L1702" s="7" t="str">
        <f t="shared" si="80"/>
        <v/>
      </c>
    </row>
    <row r="1703" spans="1:12" x14ac:dyDescent="0.25">
      <c r="A1703" s="23"/>
      <c r="B1703" s="24"/>
      <c r="C1703" s="24"/>
      <c r="D1703" s="24"/>
      <c r="E1703" s="24"/>
      <c r="F1703" s="24"/>
      <c r="G1703" s="25"/>
      <c r="H1703" s="16" t="str">
        <f>IF(C1703="","",IFERROR(INDEX(Settings!$L$4:$L$56,MATCH(C1703,Settings!$K$4:$K$56,0)),"Unknown"))</f>
        <v/>
      </c>
      <c r="I1703" s="8" t="str">
        <f t="shared" si="78"/>
        <v/>
      </c>
      <c r="J1703" s="8" t="str">
        <f t="shared" si="79"/>
        <v/>
      </c>
      <c r="K1703" s="24"/>
      <c r="L1703" s="7" t="str">
        <f t="shared" si="80"/>
        <v/>
      </c>
    </row>
    <row r="1704" spans="1:12" x14ac:dyDescent="0.25">
      <c r="A1704" s="23"/>
      <c r="B1704" s="24"/>
      <c r="C1704" s="24"/>
      <c r="D1704" s="24"/>
      <c r="E1704" s="24"/>
      <c r="F1704" s="24"/>
      <c r="G1704" s="25"/>
      <c r="H1704" s="16" t="str">
        <f>IF(C1704="","",IFERROR(INDEX(Settings!$L$4:$L$56,MATCH(C1704,Settings!$K$4:$K$56,0)),"Unknown"))</f>
        <v/>
      </c>
      <c r="I1704" s="8" t="str">
        <f t="shared" si="78"/>
        <v/>
      </c>
      <c r="J1704" s="8" t="str">
        <f t="shared" si="79"/>
        <v/>
      </c>
      <c r="K1704" s="24"/>
      <c r="L1704" s="7" t="str">
        <f t="shared" si="80"/>
        <v/>
      </c>
    </row>
    <row r="1705" spans="1:12" x14ac:dyDescent="0.25">
      <c r="A1705" s="23"/>
      <c r="B1705" s="24"/>
      <c r="C1705" s="24"/>
      <c r="D1705" s="24"/>
      <c r="E1705" s="24"/>
      <c r="F1705" s="24"/>
      <c r="G1705" s="25"/>
      <c r="H1705" s="16" t="str">
        <f>IF(C1705="","",IFERROR(INDEX(Settings!$L$4:$L$56,MATCH(C1705,Settings!$K$4:$K$56,0)),"Unknown"))</f>
        <v/>
      </c>
      <c r="I1705" s="8" t="str">
        <f t="shared" si="78"/>
        <v/>
      </c>
      <c r="J1705" s="8" t="str">
        <f t="shared" si="79"/>
        <v/>
      </c>
      <c r="K1705" s="24"/>
      <c r="L1705" s="7" t="str">
        <f t="shared" si="80"/>
        <v/>
      </c>
    </row>
    <row r="1706" spans="1:12" x14ac:dyDescent="0.25">
      <c r="A1706" s="23"/>
      <c r="B1706" s="24"/>
      <c r="C1706" s="24"/>
      <c r="D1706" s="24"/>
      <c r="E1706" s="24"/>
      <c r="F1706" s="24"/>
      <c r="G1706" s="25"/>
      <c r="H1706" s="16" t="str">
        <f>IF(C1706="","",IFERROR(INDEX(Settings!$L$4:$L$56,MATCH(C1706,Settings!$K$4:$K$56,0)),"Unknown"))</f>
        <v/>
      </c>
      <c r="I1706" s="8" t="str">
        <f t="shared" si="78"/>
        <v/>
      </c>
      <c r="J1706" s="8" t="str">
        <f t="shared" si="79"/>
        <v/>
      </c>
      <c r="K1706" s="24"/>
      <c r="L1706" s="7" t="str">
        <f t="shared" si="80"/>
        <v/>
      </c>
    </row>
    <row r="1707" spans="1:12" x14ac:dyDescent="0.25">
      <c r="A1707" s="23"/>
      <c r="B1707" s="24"/>
      <c r="C1707" s="24"/>
      <c r="D1707" s="24"/>
      <c r="E1707" s="24"/>
      <c r="F1707" s="24"/>
      <c r="G1707" s="25"/>
      <c r="H1707" s="16" t="str">
        <f>IF(C1707="","",IFERROR(INDEX(Settings!$L$4:$L$56,MATCH(C1707,Settings!$K$4:$K$56,0)),"Unknown"))</f>
        <v/>
      </c>
      <c r="I1707" s="8" t="str">
        <f t="shared" si="78"/>
        <v/>
      </c>
      <c r="J1707" s="8" t="str">
        <f t="shared" si="79"/>
        <v/>
      </c>
      <c r="K1707" s="24"/>
      <c r="L1707" s="7" t="str">
        <f t="shared" si="80"/>
        <v/>
      </c>
    </row>
    <row r="1708" spans="1:12" x14ac:dyDescent="0.25">
      <c r="A1708" s="23"/>
      <c r="B1708" s="24"/>
      <c r="C1708" s="24"/>
      <c r="D1708" s="24"/>
      <c r="E1708" s="24"/>
      <c r="F1708" s="24"/>
      <c r="G1708" s="25"/>
      <c r="H1708" s="16" t="str">
        <f>IF(C1708="","",IFERROR(INDEX(Settings!$L$4:$L$56,MATCH(C1708,Settings!$K$4:$K$56,0)),"Unknown"))</f>
        <v/>
      </c>
      <c r="I1708" s="8" t="str">
        <f t="shared" si="78"/>
        <v/>
      </c>
      <c r="J1708" s="8" t="str">
        <f t="shared" si="79"/>
        <v/>
      </c>
      <c r="K1708" s="24"/>
      <c r="L1708" s="7" t="str">
        <f t="shared" si="80"/>
        <v/>
      </c>
    </row>
    <row r="1709" spans="1:12" x14ac:dyDescent="0.25">
      <c r="A1709" s="23"/>
      <c r="B1709" s="24"/>
      <c r="C1709" s="24"/>
      <c r="D1709" s="24"/>
      <c r="E1709" s="24"/>
      <c r="F1709" s="24"/>
      <c r="G1709" s="25"/>
      <c r="H1709" s="16" t="str">
        <f>IF(C1709="","",IFERROR(INDEX(Settings!$L$4:$L$56,MATCH(C1709,Settings!$K$4:$K$56,0)),"Unknown"))</f>
        <v/>
      </c>
      <c r="I1709" s="8" t="str">
        <f t="shared" si="78"/>
        <v/>
      </c>
      <c r="J1709" s="8" t="str">
        <f t="shared" si="79"/>
        <v/>
      </c>
      <c r="K1709" s="24"/>
      <c r="L1709" s="7" t="str">
        <f t="shared" si="80"/>
        <v/>
      </c>
    </row>
    <row r="1710" spans="1:12" x14ac:dyDescent="0.25">
      <c r="A1710" s="23"/>
      <c r="B1710" s="24"/>
      <c r="C1710" s="24"/>
      <c r="D1710" s="24"/>
      <c r="E1710" s="24"/>
      <c r="F1710" s="24"/>
      <c r="G1710" s="25"/>
      <c r="H1710" s="16" t="str">
        <f>IF(C1710="","",IFERROR(INDEX(Settings!$L$4:$L$56,MATCH(C1710,Settings!$K$4:$K$56,0)),"Unknown"))</f>
        <v/>
      </c>
      <c r="I1710" s="8" t="str">
        <f t="shared" si="78"/>
        <v/>
      </c>
      <c r="J1710" s="8" t="str">
        <f t="shared" si="79"/>
        <v/>
      </c>
      <c r="K1710" s="24"/>
      <c r="L1710" s="7" t="str">
        <f t="shared" si="80"/>
        <v/>
      </c>
    </row>
    <row r="1711" spans="1:12" x14ac:dyDescent="0.25">
      <c r="A1711" s="23"/>
      <c r="B1711" s="24"/>
      <c r="C1711" s="24"/>
      <c r="D1711" s="24"/>
      <c r="E1711" s="24"/>
      <c r="F1711" s="24"/>
      <c r="G1711" s="25"/>
      <c r="H1711" s="16" t="str">
        <f>IF(C1711="","",IFERROR(INDEX(Settings!$L$4:$L$56,MATCH(C1711,Settings!$K$4:$K$56,0)),"Unknown"))</f>
        <v/>
      </c>
      <c r="I1711" s="8" t="str">
        <f t="shared" si="78"/>
        <v/>
      </c>
      <c r="J1711" s="8" t="str">
        <f t="shared" si="79"/>
        <v/>
      </c>
      <c r="K1711" s="24"/>
      <c r="L1711" s="7" t="str">
        <f t="shared" si="80"/>
        <v/>
      </c>
    </row>
    <row r="1712" spans="1:12" x14ac:dyDescent="0.25">
      <c r="A1712" s="23"/>
      <c r="B1712" s="24"/>
      <c r="C1712" s="24"/>
      <c r="D1712" s="24"/>
      <c r="E1712" s="24"/>
      <c r="F1712" s="24"/>
      <c r="G1712" s="25"/>
      <c r="H1712" s="16" t="str">
        <f>IF(C1712="","",IFERROR(INDEX(Settings!$L$4:$L$56,MATCH(C1712,Settings!$K$4:$K$56,0)),"Unknown"))</f>
        <v/>
      </c>
      <c r="I1712" s="8" t="str">
        <f t="shared" si="78"/>
        <v/>
      </c>
      <c r="J1712" s="8" t="str">
        <f t="shared" si="79"/>
        <v/>
      </c>
      <c r="K1712" s="24"/>
      <c r="L1712" s="7" t="str">
        <f t="shared" si="80"/>
        <v/>
      </c>
    </row>
    <row r="1713" spans="1:12" x14ac:dyDescent="0.25">
      <c r="A1713" s="23"/>
      <c r="B1713" s="24"/>
      <c r="C1713" s="24"/>
      <c r="D1713" s="24"/>
      <c r="E1713" s="24"/>
      <c r="F1713" s="24"/>
      <c r="G1713" s="25"/>
      <c r="H1713" s="16" t="str">
        <f>IF(C1713="","",IFERROR(INDEX(Settings!$L$4:$L$56,MATCH(C1713,Settings!$K$4:$K$56,0)),"Unknown"))</f>
        <v/>
      </c>
      <c r="I1713" s="8" t="str">
        <f t="shared" si="78"/>
        <v/>
      </c>
      <c r="J1713" s="8" t="str">
        <f t="shared" si="79"/>
        <v/>
      </c>
      <c r="K1713" s="24"/>
      <c r="L1713" s="7" t="str">
        <f t="shared" si="80"/>
        <v/>
      </c>
    </row>
    <row r="1714" spans="1:12" x14ac:dyDescent="0.25">
      <c r="A1714" s="23"/>
      <c r="B1714" s="24"/>
      <c r="C1714" s="24"/>
      <c r="D1714" s="24"/>
      <c r="E1714" s="24"/>
      <c r="F1714" s="24"/>
      <c r="G1714" s="25"/>
      <c r="H1714" s="16" t="str">
        <f>IF(C1714="","",IFERROR(INDEX(Settings!$L$4:$L$56,MATCH(C1714,Settings!$K$4:$K$56,0)),"Unknown"))</f>
        <v/>
      </c>
      <c r="I1714" s="8" t="str">
        <f t="shared" si="78"/>
        <v/>
      </c>
      <c r="J1714" s="8" t="str">
        <f t="shared" si="79"/>
        <v/>
      </c>
      <c r="K1714" s="24"/>
      <c r="L1714" s="7" t="str">
        <f t="shared" si="80"/>
        <v/>
      </c>
    </row>
    <row r="1715" spans="1:12" x14ac:dyDescent="0.25">
      <c r="A1715" s="23"/>
      <c r="B1715" s="24"/>
      <c r="C1715" s="24"/>
      <c r="D1715" s="24"/>
      <c r="E1715" s="24"/>
      <c r="F1715" s="24"/>
      <c r="G1715" s="25"/>
      <c r="H1715" s="16" t="str">
        <f>IF(C1715="","",IFERROR(INDEX(Settings!$L$4:$L$56,MATCH(C1715,Settings!$K$4:$K$56,0)),"Unknown"))</f>
        <v/>
      </c>
      <c r="I1715" s="8" t="str">
        <f t="shared" si="78"/>
        <v/>
      </c>
      <c r="J1715" s="8" t="str">
        <f t="shared" si="79"/>
        <v/>
      </c>
      <c r="K1715" s="24"/>
      <c r="L1715" s="7" t="str">
        <f t="shared" si="80"/>
        <v/>
      </c>
    </row>
    <row r="1716" spans="1:12" x14ac:dyDescent="0.25">
      <c r="A1716" s="23"/>
      <c r="B1716" s="24"/>
      <c r="C1716" s="24"/>
      <c r="D1716" s="24"/>
      <c r="E1716" s="24"/>
      <c r="F1716" s="24"/>
      <c r="G1716" s="25"/>
      <c r="H1716" s="16" t="str">
        <f>IF(C1716="","",IFERROR(INDEX(Settings!$L$4:$L$56,MATCH(C1716,Settings!$K$4:$K$56,0)),"Unknown"))</f>
        <v/>
      </c>
      <c r="I1716" s="8" t="str">
        <f t="shared" si="78"/>
        <v/>
      </c>
      <c r="J1716" s="8" t="str">
        <f t="shared" si="79"/>
        <v/>
      </c>
      <c r="K1716" s="24"/>
      <c r="L1716" s="7" t="str">
        <f t="shared" si="80"/>
        <v/>
      </c>
    </row>
    <row r="1717" spans="1:12" x14ac:dyDescent="0.25">
      <c r="A1717" s="23"/>
      <c r="B1717" s="24"/>
      <c r="C1717" s="24"/>
      <c r="D1717" s="24"/>
      <c r="E1717" s="24"/>
      <c r="F1717" s="24"/>
      <c r="G1717" s="25"/>
      <c r="H1717" s="16" t="str">
        <f>IF(C1717="","",IFERROR(INDEX(Settings!$L$4:$L$56,MATCH(C1717,Settings!$K$4:$K$56,0)),"Unknown"))</f>
        <v/>
      </c>
      <c r="I1717" s="8" t="str">
        <f t="shared" si="78"/>
        <v/>
      </c>
      <c r="J1717" s="8" t="str">
        <f t="shared" si="79"/>
        <v/>
      </c>
      <c r="K1717" s="24"/>
      <c r="L1717" s="7" t="str">
        <f t="shared" si="80"/>
        <v/>
      </c>
    </row>
    <row r="1718" spans="1:12" x14ac:dyDescent="0.25">
      <c r="A1718" s="23"/>
      <c r="B1718" s="24"/>
      <c r="C1718" s="24"/>
      <c r="D1718" s="24"/>
      <c r="E1718" s="24"/>
      <c r="F1718" s="24"/>
      <c r="G1718" s="25"/>
      <c r="H1718" s="16" t="str">
        <f>IF(C1718="","",IFERROR(INDEX(Settings!$L$4:$L$56,MATCH(C1718,Settings!$K$4:$K$56,0)),"Unknown"))</f>
        <v/>
      </c>
      <c r="I1718" s="8" t="str">
        <f t="shared" si="78"/>
        <v/>
      </c>
      <c r="J1718" s="8" t="str">
        <f t="shared" si="79"/>
        <v/>
      </c>
      <c r="K1718" s="24"/>
      <c r="L1718" s="7" t="str">
        <f t="shared" si="80"/>
        <v/>
      </c>
    </row>
    <row r="1719" spans="1:12" x14ac:dyDescent="0.25">
      <c r="A1719" s="23"/>
      <c r="B1719" s="24"/>
      <c r="C1719" s="24"/>
      <c r="D1719" s="24"/>
      <c r="E1719" s="24"/>
      <c r="F1719" s="24"/>
      <c r="G1719" s="25"/>
      <c r="H1719" s="16" t="str">
        <f>IF(C1719="","",IFERROR(INDEX(Settings!$L$4:$L$56,MATCH(C1719,Settings!$K$4:$K$56,0)),"Unknown"))</f>
        <v/>
      </c>
      <c r="I1719" s="8" t="str">
        <f t="shared" si="78"/>
        <v/>
      </c>
      <c r="J1719" s="8" t="str">
        <f t="shared" si="79"/>
        <v/>
      </c>
      <c r="K1719" s="24"/>
      <c r="L1719" s="7" t="str">
        <f t="shared" si="80"/>
        <v/>
      </c>
    </row>
    <row r="1720" spans="1:12" x14ac:dyDescent="0.25">
      <c r="A1720" s="23"/>
      <c r="B1720" s="24"/>
      <c r="C1720" s="24"/>
      <c r="D1720" s="24"/>
      <c r="E1720" s="24"/>
      <c r="F1720" s="24"/>
      <c r="G1720" s="25"/>
      <c r="H1720" s="16" t="str">
        <f>IF(C1720="","",IFERROR(INDEX(Settings!$L$4:$L$56,MATCH(C1720,Settings!$K$4:$K$56,0)),"Unknown"))</f>
        <v/>
      </c>
      <c r="I1720" s="8" t="str">
        <f t="shared" si="78"/>
        <v/>
      </c>
      <c r="J1720" s="8" t="str">
        <f t="shared" si="79"/>
        <v/>
      </c>
      <c r="K1720" s="24"/>
      <c r="L1720" s="7" t="str">
        <f t="shared" si="80"/>
        <v/>
      </c>
    </row>
    <row r="1721" spans="1:12" x14ac:dyDescent="0.25">
      <c r="A1721" s="23"/>
      <c r="B1721" s="24"/>
      <c r="C1721" s="24"/>
      <c r="D1721" s="24"/>
      <c r="E1721" s="24"/>
      <c r="F1721" s="24"/>
      <c r="G1721" s="25"/>
      <c r="H1721" s="16" t="str">
        <f>IF(C1721="","",IFERROR(INDEX(Settings!$L$4:$L$56,MATCH(C1721,Settings!$K$4:$K$56,0)),"Unknown"))</f>
        <v/>
      </c>
      <c r="I1721" s="8" t="str">
        <f t="shared" si="78"/>
        <v/>
      </c>
      <c r="J1721" s="8" t="str">
        <f t="shared" si="79"/>
        <v/>
      </c>
      <c r="K1721" s="24"/>
      <c r="L1721" s="7" t="str">
        <f t="shared" si="80"/>
        <v/>
      </c>
    </row>
    <row r="1722" spans="1:12" x14ac:dyDescent="0.25">
      <c r="A1722" s="23"/>
      <c r="B1722" s="24"/>
      <c r="C1722" s="24"/>
      <c r="D1722" s="24"/>
      <c r="E1722" s="24"/>
      <c r="F1722" s="24"/>
      <c r="G1722" s="25"/>
      <c r="H1722" s="16" t="str">
        <f>IF(C1722="","",IFERROR(INDEX(Settings!$L$4:$L$56,MATCH(C1722,Settings!$K$4:$K$56,0)),"Unknown"))</f>
        <v/>
      </c>
      <c r="I1722" s="8" t="str">
        <f t="shared" si="78"/>
        <v/>
      </c>
      <c r="J1722" s="8" t="str">
        <f t="shared" si="79"/>
        <v/>
      </c>
      <c r="K1722" s="24"/>
      <c r="L1722" s="7" t="str">
        <f t="shared" si="80"/>
        <v/>
      </c>
    </row>
    <row r="1723" spans="1:12" x14ac:dyDescent="0.25">
      <c r="A1723" s="23"/>
      <c r="B1723" s="24"/>
      <c r="C1723" s="24"/>
      <c r="D1723" s="24"/>
      <c r="E1723" s="24"/>
      <c r="F1723" s="24"/>
      <c r="G1723" s="25"/>
      <c r="H1723" s="16" t="str">
        <f>IF(C1723="","",IFERROR(INDEX(Settings!$L$4:$L$56,MATCH(C1723,Settings!$K$4:$K$56,0)),"Unknown"))</f>
        <v/>
      </c>
      <c r="I1723" s="8" t="str">
        <f t="shared" si="78"/>
        <v/>
      </c>
      <c r="J1723" s="8" t="str">
        <f t="shared" si="79"/>
        <v/>
      </c>
      <c r="K1723" s="24"/>
      <c r="L1723" s="7" t="str">
        <f t="shared" si="80"/>
        <v/>
      </c>
    </row>
    <row r="1724" spans="1:12" x14ac:dyDescent="0.25">
      <c r="A1724" s="23"/>
      <c r="B1724" s="24"/>
      <c r="C1724" s="24"/>
      <c r="D1724" s="24"/>
      <c r="E1724" s="24"/>
      <c r="F1724" s="24"/>
      <c r="G1724" s="25"/>
      <c r="H1724" s="16" t="str">
        <f>IF(C1724="","",IFERROR(INDEX(Settings!$L$4:$L$56,MATCH(C1724,Settings!$K$4:$K$56,0)),"Unknown"))</f>
        <v/>
      </c>
      <c r="I1724" s="8" t="str">
        <f t="shared" si="78"/>
        <v/>
      </c>
      <c r="J1724" s="8" t="str">
        <f t="shared" si="79"/>
        <v/>
      </c>
      <c r="K1724" s="24"/>
      <c r="L1724" s="7" t="str">
        <f t="shared" si="80"/>
        <v/>
      </c>
    </row>
    <row r="1725" spans="1:12" x14ac:dyDescent="0.25">
      <c r="A1725" s="23"/>
      <c r="B1725" s="24"/>
      <c r="C1725" s="24"/>
      <c r="D1725" s="24"/>
      <c r="E1725" s="24"/>
      <c r="F1725" s="24"/>
      <c r="G1725" s="25"/>
      <c r="H1725" s="16" t="str">
        <f>IF(C1725="","",IFERROR(INDEX(Settings!$L$4:$L$56,MATCH(C1725,Settings!$K$4:$K$56,0)),"Unknown"))</f>
        <v/>
      </c>
      <c r="I1725" s="8" t="str">
        <f t="shared" si="78"/>
        <v/>
      </c>
      <c r="J1725" s="8" t="str">
        <f t="shared" si="79"/>
        <v/>
      </c>
      <c r="K1725" s="24"/>
      <c r="L1725" s="7" t="str">
        <f t="shared" si="80"/>
        <v/>
      </c>
    </row>
    <row r="1726" spans="1:12" x14ac:dyDescent="0.25">
      <c r="A1726" s="23"/>
      <c r="B1726" s="24"/>
      <c r="C1726" s="24"/>
      <c r="D1726" s="24"/>
      <c r="E1726" s="24"/>
      <c r="F1726" s="24"/>
      <c r="G1726" s="25"/>
      <c r="H1726" s="16" t="str">
        <f>IF(C1726="","",IFERROR(INDEX(Settings!$L$4:$L$56,MATCH(C1726,Settings!$K$4:$K$56,0)),"Unknown"))</f>
        <v/>
      </c>
      <c r="I1726" s="8" t="str">
        <f t="shared" si="78"/>
        <v/>
      </c>
      <c r="J1726" s="8" t="str">
        <f t="shared" si="79"/>
        <v/>
      </c>
      <c r="K1726" s="24"/>
      <c r="L1726" s="7" t="str">
        <f t="shared" si="80"/>
        <v/>
      </c>
    </row>
    <row r="1727" spans="1:12" x14ac:dyDescent="0.25">
      <c r="A1727" s="23"/>
      <c r="B1727" s="24"/>
      <c r="C1727" s="24"/>
      <c r="D1727" s="24"/>
      <c r="E1727" s="24"/>
      <c r="F1727" s="24"/>
      <c r="G1727" s="25"/>
      <c r="H1727" s="16" t="str">
        <f>IF(C1727="","",IFERROR(INDEX(Settings!$L$4:$L$56,MATCH(C1727,Settings!$K$4:$K$56,0)),"Unknown"))</f>
        <v/>
      </c>
      <c r="I1727" s="8" t="str">
        <f t="shared" si="78"/>
        <v/>
      </c>
      <c r="J1727" s="8" t="str">
        <f t="shared" si="79"/>
        <v/>
      </c>
      <c r="K1727" s="24"/>
      <c r="L1727" s="7" t="str">
        <f t="shared" si="80"/>
        <v/>
      </c>
    </row>
    <row r="1728" spans="1:12" x14ac:dyDescent="0.25">
      <c r="A1728" s="23"/>
      <c r="B1728" s="24"/>
      <c r="C1728" s="24"/>
      <c r="D1728" s="24"/>
      <c r="E1728" s="24"/>
      <c r="F1728" s="24"/>
      <c r="G1728" s="25"/>
      <c r="H1728" s="16" t="str">
        <f>IF(C1728="","",IFERROR(INDEX(Settings!$L$4:$L$56,MATCH(C1728,Settings!$K$4:$K$56,0)),"Unknown"))</f>
        <v/>
      </c>
      <c r="I1728" s="8" t="str">
        <f t="shared" si="78"/>
        <v/>
      </c>
      <c r="J1728" s="8" t="str">
        <f t="shared" si="79"/>
        <v/>
      </c>
      <c r="K1728" s="24"/>
      <c r="L1728" s="7" t="str">
        <f t="shared" si="80"/>
        <v/>
      </c>
    </row>
    <row r="1729" spans="1:12" x14ac:dyDescent="0.25">
      <c r="A1729" s="23"/>
      <c r="B1729" s="24"/>
      <c r="C1729" s="24"/>
      <c r="D1729" s="24"/>
      <c r="E1729" s="24"/>
      <c r="F1729" s="24"/>
      <c r="G1729" s="25"/>
      <c r="H1729" s="16" t="str">
        <f>IF(C1729="","",IFERROR(INDEX(Settings!$L$4:$L$56,MATCH(C1729,Settings!$K$4:$K$56,0)),"Unknown"))</f>
        <v/>
      </c>
      <c r="I1729" s="8" t="str">
        <f t="shared" si="78"/>
        <v/>
      </c>
      <c r="J1729" s="8" t="str">
        <f t="shared" si="79"/>
        <v/>
      </c>
      <c r="K1729" s="24"/>
      <c r="L1729" s="7" t="str">
        <f t="shared" si="80"/>
        <v/>
      </c>
    </row>
    <row r="1730" spans="1:12" x14ac:dyDescent="0.25">
      <c r="A1730" s="23"/>
      <c r="B1730" s="24"/>
      <c r="C1730" s="24"/>
      <c r="D1730" s="24"/>
      <c r="E1730" s="24"/>
      <c r="F1730" s="24"/>
      <c r="G1730" s="25"/>
      <c r="H1730" s="16" t="str">
        <f>IF(C1730="","",IFERROR(INDEX(Settings!$L$4:$L$56,MATCH(C1730,Settings!$K$4:$K$56,0)),"Unknown"))</f>
        <v/>
      </c>
      <c r="I1730" s="8" t="str">
        <f t="shared" si="78"/>
        <v/>
      </c>
      <c r="J1730" s="8" t="str">
        <f t="shared" si="79"/>
        <v/>
      </c>
      <c r="K1730" s="24"/>
      <c r="L1730" s="7" t="str">
        <f t="shared" si="80"/>
        <v/>
      </c>
    </row>
    <row r="1731" spans="1:12" x14ac:dyDescent="0.25">
      <c r="A1731" s="23"/>
      <c r="B1731" s="24"/>
      <c r="C1731" s="24"/>
      <c r="D1731" s="24"/>
      <c r="E1731" s="24"/>
      <c r="F1731" s="24"/>
      <c r="G1731" s="25"/>
      <c r="H1731" s="16" t="str">
        <f>IF(C1731="","",IFERROR(INDEX(Settings!$L$4:$L$56,MATCH(C1731,Settings!$K$4:$K$56,0)),"Unknown"))</f>
        <v/>
      </c>
      <c r="I1731" s="8" t="str">
        <f t="shared" si="78"/>
        <v/>
      </c>
      <c r="J1731" s="8" t="str">
        <f t="shared" si="79"/>
        <v/>
      </c>
      <c r="K1731" s="24"/>
      <c r="L1731" s="7" t="str">
        <f t="shared" si="80"/>
        <v/>
      </c>
    </row>
    <row r="1732" spans="1:12" x14ac:dyDescent="0.25">
      <c r="A1732" s="23"/>
      <c r="B1732" s="24"/>
      <c r="C1732" s="24"/>
      <c r="D1732" s="24"/>
      <c r="E1732" s="24"/>
      <c r="F1732" s="24"/>
      <c r="G1732" s="25"/>
      <c r="H1732" s="16" t="str">
        <f>IF(C1732="","",IFERROR(INDEX(Settings!$L$4:$L$56,MATCH(C1732,Settings!$K$4:$K$56,0)),"Unknown"))</f>
        <v/>
      </c>
      <c r="I1732" s="8" t="str">
        <f t="shared" si="78"/>
        <v/>
      </c>
      <c r="J1732" s="8" t="str">
        <f t="shared" si="79"/>
        <v/>
      </c>
      <c r="K1732" s="24"/>
      <c r="L1732" s="7" t="str">
        <f t="shared" si="80"/>
        <v/>
      </c>
    </row>
    <row r="1733" spans="1:12" x14ac:dyDescent="0.25">
      <c r="A1733" s="23"/>
      <c r="B1733" s="24"/>
      <c r="C1733" s="24"/>
      <c r="D1733" s="24"/>
      <c r="E1733" s="24"/>
      <c r="F1733" s="24"/>
      <c r="G1733" s="25"/>
      <c r="H1733" s="16" t="str">
        <f>IF(C1733="","",IFERROR(INDEX(Settings!$L$4:$L$56,MATCH(C1733,Settings!$K$4:$K$56,0)),"Unknown"))</f>
        <v/>
      </c>
      <c r="I1733" s="8" t="str">
        <f t="shared" si="78"/>
        <v/>
      </c>
      <c r="J1733" s="8" t="str">
        <f t="shared" si="79"/>
        <v/>
      </c>
      <c r="K1733" s="24"/>
      <c r="L1733" s="7" t="str">
        <f t="shared" si="80"/>
        <v/>
      </c>
    </row>
    <row r="1734" spans="1:12" x14ac:dyDescent="0.25">
      <c r="A1734" s="23"/>
      <c r="B1734" s="24"/>
      <c r="C1734" s="24"/>
      <c r="D1734" s="24"/>
      <c r="E1734" s="24"/>
      <c r="F1734" s="24"/>
      <c r="G1734" s="25"/>
      <c r="H1734" s="16" t="str">
        <f>IF(C1734="","",IFERROR(INDEX(Settings!$L$4:$L$56,MATCH(C1734,Settings!$K$4:$K$56,0)),"Unknown"))</f>
        <v/>
      </c>
      <c r="I1734" s="8" t="str">
        <f t="shared" ref="I1734:I1797" si="81">IF(A1734="","",MONTH(A1734))</f>
        <v/>
      </c>
      <c r="J1734" s="8" t="str">
        <f t="shared" ref="J1734:J1797" si="82">IF(A1734="","",YEAR(A1734))</f>
        <v/>
      </c>
      <c r="K1734" s="24"/>
      <c r="L1734" s="7" t="str">
        <f t="shared" ref="L1734:L1797" si="83">IF(OR(B1734="",C1734=""),"",IF(AND(B1734="Income",H1734&lt;&gt;"Income"),"Category is not an Income category",IF(AND(B1734="Expense",H1734="Income"),"Category is an Income category","OK")))</f>
        <v/>
      </c>
    </row>
    <row r="1735" spans="1:12" x14ac:dyDescent="0.25">
      <c r="A1735" s="23"/>
      <c r="B1735" s="24"/>
      <c r="C1735" s="24"/>
      <c r="D1735" s="24"/>
      <c r="E1735" s="24"/>
      <c r="F1735" s="24"/>
      <c r="G1735" s="25"/>
      <c r="H1735" s="16" t="str">
        <f>IF(C1735="","",IFERROR(INDEX(Settings!$L$4:$L$56,MATCH(C1735,Settings!$K$4:$K$56,0)),"Unknown"))</f>
        <v/>
      </c>
      <c r="I1735" s="8" t="str">
        <f t="shared" si="81"/>
        <v/>
      </c>
      <c r="J1735" s="8" t="str">
        <f t="shared" si="82"/>
        <v/>
      </c>
      <c r="K1735" s="24"/>
      <c r="L1735" s="7" t="str">
        <f t="shared" si="83"/>
        <v/>
      </c>
    </row>
    <row r="1736" spans="1:12" x14ac:dyDescent="0.25">
      <c r="A1736" s="23"/>
      <c r="B1736" s="24"/>
      <c r="C1736" s="24"/>
      <c r="D1736" s="24"/>
      <c r="E1736" s="24"/>
      <c r="F1736" s="24"/>
      <c r="G1736" s="25"/>
      <c r="H1736" s="16" t="str">
        <f>IF(C1736="","",IFERROR(INDEX(Settings!$L$4:$L$56,MATCH(C1736,Settings!$K$4:$K$56,0)),"Unknown"))</f>
        <v/>
      </c>
      <c r="I1736" s="8" t="str">
        <f t="shared" si="81"/>
        <v/>
      </c>
      <c r="J1736" s="8" t="str">
        <f t="shared" si="82"/>
        <v/>
      </c>
      <c r="K1736" s="24"/>
      <c r="L1736" s="7" t="str">
        <f t="shared" si="83"/>
        <v/>
      </c>
    </row>
    <row r="1737" spans="1:12" x14ac:dyDescent="0.25">
      <c r="A1737" s="23"/>
      <c r="B1737" s="24"/>
      <c r="C1737" s="24"/>
      <c r="D1737" s="24"/>
      <c r="E1737" s="24"/>
      <c r="F1737" s="24"/>
      <c r="G1737" s="25"/>
      <c r="H1737" s="16" t="str">
        <f>IF(C1737="","",IFERROR(INDEX(Settings!$L$4:$L$56,MATCH(C1737,Settings!$K$4:$K$56,0)),"Unknown"))</f>
        <v/>
      </c>
      <c r="I1737" s="8" t="str">
        <f t="shared" si="81"/>
        <v/>
      </c>
      <c r="J1737" s="8" t="str">
        <f t="shared" si="82"/>
        <v/>
      </c>
      <c r="K1737" s="24"/>
      <c r="L1737" s="7" t="str">
        <f t="shared" si="83"/>
        <v/>
      </c>
    </row>
    <row r="1738" spans="1:12" x14ac:dyDescent="0.25">
      <c r="A1738" s="23"/>
      <c r="B1738" s="24"/>
      <c r="C1738" s="24"/>
      <c r="D1738" s="24"/>
      <c r="E1738" s="24"/>
      <c r="F1738" s="24"/>
      <c r="G1738" s="25"/>
      <c r="H1738" s="16" t="str">
        <f>IF(C1738="","",IFERROR(INDEX(Settings!$L$4:$L$56,MATCH(C1738,Settings!$K$4:$K$56,0)),"Unknown"))</f>
        <v/>
      </c>
      <c r="I1738" s="8" t="str">
        <f t="shared" si="81"/>
        <v/>
      </c>
      <c r="J1738" s="8" t="str">
        <f t="shared" si="82"/>
        <v/>
      </c>
      <c r="K1738" s="24"/>
      <c r="L1738" s="7" t="str">
        <f t="shared" si="83"/>
        <v/>
      </c>
    </row>
    <row r="1739" spans="1:12" x14ac:dyDescent="0.25">
      <c r="A1739" s="23"/>
      <c r="B1739" s="24"/>
      <c r="C1739" s="24"/>
      <c r="D1739" s="24"/>
      <c r="E1739" s="24"/>
      <c r="F1739" s="24"/>
      <c r="G1739" s="25"/>
      <c r="H1739" s="16" t="str">
        <f>IF(C1739="","",IFERROR(INDEX(Settings!$L$4:$L$56,MATCH(C1739,Settings!$K$4:$K$56,0)),"Unknown"))</f>
        <v/>
      </c>
      <c r="I1739" s="8" t="str">
        <f t="shared" si="81"/>
        <v/>
      </c>
      <c r="J1739" s="8" t="str">
        <f t="shared" si="82"/>
        <v/>
      </c>
      <c r="K1739" s="24"/>
      <c r="L1739" s="7" t="str">
        <f t="shared" si="83"/>
        <v/>
      </c>
    </row>
    <row r="1740" spans="1:12" x14ac:dyDescent="0.25">
      <c r="A1740" s="23"/>
      <c r="B1740" s="24"/>
      <c r="C1740" s="24"/>
      <c r="D1740" s="24"/>
      <c r="E1740" s="24"/>
      <c r="F1740" s="24"/>
      <c r="G1740" s="25"/>
      <c r="H1740" s="16" t="str">
        <f>IF(C1740="","",IFERROR(INDEX(Settings!$L$4:$L$56,MATCH(C1740,Settings!$K$4:$K$56,0)),"Unknown"))</f>
        <v/>
      </c>
      <c r="I1740" s="8" t="str">
        <f t="shared" si="81"/>
        <v/>
      </c>
      <c r="J1740" s="8" t="str">
        <f t="shared" si="82"/>
        <v/>
      </c>
      <c r="K1740" s="24"/>
      <c r="L1740" s="7" t="str">
        <f t="shared" si="83"/>
        <v/>
      </c>
    </row>
    <row r="1741" spans="1:12" x14ac:dyDescent="0.25">
      <c r="A1741" s="23"/>
      <c r="B1741" s="24"/>
      <c r="C1741" s="24"/>
      <c r="D1741" s="24"/>
      <c r="E1741" s="24"/>
      <c r="F1741" s="24"/>
      <c r="G1741" s="25"/>
      <c r="H1741" s="16" t="str">
        <f>IF(C1741="","",IFERROR(INDEX(Settings!$L$4:$L$56,MATCH(C1741,Settings!$K$4:$K$56,0)),"Unknown"))</f>
        <v/>
      </c>
      <c r="I1741" s="8" t="str">
        <f t="shared" si="81"/>
        <v/>
      </c>
      <c r="J1741" s="8" t="str">
        <f t="shared" si="82"/>
        <v/>
      </c>
      <c r="K1741" s="24"/>
      <c r="L1741" s="7" t="str">
        <f t="shared" si="83"/>
        <v/>
      </c>
    </row>
    <row r="1742" spans="1:12" x14ac:dyDescent="0.25">
      <c r="A1742" s="23"/>
      <c r="B1742" s="24"/>
      <c r="C1742" s="24"/>
      <c r="D1742" s="24"/>
      <c r="E1742" s="24"/>
      <c r="F1742" s="24"/>
      <c r="G1742" s="25"/>
      <c r="H1742" s="16" t="str">
        <f>IF(C1742="","",IFERROR(INDEX(Settings!$L$4:$L$56,MATCH(C1742,Settings!$K$4:$K$56,0)),"Unknown"))</f>
        <v/>
      </c>
      <c r="I1742" s="8" t="str">
        <f t="shared" si="81"/>
        <v/>
      </c>
      <c r="J1742" s="8" t="str">
        <f t="shared" si="82"/>
        <v/>
      </c>
      <c r="K1742" s="24"/>
      <c r="L1742" s="7" t="str">
        <f t="shared" si="83"/>
        <v/>
      </c>
    </row>
    <row r="1743" spans="1:12" x14ac:dyDescent="0.25">
      <c r="A1743" s="23"/>
      <c r="B1743" s="24"/>
      <c r="C1743" s="24"/>
      <c r="D1743" s="24"/>
      <c r="E1743" s="24"/>
      <c r="F1743" s="24"/>
      <c r="G1743" s="25"/>
      <c r="H1743" s="16" t="str">
        <f>IF(C1743="","",IFERROR(INDEX(Settings!$L$4:$L$56,MATCH(C1743,Settings!$K$4:$K$56,0)),"Unknown"))</f>
        <v/>
      </c>
      <c r="I1743" s="8" t="str">
        <f t="shared" si="81"/>
        <v/>
      </c>
      <c r="J1743" s="8" t="str">
        <f t="shared" si="82"/>
        <v/>
      </c>
      <c r="K1743" s="24"/>
      <c r="L1743" s="7" t="str">
        <f t="shared" si="83"/>
        <v/>
      </c>
    </row>
    <row r="1744" spans="1:12" x14ac:dyDescent="0.25">
      <c r="A1744" s="23"/>
      <c r="B1744" s="24"/>
      <c r="C1744" s="24"/>
      <c r="D1744" s="24"/>
      <c r="E1744" s="24"/>
      <c r="F1744" s="24"/>
      <c r="G1744" s="25"/>
      <c r="H1744" s="16" t="str">
        <f>IF(C1744="","",IFERROR(INDEX(Settings!$L$4:$L$56,MATCH(C1744,Settings!$K$4:$K$56,0)),"Unknown"))</f>
        <v/>
      </c>
      <c r="I1744" s="8" t="str">
        <f t="shared" si="81"/>
        <v/>
      </c>
      <c r="J1744" s="8" t="str">
        <f t="shared" si="82"/>
        <v/>
      </c>
      <c r="K1744" s="24"/>
      <c r="L1744" s="7" t="str">
        <f t="shared" si="83"/>
        <v/>
      </c>
    </row>
    <row r="1745" spans="1:12" x14ac:dyDescent="0.25">
      <c r="A1745" s="23"/>
      <c r="B1745" s="24"/>
      <c r="C1745" s="24"/>
      <c r="D1745" s="24"/>
      <c r="E1745" s="24"/>
      <c r="F1745" s="24"/>
      <c r="G1745" s="25"/>
      <c r="H1745" s="16" t="str">
        <f>IF(C1745="","",IFERROR(INDEX(Settings!$L$4:$L$56,MATCH(C1745,Settings!$K$4:$K$56,0)),"Unknown"))</f>
        <v/>
      </c>
      <c r="I1745" s="8" t="str">
        <f t="shared" si="81"/>
        <v/>
      </c>
      <c r="J1745" s="8" t="str">
        <f t="shared" si="82"/>
        <v/>
      </c>
      <c r="K1745" s="24"/>
      <c r="L1745" s="7" t="str">
        <f t="shared" si="83"/>
        <v/>
      </c>
    </row>
    <row r="1746" spans="1:12" x14ac:dyDescent="0.25">
      <c r="A1746" s="23"/>
      <c r="B1746" s="24"/>
      <c r="C1746" s="24"/>
      <c r="D1746" s="24"/>
      <c r="E1746" s="24"/>
      <c r="F1746" s="24"/>
      <c r="G1746" s="25"/>
      <c r="H1746" s="16" t="str">
        <f>IF(C1746="","",IFERROR(INDEX(Settings!$L$4:$L$56,MATCH(C1746,Settings!$K$4:$K$56,0)),"Unknown"))</f>
        <v/>
      </c>
      <c r="I1746" s="8" t="str">
        <f t="shared" si="81"/>
        <v/>
      </c>
      <c r="J1746" s="8" t="str">
        <f t="shared" si="82"/>
        <v/>
      </c>
      <c r="K1746" s="24"/>
      <c r="L1746" s="7" t="str">
        <f t="shared" si="83"/>
        <v/>
      </c>
    </row>
    <row r="1747" spans="1:12" x14ac:dyDescent="0.25">
      <c r="A1747" s="23"/>
      <c r="B1747" s="24"/>
      <c r="C1747" s="24"/>
      <c r="D1747" s="24"/>
      <c r="E1747" s="24"/>
      <c r="F1747" s="24"/>
      <c r="G1747" s="25"/>
      <c r="H1747" s="16" t="str">
        <f>IF(C1747="","",IFERROR(INDEX(Settings!$L$4:$L$56,MATCH(C1747,Settings!$K$4:$K$56,0)),"Unknown"))</f>
        <v/>
      </c>
      <c r="I1747" s="8" t="str">
        <f t="shared" si="81"/>
        <v/>
      </c>
      <c r="J1747" s="8" t="str">
        <f t="shared" si="82"/>
        <v/>
      </c>
      <c r="K1747" s="24"/>
      <c r="L1747" s="7" t="str">
        <f t="shared" si="83"/>
        <v/>
      </c>
    </row>
    <row r="1748" spans="1:12" x14ac:dyDescent="0.25">
      <c r="A1748" s="23"/>
      <c r="B1748" s="24"/>
      <c r="C1748" s="24"/>
      <c r="D1748" s="24"/>
      <c r="E1748" s="24"/>
      <c r="F1748" s="24"/>
      <c r="G1748" s="25"/>
      <c r="H1748" s="16" t="str">
        <f>IF(C1748="","",IFERROR(INDEX(Settings!$L$4:$L$56,MATCH(C1748,Settings!$K$4:$K$56,0)),"Unknown"))</f>
        <v/>
      </c>
      <c r="I1748" s="8" t="str">
        <f t="shared" si="81"/>
        <v/>
      </c>
      <c r="J1748" s="8" t="str">
        <f t="shared" si="82"/>
        <v/>
      </c>
      <c r="K1748" s="24"/>
      <c r="L1748" s="7" t="str">
        <f t="shared" si="83"/>
        <v/>
      </c>
    </row>
    <row r="1749" spans="1:12" x14ac:dyDescent="0.25">
      <c r="A1749" s="23"/>
      <c r="B1749" s="24"/>
      <c r="C1749" s="24"/>
      <c r="D1749" s="24"/>
      <c r="E1749" s="24"/>
      <c r="F1749" s="24"/>
      <c r="G1749" s="25"/>
      <c r="H1749" s="16" t="str">
        <f>IF(C1749="","",IFERROR(INDEX(Settings!$L$4:$L$56,MATCH(C1749,Settings!$K$4:$K$56,0)),"Unknown"))</f>
        <v/>
      </c>
      <c r="I1749" s="8" t="str">
        <f t="shared" si="81"/>
        <v/>
      </c>
      <c r="J1749" s="8" t="str">
        <f t="shared" si="82"/>
        <v/>
      </c>
      <c r="K1749" s="24"/>
      <c r="L1749" s="7" t="str">
        <f t="shared" si="83"/>
        <v/>
      </c>
    </row>
    <row r="1750" spans="1:12" x14ac:dyDescent="0.25">
      <c r="A1750" s="23"/>
      <c r="B1750" s="24"/>
      <c r="C1750" s="24"/>
      <c r="D1750" s="24"/>
      <c r="E1750" s="24"/>
      <c r="F1750" s="24"/>
      <c r="G1750" s="25"/>
      <c r="H1750" s="16" t="str">
        <f>IF(C1750="","",IFERROR(INDEX(Settings!$L$4:$L$56,MATCH(C1750,Settings!$K$4:$K$56,0)),"Unknown"))</f>
        <v/>
      </c>
      <c r="I1750" s="8" t="str">
        <f t="shared" si="81"/>
        <v/>
      </c>
      <c r="J1750" s="8" t="str">
        <f t="shared" si="82"/>
        <v/>
      </c>
      <c r="K1750" s="24"/>
      <c r="L1750" s="7" t="str">
        <f t="shared" si="83"/>
        <v/>
      </c>
    </row>
    <row r="1751" spans="1:12" x14ac:dyDescent="0.25">
      <c r="A1751" s="23"/>
      <c r="B1751" s="24"/>
      <c r="C1751" s="24"/>
      <c r="D1751" s="24"/>
      <c r="E1751" s="24"/>
      <c r="F1751" s="24"/>
      <c r="G1751" s="25"/>
      <c r="H1751" s="16" t="str">
        <f>IF(C1751="","",IFERROR(INDEX(Settings!$L$4:$L$56,MATCH(C1751,Settings!$K$4:$K$56,0)),"Unknown"))</f>
        <v/>
      </c>
      <c r="I1751" s="8" t="str">
        <f t="shared" si="81"/>
        <v/>
      </c>
      <c r="J1751" s="8" t="str">
        <f t="shared" si="82"/>
        <v/>
      </c>
      <c r="K1751" s="24"/>
      <c r="L1751" s="7" t="str">
        <f t="shared" si="83"/>
        <v/>
      </c>
    </row>
    <row r="1752" spans="1:12" x14ac:dyDescent="0.25">
      <c r="A1752" s="23"/>
      <c r="B1752" s="24"/>
      <c r="C1752" s="24"/>
      <c r="D1752" s="24"/>
      <c r="E1752" s="24"/>
      <c r="F1752" s="24"/>
      <c r="G1752" s="25"/>
      <c r="H1752" s="16" t="str">
        <f>IF(C1752="","",IFERROR(INDEX(Settings!$L$4:$L$56,MATCH(C1752,Settings!$K$4:$K$56,0)),"Unknown"))</f>
        <v/>
      </c>
      <c r="I1752" s="8" t="str">
        <f t="shared" si="81"/>
        <v/>
      </c>
      <c r="J1752" s="8" t="str">
        <f t="shared" si="82"/>
        <v/>
      </c>
      <c r="K1752" s="24"/>
      <c r="L1752" s="7" t="str">
        <f t="shared" si="83"/>
        <v/>
      </c>
    </row>
    <row r="1753" spans="1:12" x14ac:dyDescent="0.25">
      <c r="A1753" s="23"/>
      <c r="B1753" s="24"/>
      <c r="C1753" s="24"/>
      <c r="D1753" s="24"/>
      <c r="E1753" s="24"/>
      <c r="F1753" s="24"/>
      <c r="G1753" s="25"/>
      <c r="H1753" s="16" t="str">
        <f>IF(C1753="","",IFERROR(INDEX(Settings!$L$4:$L$56,MATCH(C1753,Settings!$K$4:$K$56,0)),"Unknown"))</f>
        <v/>
      </c>
      <c r="I1753" s="8" t="str">
        <f t="shared" si="81"/>
        <v/>
      </c>
      <c r="J1753" s="8" t="str">
        <f t="shared" si="82"/>
        <v/>
      </c>
      <c r="K1753" s="24"/>
      <c r="L1753" s="7" t="str">
        <f t="shared" si="83"/>
        <v/>
      </c>
    </row>
    <row r="1754" spans="1:12" x14ac:dyDescent="0.25">
      <c r="A1754" s="23"/>
      <c r="B1754" s="24"/>
      <c r="C1754" s="24"/>
      <c r="D1754" s="24"/>
      <c r="E1754" s="24"/>
      <c r="F1754" s="24"/>
      <c r="G1754" s="25"/>
      <c r="H1754" s="16" t="str">
        <f>IF(C1754="","",IFERROR(INDEX(Settings!$L$4:$L$56,MATCH(C1754,Settings!$K$4:$K$56,0)),"Unknown"))</f>
        <v/>
      </c>
      <c r="I1754" s="8" t="str">
        <f t="shared" si="81"/>
        <v/>
      </c>
      <c r="J1754" s="8" t="str">
        <f t="shared" si="82"/>
        <v/>
      </c>
      <c r="K1754" s="24"/>
      <c r="L1754" s="7" t="str">
        <f t="shared" si="83"/>
        <v/>
      </c>
    </row>
    <row r="1755" spans="1:12" x14ac:dyDescent="0.25">
      <c r="A1755" s="23"/>
      <c r="B1755" s="24"/>
      <c r="C1755" s="24"/>
      <c r="D1755" s="24"/>
      <c r="E1755" s="24"/>
      <c r="F1755" s="24"/>
      <c r="G1755" s="25"/>
      <c r="H1755" s="16" t="str">
        <f>IF(C1755="","",IFERROR(INDEX(Settings!$L$4:$L$56,MATCH(C1755,Settings!$K$4:$K$56,0)),"Unknown"))</f>
        <v/>
      </c>
      <c r="I1755" s="8" t="str">
        <f t="shared" si="81"/>
        <v/>
      </c>
      <c r="J1755" s="8" t="str">
        <f t="shared" si="82"/>
        <v/>
      </c>
      <c r="K1755" s="24"/>
      <c r="L1755" s="7" t="str">
        <f t="shared" si="83"/>
        <v/>
      </c>
    </row>
    <row r="1756" spans="1:12" x14ac:dyDescent="0.25">
      <c r="A1756" s="23"/>
      <c r="B1756" s="24"/>
      <c r="C1756" s="24"/>
      <c r="D1756" s="24"/>
      <c r="E1756" s="24"/>
      <c r="F1756" s="24"/>
      <c r="G1756" s="25"/>
      <c r="H1756" s="16" t="str">
        <f>IF(C1756="","",IFERROR(INDEX(Settings!$L$4:$L$56,MATCH(C1756,Settings!$K$4:$K$56,0)),"Unknown"))</f>
        <v/>
      </c>
      <c r="I1756" s="8" t="str">
        <f t="shared" si="81"/>
        <v/>
      </c>
      <c r="J1756" s="8" t="str">
        <f t="shared" si="82"/>
        <v/>
      </c>
      <c r="K1756" s="24"/>
      <c r="L1756" s="7" t="str">
        <f t="shared" si="83"/>
        <v/>
      </c>
    </row>
    <row r="1757" spans="1:12" x14ac:dyDescent="0.25">
      <c r="A1757" s="23"/>
      <c r="B1757" s="24"/>
      <c r="C1757" s="24"/>
      <c r="D1757" s="24"/>
      <c r="E1757" s="24"/>
      <c r="F1757" s="24"/>
      <c r="G1757" s="25"/>
      <c r="H1757" s="16" t="str">
        <f>IF(C1757="","",IFERROR(INDEX(Settings!$L$4:$L$56,MATCH(C1757,Settings!$K$4:$K$56,0)),"Unknown"))</f>
        <v/>
      </c>
      <c r="I1757" s="8" t="str">
        <f t="shared" si="81"/>
        <v/>
      </c>
      <c r="J1757" s="8" t="str">
        <f t="shared" si="82"/>
        <v/>
      </c>
      <c r="K1757" s="24"/>
      <c r="L1757" s="7" t="str">
        <f t="shared" si="83"/>
        <v/>
      </c>
    </row>
    <row r="1758" spans="1:12" x14ac:dyDescent="0.25">
      <c r="A1758" s="23"/>
      <c r="B1758" s="24"/>
      <c r="C1758" s="24"/>
      <c r="D1758" s="24"/>
      <c r="E1758" s="24"/>
      <c r="F1758" s="24"/>
      <c r="G1758" s="25"/>
      <c r="H1758" s="16" t="str">
        <f>IF(C1758="","",IFERROR(INDEX(Settings!$L$4:$L$56,MATCH(C1758,Settings!$K$4:$K$56,0)),"Unknown"))</f>
        <v/>
      </c>
      <c r="I1758" s="8" t="str">
        <f t="shared" si="81"/>
        <v/>
      </c>
      <c r="J1758" s="8" t="str">
        <f t="shared" si="82"/>
        <v/>
      </c>
      <c r="K1758" s="24"/>
      <c r="L1758" s="7" t="str">
        <f t="shared" si="83"/>
        <v/>
      </c>
    </row>
    <row r="1759" spans="1:12" x14ac:dyDescent="0.25">
      <c r="A1759" s="23"/>
      <c r="B1759" s="24"/>
      <c r="C1759" s="24"/>
      <c r="D1759" s="24"/>
      <c r="E1759" s="24"/>
      <c r="F1759" s="24"/>
      <c r="G1759" s="25"/>
      <c r="H1759" s="16" t="str">
        <f>IF(C1759="","",IFERROR(INDEX(Settings!$L$4:$L$56,MATCH(C1759,Settings!$K$4:$K$56,0)),"Unknown"))</f>
        <v/>
      </c>
      <c r="I1759" s="8" t="str">
        <f t="shared" si="81"/>
        <v/>
      </c>
      <c r="J1759" s="8" t="str">
        <f t="shared" si="82"/>
        <v/>
      </c>
      <c r="K1759" s="24"/>
      <c r="L1759" s="7" t="str">
        <f t="shared" si="83"/>
        <v/>
      </c>
    </row>
    <row r="1760" spans="1:12" x14ac:dyDescent="0.25">
      <c r="A1760" s="23"/>
      <c r="B1760" s="24"/>
      <c r="C1760" s="24"/>
      <c r="D1760" s="24"/>
      <c r="E1760" s="24"/>
      <c r="F1760" s="24"/>
      <c r="G1760" s="25"/>
      <c r="H1760" s="16" t="str">
        <f>IF(C1760="","",IFERROR(INDEX(Settings!$L$4:$L$56,MATCH(C1760,Settings!$K$4:$K$56,0)),"Unknown"))</f>
        <v/>
      </c>
      <c r="I1760" s="8" t="str">
        <f t="shared" si="81"/>
        <v/>
      </c>
      <c r="J1760" s="8" t="str">
        <f t="shared" si="82"/>
        <v/>
      </c>
      <c r="K1760" s="24"/>
      <c r="L1760" s="7" t="str">
        <f t="shared" si="83"/>
        <v/>
      </c>
    </row>
    <row r="1761" spans="1:12" x14ac:dyDescent="0.25">
      <c r="A1761" s="23"/>
      <c r="B1761" s="24"/>
      <c r="C1761" s="24"/>
      <c r="D1761" s="24"/>
      <c r="E1761" s="24"/>
      <c r="F1761" s="24"/>
      <c r="G1761" s="25"/>
      <c r="H1761" s="16" t="str">
        <f>IF(C1761="","",IFERROR(INDEX(Settings!$L$4:$L$56,MATCH(C1761,Settings!$K$4:$K$56,0)),"Unknown"))</f>
        <v/>
      </c>
      <c r="I1761" s="8" t="str">
        <f t="shared" si="81"/>
        <v/>
      </c>
      <c r="J1761" s="8" t="str">
        <f t="shared" si="82"/>
        <v/>
      </c>
      <c r="K1761" s="24"/>
      <c r="L1761" s="7" t="str">
        <f t="shared" si="83"/>
        <v/>
      </c>
    </row>
    <row r="1762" spans="1:12" x14ac:dyDescent="0.25">
      <c r="A1762" s="23"/>
      <c r="B1762" s="24"/>
      <c r="C1762" s="24"/>
      <c r="D1762" s="24"/>
      <c r="E1762" s="24"/>
      <c r="F1762" s="24"/>
      <c r="G1762" s="25"/>
      <c r="H1762" s="16" t="str">
        <f>IF(C1762="","",IFERROR(INDEX(Settings!$L$4:$L$56,MATCH(C1762,Settings!$K$4:$K$56,0)),"Unknown"))</f>
        <v/>
      </c>
      <c r="I1762" s="8" t="str">
        <f t="shared" si="81"/>
        <v/>
      </c>
      <c r="J1762" s="8" t="str">
        <f t="shared" si="82"/>
        <v/>
      </c>
      <c r="K1762" s="24"/>
      <c r="L1762" s="7" t="str">
        <f t="shared" si="83"/>
        <v/>
      </c>
    </row>
    <row r="1763" spans="1:12" x14ac:dyDescent="0.25">
      <c r="A1763" s="23"/>
      <c r="B1763" s="24"/>
      <c r="C1763" s="24"/>
      <c r="D1763" s="24"/>
      <c r="E1763" s="24"/>
      <c r="F1763" s="24"/>
      <c r="G1763" s="25"/>
      <c r="H1763" s="16" t="str">
        <f>IF(C1763="","",IFERROR(INDEX(Settings!$L$4:$L$56,MATCH(C1763,Settings!$K$4:$K$56,0)),"Unknown"))</f>
        <v/>
      </c>
      <c r="I1763" s="8" t="str">
        <f t="shared" si="81"/>
        <v/>
      </c>
      <c r="J1763" s="8" t="str">
        <f t="shared" si="82"/>
        <v/>
      </c>
      <c r="K1763" s="24"/>
      <c r="L1763" s="7" t="str">
        <f t="shared" si="83"/>
        <v/>
      </c>
    </row>
    <row r="1764" spans="1:12" x14ac:dyDescent="0.25">
      <c r="A1764" s="23"/>
      <c r="B1764" s="24"/>
      <c r="C1764" s="24"/>
      <c r="D1764" s="24"/>
      <c r="E1764" s="24"/>
      <c r="F1764" s="24"/>
      <c r="G1764" s="25"/>
      <c r="H1764" s="16" t="str">
        <f>IF(C1764="","",IFERROR(INDEX(Settings!$L$4:$L$56,MATCH(C1764,Settings!$K$4:$K$56,0)),"Unknown"))</f>
        <v/>
      </c>
      <c r="I1764" s="8" t="str">
        <f t="shared" si="81"/>
        <v/>
      </c>
      <c r="J1764" s="8" t="str">
        <f t="shared" si="82"/>
        <v/>
      </c>
      <c r="K1764" s="24"/>
      <c r="L1764" s="7" t="str">
        <f t="shared" si="83"/>
        <v/>
      </c>
    </row>
    <row r="1765" spans="1:12" x14ac:dyDescent="0.25">
      <c r="A1765" s="23"/>
      <c r="B1765" s="24"/>
      <c r="C1765" s="24"/>
      <c r="D1765" s="24"/>
      <c r="E1765" s="24"/>
      <c r="F1765" s="24"/>
      <c r="G1765" s="25"/>
      <c r="H1765" s="16" t="str">
        <f>IF(C1765="","",IFERROR(INDEX(Settings!$L$4:$L$56,MATCH(C1765,Settings!$K$4:$K$56,0)),"Unknown"))</f>
        <v/>
      </c>
      <c r="I1765" s="8" t="str">
        <f t="shared" si="81"/>
        <v/>
      </c>
      <c r="J1765" s="8" t="str">
        <f t="shared" si="82"/>
        <v/>
      </c>
      <c r="K1765" s="24"/>
      <c r="L1765" s="7" t="str">
        <f t="shared" si="83"/>
        <v/>
      </c>
    </row>
    <row r="1766" spans="1:12" x14ac:dyDescent="0.25">
      <c r="A1766" s="23"/>
      <c r="B1766" s="24"/>
      <c r="C1766" s="24"/>
      <c r="D1766" s="24"/>
      <c r="E1766" s="24"/>
      <c r="F1766" s="24"/>
      <c r="G1766" s="25"/>
      <c r="H1766" s="16" t="str">
        <f>IF(C1766="","",IFERROR(INDEX(Settings!$L$4:$L$56,MATCH(C1766,Settings!$K$4:$K$56,0)),"Unknown"))</f>
        <v/>
      </c>
      <c r="I1766" s="8" t="str">
        <f t="shared" si="81"/>
        <v/>
      </c>
      <c r="J1766" s="8" t="str">
        <f t="shared" si="82"/>
        <v/>
      </c>
      <c r="K1766" s="24"/>
      <c r="L1766" s="7" t="str">
        <f t="shared" si="83"/>
        <v/>
      </c>
    </row>
    <row r="1767" spans="1:12" x14ac:dyDescent="0.25">
      <c r="A1767" s="23"/>
      <c r="B1767" s="24"/>
      <c r="C1767" s="24"/>
      <c r="D1767" s="24"/>
      <c r="E1767" s="24"/>
      <c r="F1767" s="24"/>
      <c r="G1767" s="25"/>
      <c r="H1767" s="16" t="str">
        <f>IF(C1767="","",IFERROR(INDEX(Settings!$L$4:$L$56,MATCH(C1767,Settings!$K$4:$K$56,0)),"Unknown"))</f>
        <v/>
      </c>
      <c r="I1767" s="8" t="str">
        <f t="shared" si="81"/>
        <v/>
      </c>
      <c r="J1767" s="8" t="str">
        <f t="shared" si="82"/>
        <v/>
      </c>
      <c r="K1767" s="24"/>
      <c r="L1767" s="7" t="str">
        <f t="shared" si="83"/>
        <v/>
      </c>
    </row>
    <row r="1768" spans="1:12" x14ac:dyDescent="0.25">
      <c r="A1768" s="23"/>
      <c r="B1768" s="24"/>
      <c r="C1768" s="24"/>
      <c r="D1768" s="24"/>
      <c r="E1768" s="24"/>
      <c r="F1768" s="24"/>
      <c r="G1768" s="25"/>
      <c r="H1768" s="16" t="str">
        <f>IF(C1768="","",IFERROR(INDEX(Settings!$L$4:$L$56,MATCH(C1768,Settings!$K$4:$K$56,0)),"Unknown"))</f>
        <v/>
      </c>
      <c r="I1768" s="8" t="str">
        <f t="shared" si="81"/>
        <v/>
      </c>
      <c r="J1768" s="8" t="str">
        <f t="shared" si="82"/>
        <v/>
      </c>
      <c r="K1768" s="24"/>
      <c r="L1768" s="7" t="str">
        <f t="shared" si="83"/>
        <v/>
      </c>
    </row>
    <row r="1769" spans="1:12" x14ac:dyDescent="0.25">
      <c r="A1769" s="23"/>
      <c r="B1769" s="24"/>
      <c r="C1769" s="24"/>
      <c r="D1769" s="24"/>
      <c r="E1769" s="24"/>
      <c r="F1769" s="24"/>
      <c r="G1769" s="25"/>
      <c r="H1769" s="16" t="str">
        <f>IF(C1769="","",IFERROR(INDEX(Settings!$L$4:$L$56,MATCH(C1769,Settings!$K$4:$K$56,0)),"Unknown"))</f>
        <v/>
      </c>
      <c r="I1769" s="8" t="str">
        <f t="shared" si="81"/>
        <v/>
      </c>
      <c r="J1769" s="8" t="str">
        <f t="shared" si="82"/>
        <v/>
      </c>
      <c r="K1769" s="24"/>
      <c r="L1769" s="7" t="str">
        <f t="shared" si="83"/>
        <v/>
      </c>
    </row>
    <row r="1770" spans="1:12" x14ac:dyDescent="0.25">
      <c r="A1770" s="23"/>
      <c r="B1770" s="24"/>
      <c r="C1770" s="24"/>
      <c r="D1770" s="24"/>
      <c r="E1770" s="24"/>
      <c r="F1770" s="24"/>
      <c r="G1770" s="25"/>
      <c r="H1770" s="16" t="str">
        <f>IF(C1770="","",IFERROR(INDEX(Settings!$L$4:$L$56,MATCH(C1770,Settings!$K$4:$K$56,0)),"Unknown"))</f>
        <v/>
      </c>
      <c r="I1770" s="8" t="str">
        <f t="shared" si="81"/>
        <v/>
      </c>
      <c r="J1770" s="8" t="str">
        <f t="shared" si="82"/>
        <v/>
      </c>
      <c r="K1770" s="24"/>
      <c r="L1770" s="7" t="str">
        <f t="shared" si="83"/>
        <v/>
      </c>
    </row>
    <row r="1771" spans="1:12" x14ac:dyDescent="0.25">
      <c r="A1771" s="23"/>
      <c r="B1771" s="24"/>
      <c r="C1771" s="24"/>
      <c r="D1771" s="24"/>
      <c r="E1771" s="24"/>
      <c r="F1771" s="24"/>
      <c r="G1771" s="25"/>
      <c r="H1771" s="16" t="str">
        <f>IF(C1771="","",IFERROR(INDEX(Settings!$L$4:$L$56,MATCH(C1771,Settings!$K$4:$K$56,0)),"Unknown"))</f>
        <v/>
      </c>
      <c r="I1771" s="8" t="str">
        <f t="shared" si="81"/>
        <v/>
      </c>
      <c r="J1771" s="8" t="str">
        <f t="shared" si="82"/>
        <v/>
      </c>
      <c r="K1771" s="24"/>
      <c r="L1771" s="7" t="str">
        <f t="shared" si="83"/>
        <v/>
      </c>
    </row>
    <row r="1772" spans="1:12" x14ac:dyDescent="0.25">
      <c r="A1772" s="23"/>
      <c r="B1772" s="24"/>
      <c r="C1772" s="24"/>
      <c r="D1772" s="24"/>
      <c r="E1772" s="24"/>
      <c r="F1772" s="24"/>
      <c r="G1772" s="25"/>
      <c r="H1772" s="16" t="str">
        <f>IF(C1772="","",IFERROR(INDEX(Settings!$L$4:$L$56,MATCH(C1772,Settings!$K$4:$K$56,0)),"Unknown"))</f>
        <v/>
      </c>
      <c r="I1772" s="8" t="str">
        <f t="shared" si="81"/>
        <v/>
      </c>
      <c r="J1772" s="8" t="str">
        <f t="shared" si="82"/>
        <v/>
      </c>
      <c r="K1772" s="24"/>
      <c r="L1772" s="7" t="str">
        <f t="shared" si="83"/>
        <v/>
      </c>
    </row>
    <row r="1773" spans="1:12" x14ac:dyDescent="0.25">
      <c r="A1773" s="23"/>
      <c r="B1773" s="24"/>
      <c r="C1773" s="24"/>
      <c r="D1773" s="24"/>
      <c r="E1773" s="24"/>
      <c r="F1773" s="24"/>
      <c r="G1773" s="25"/>
      <c r="H1773" s="16" t="str">
        <f>IF(C1773="","",IFERROR(INDEX(Settings!$L$4:$L$56,MATCH(C1773,Settings!$K$4:$K$56,0)),"Unknown"))</f>
        <v/>
      </c>
      <c r="I1773" s="8" t="str">
        <f t="shared" si="81"/>
        <v/>
      </c>
      <c r="J1773" s="8" t="str">
        <f t="shared" si="82"/>
        <v/>
      </c>
      <c r="K1773" s="24"/>
      <c r="L1773" s="7" t="str">
        <f t="shared" si="83"/>
        <v/>
      </c>
    </row>
    <row r="1774" spans="1:12" x14ac:dyDescent="0.25">
      <c r="A1774" s="23"/>
      <c r="B1774" s="24"/>
      <c r="C1774" s="24"/>
      <c r="D1774" s="24"/>
      <c r="E1774" s="24"/>
      <c r="F1774" s="24"/>
      <c r="G1774" s="25"/>
      <c r="H1774" s="16" t="str">
        <f>IF(C1774="","",IFERROR(INDEX(Settings!$L$4:$L$56,MATCH(C1774,Settings!$K$4:$K$56,0)),"Unknown"))</f>
        <v/>
      </c>
      <c r="I1774" s="8" t="str">
        <f t="shared" si="81"/>
        <v/>
      </c>
      <c r="J1774" s="8" t="str">
        <f t="shared" si="82"/>
        <v/>
      </c>
      <c r="K1774" s="24"/>
      <c r="L1774" s="7" t="str">
        <f t="shared" si="83"/>
        <v/>
      </c>
    </row>
    <row r="1775" spans="1:12" x14ac:dyDescent="0.25">
      <c r="A1775" s="23"/>
      <c r="B1775" s="24"/>
      <c r="C1775" s="24"/>
      <c r="D1775" s="24"/>
      <c r="E1775" s="24"/>
      <c r="F1775" s="24"/>
      <c r="G1775" s="25"/>
      <c r="H1775" s="16" t="str">
        <f>IF(C1775="","",IFERROR(INDEX(Settings!$L$4:$L$56,MATCH(C1775,Settings!$K$4:$K$56,0)),"Unknown"))</f>
        <v/>
      </c>
      <c r="I1775" s="8" t="str">
        <f t="shared" si="81"/>
        <v/>
      </c>
      <c r="J1775" s="8" t="str">
        <f t="shared" si="82"/>
        <v/>
      </c>
      <c r="K1775" s="24"/>
      <c r="L1775" s="7" t="str">
        <f t="shared" si="83"/>
        <v/>
      </c>
    </row>
    <row r="1776" spans="1:12" x14ac:dyDescent="0.25">
      <c r="A1776" s="23"/>
      <c r="B1776" s="24"/>
      <c r="C1776" s="24"/>
      <c r="D1776" s="24"/>
      <c r="E1776" s="24"/>
      <c r="F1776" s="24"/>
      <c r="G1776" s="25"/>
      <c r="H1776" s="16" t="str">
        <f>IF(C1776="","",IFERROR(INDEX(Settings!$L$4:$L$56,MATCH(C1776,Settings!$K$4:$K$56,0)),"Unknown"))</f>
        <v/>
      </c>
      <c r="I1776" s="8" t="str">
        <f t="shared" si="81"/>
        <v/>
      </c>
      <c r="J1776" s="8" t="str">
        <f t="shared" si="82"/>
        <v/>
      </c>
      <c r="K1776" s="24"/>
      <c r="L1776" s="7" t="str">
        <f t="shared" si="83"/>
        <v/>
      </c>
    </row>
    <row r="1777" spans="1:12" x14ac:dyDescent="0.25">
      <c r="A1777" s="23"/>
      <c r="B1777" s="24"/>
      <c r="C1777" s="24"/>
      <c r="D1777" s="24"/>
      <c r="E1777" s="24"/>
      <c r="F1777" s="24"/>
      <c r="G1777" s="25"/>
      <c r="H1777" s="16" t="str">
        <f>IF(C1777="","",IFERROR(INDEX(Settings!$L$4:$L$56,MATCH(C1777,Settings!$K$4:$K$56,0)),"Unknown"))</f>
        <v/>
      </c>
      <c r="I1777" s="8" t="str">
        <f t="shared" si="81"/>
        <v/>
      </c>
      <c r="J1777" s="8" t="str">
        <f t="shared" si="82"/>
        <v/>
      </c>
      <c r="K1777" s="24"/>
      <c r="L1777" s="7" t="str">
        <f t="shared" si="83"/>
        <v/>
      </c>
    </row>
    <row r="1778" spans="1:12" x14ac:dyDescent="0.25">
      <c r="A1778" s="23"/>
      <c r="B1778" s="24"/>
      <c r="C1778" s="24"/>
      <c r="D1778" s="24"/>
      <c r="E1778" s="24"/>
      <c r="F1778" s="24"/>
      <c r="G1778" s="25"/>
      <c r="H1778" s="16" t="str">
        <f>IF(C1778="","",IFERROR(INDEX(Settings!$L$4:$L$56,MATCH(C1778,Settings!$K$4:$K$56,0)),"Unknown"))</f>
        <v/>
      </c>
      <c r="I1778" s="8" t="str">
        <f t="shared" si="81"/>
        <v/>
      </c>
      <c r="J1778" s="8" t="str">
        <f t="shared" si="82"/>
        <v/>
      </c>
      <c r="K1778" s="24"/>
      <c r="L1778" s="7" t="str">
        <f t="shared" si="83"/>
        <v/>
      </c>
    </row>
    <row r="1779" spans="1:12" x14ac:dyDescent="0.25">
      <c r="A1779" s="23"/>
      <c r="B1779" s="24"/>
      <c r="C1779" s="24"/>
      <c r="D1779" s="24"/>
      <c r="E1779" s="24"/>
      <c r="F1779" s="24"/>
      <c r="G1779" s="25"/>
      <c r="H1779" s="16" t="str">
        <f>IF(C1779="","",IFERROR(INDEX(Settings!$L$4:$L$56,MATCH(C1779,Settings!$K$4:$K$56,0)),"Unknown"))</f>
        <v/>
      </c>
      <c r="I1779" s="8" t="str">
        <f t="shared" si="81"/>
        <v/>
      </c>
      <c r="J1779" s="8" t="str">
        <f t="shared" si="82"/>
        <v/>
      </c>
      <c r="K1779" s="24"/>
      <c r="L1779" s="7" t="str">
        <f t="shared" si="83"/>
        <v/>
      </c>
    </row>
    <row r="1780" spans="1:12" x14ac:dyDescent="0.25">
      <c r="A1780" s="23"/>
      <c r="B1780" s="24"/>
      <c r="C1780" s="24"/>
      <c r="D1780" s="24"/>
      <c r="E1780" s="24"/>
      <c r="F1780" s="24"/>
      <c r="G1780" s="25"/>
      <c r="H1780" s="16" t="str">
        <f>IF(C1780="","",IFERROR(INDEX(Settings!$L$4:$L$56,MATCH(C1780,Settings!$K$4:$K$56,0)),"Unknown"))</f>
        <v/>
      </c>
      <c r="I1780" s="8" t="str">
        <f t="shared" si="81"/>
        <v/>
      </c>
      <c r="J1780" s="8" t="str">
        <f t="shared" si="82"/>
        <v/>
      </c>
      <c r="K1780" s="24"/>
      <c r="L1780" s="7" t="str">
        <f t="shared" si="83"/>
        <v/>
      </c>
    </row>
    <row r="1781" spans="1:12" x14ac:dyDescent="0.25">
      <c r="A1781" s="23"/>
      <c r="B1781" s="24"/>
      <c r="C1781" s="24"/>
      <c r="D1781" s="24"/>
      <c r="E1781" s="24"/>
      <c r="F1781" s="24"/>
      <c r="G1781" s="25"/>
      <c r="H1781" s="16" t="str">
        <f>IF(C1781="","",IFERROR(INDEX(Settings!$L$4:$L$56,MATCH(C1781,Settings!$K$4:$K$56,0)),"Unknown"))</f>
        <v/>
      </c>
      <c r="I1781" s="8" t="str">
        <f t="shared" si="81"/>
        <v/>
      </c>
      <c r="J1781" s="8" t="str">
        <f t="shared" si="82"/>
        <v/>
      </c>
      <c r="K1781" s="24"/>
      <c r="L1781" s="7" t="str">
        <f t="shared" si="83"/>
        <v/>
      </c>
    </row>
    <row r="1782" spans="1:12" x14ac:dyDescent="0.25">
      <c r="A1782" s="23"/>
      <c r="B1782" s="24"/>
      <c r="C1782" s="24"/>
      <c r="D1782" s="24"/>
      <c r="E1782" s="24"/>
      <c r="F1782" s="24"/>
      <c r="G1782" s="25"/>
      <c r="H1782" s="16" t="str">
        <f>IF(C1782="","",IFERROR(INDEX(Settings!$L$4:$L$56,MATCH(C1782,Settings!$K$4:$K$56,0)),"Unknown"))</f>
        <v/>
      </c>
      <c r="I1782" s="8" t="str">
        <f t="shared" si="81"/>
        <v/>
      </c>
      <c r="J1782" s="8" t="str">
        <f t="shared" si="82"/>
        <v/>
      </c>
      <c r="K1782" s="24"/>
      <c r="L1782" s="7" t="str">
        <f t="shared" si="83"/>
        <v/>
      </c>
    </row>
    <row r="1783" spans="1:12" x14ac:dyDescent="0.25">
      <c r="A1783" s="23"/>
      <c r="B1783" s="24"/>
      <c r="C1783" s="24"/>
      <c r="D1783" s="24"/>
      <c r="E1783" s="24"/>
      <c r="F1783" s="24"/>
      <c r="G1783" s="25"/>
      <c r="H1783" s="16" t="str">
        <f>IF(C1783="","",IFERROR(INDEX(Settings!$L$4:$L$56,MATCH(C1783,Settings!$K$4:$K$56,0)),"Unknown"))</f>
        <v/>
      </c>
      <c r="I1783" s="8" t="str">
        <f t="shared" si="81"/>
        <v/>
      </c>
      <c r="J1783" s="8" t="str">
        <f t="shared" si="82"/>
        <v/>
      </c>
      <c r="K1783" s="24"/>
      <c r="L1783" s="7" t="str">
        <f t="shared" si="83"/>
        <v/>
      </c>
    </row>
    <row r="1784" spans="1:12" x14ac:dyDescent="0.25">
      <c r="A1784" s="23"/>
      <c r="B1784" s="24"/>
      <c r="C1784" s="24"/>
      <c r="D1784" s="24"/>
      <c r="E1784" s="24"/>
      <c r="F1784" s="24"/>
      <c r="G1784" s="25"/>
      <c r="H1784" s="16" t="str">
        <f>IF(C1784="","",IFERROR(INDEX(Settings!$L$4:$L$56,MATCH(C1784,Settings!$K$4:$K$56,0)),"Unknown"))</f>
        <v/>
      </c>
      <c r="I1784" s="8" t="str">
        <f t="shared" si="81"/>
        <v/>
      </c>
      <c r="J1784" s="8" t="str">
        <f t="shared" si="82"/>
        <v/>
      </c>
      <c r="K1784" s="24"/>
      <c r="L1784" s="7" t="str">
        <f t="shared" si="83"/>
        <v/>
      </c>
    </row>
    <row r="1785" spans="1:12" x14ac:dyDescent="0.25">
      <c r="A1785" s="23"/>
      <c r="B1785" s="24"/>
      <c r="C1785" s="24"/>
      <c r="D1785" s="24"/>
      <c r="E1785" s="24"/>
      <c r="F1785" s="24"/>
      <c r="G1785" s="25"/>
      <c r="H1785" s="16" t="str">
        <f>IF(C1785="","",IFERROR(INDEX(Settings!$L$4:$L$56,MATCH(C1785,Settings!$K$4:$K$56,0)),"Unknown"))</f>
        <v/>
      </c>
      <c r="I1785" s="8" t="str">
        <f t="shared" si="81"/>
        <v/>
      </c>
      <c r="J1785" s="8" t="str">
        <f t="shared" si="82"/>
        <v/>
      </c>
      <c r="K1785" s="24"/>
      <c r="L1785" s="7" t="str">
        <f t="shared" si="83"/>
        <v/>
      </c>
    </row>
    <row r="1786" spans="1:12" x14ac:dyDescent="0.25">
      <c r="A1786" s="23"/>
      <c r="B1786" s="24"/>
      <c r="C1786" s="24"/>
      <c r="D1786" s="24"/>
      <c r="E1786" s="24"/>
      <c r="F1786" s="24"/>
      <c r="G1786" s="25"/>
      <c r="H1786" s="16" t="str">
        <f>IF(C1786="","",IFERROR(INDEX(Settings!$L$4:$L$56,MATCH(C1786,Settings!$K$4:$K$56,0)),"Unknown"))</f>
        <v/>
      </c>
      <c r="I1786" s="8" t="str">
        <f t="shared" si="81"/>
        <v/>
      </c>
      <c r="J1786" s="8" t="str">
        <f t="shared" si="82"/>
        <v/>
      </c>
      <c r="K1786" s="24"/>
      <c r="L1786" s="7" t="str">
        <f t="shared" si="83"/>
        <v/>
      </c>
    </row>
    <row r="1787" spans="1:12" x14ac:dyDescent="0.25">
      <c r="A1787" s="23"/>
      <c r="B1787" s="24"/>
      <c r="C1787" s="24"/>
      <c r="D1787" s="24"/>
      <c r="E1787" s="24"/>
      <c r="F1787" s="24"/>
      <c r="G1787" s="25"/>
      <c r="H1787" s="16" t="str">
        <f>IF(C1787="","",IFERROR(INDEX(Settings!$L$4:$L$56,MATCH(C1787,Settings!$K$4:$K$56,0)),"Unknown"))</f>
        <v/>
      </c>
      <c r="I1787" s="8" t="str">
        <f t="shared" si="81"/>
        <v/>
      </c>
      <c r="J1787" s="8" t="str">
        <f t="shared" si="82"/>
        <v/>
      </c>
      <c r="K1787" s="24"/>
      <c r="L1787" s="7" t="str">
        <f t="shared" si="83"/>
        <v/>
      </c>
    </row>
    <row r="1788" spans="1:12" x14ac:dyDescent="0.25">
      <c r="A1788" s="23"/>
      <c r="B1788" s="24"/>
      <c r="C1788" s="24"/>
      <c r="D1788" s="24"/>
      <c r="E1788" s="24"/>
      <c r="F1788" s="24"/>
      <c r="G1788" s="25"/>
      <c r="H1788" s="16" t="str">
        <f>IF(C1788="","",IFERROR(INDEX(Settings!$L$4:$L$56,MATCH(C1788,Settings!$K$4:$K$56,0)),"Unknown"))</f>
        <v/>
      </c>
      <c r="I1788" s="8" t="str">
        <f t="shared" si="81"/>
        <v/>
      </c>
      <c r="J1788" s="8" t="str">
        <f t="shared" si="82"/>
        <v/>
      </c>
      <c r="K1788" s="24"/>
      <c r="L1788" s="7" t="str">
        <f t="shared" si="83"/>
        <v/>
      </c>
    </row>
    <row r="1789" spans="1:12" x14ac:dyDescent="0.25">
      <c r="A1789" s="23"/>
      <c r="B1789" s="24"/>
      <c r="C1789" s="24"/>
      <c r="D1789" s="24"/>
      <c r="E1789" s="24"/>
      <c r="F1789" s="24"/>
      <c r="G1789" s="25"/>
      <c r="H1789" s="16" t="str">
        <f>IF(C1789="","",IFERROR(INDEX(Settings!$L$4:$L$56,MATCH(C1789,Settings!$K$4:$K$56,0)),"Unknown"))</f>
        <v/>
      </c>
      <c r="I1789" s="8" t="str">
        <f t="shared" si="81"/>
        <v/>
      </c>
      <c r="J1789" s="8" t="str">
        <f t="shared" si="82"/>
        <v/>
      </c>
      <c r="K1789" s="24"/>
      <c r="L1789" s="7" t="str">
        <f t="shared" si="83"/>
        <v/>
      </c>
    </row>
    <row r="1790" spans="1:12" x14ac:dyDescent="0.25">
      <c r="A1790" s="23"/>
      <c r="B1790" s="24"/>
      <c r="C1790" s="24"/>
      <c r="D1790" s="24"/>
      <c r="E1790" s="24"/>
      <c r="F1790" s="24"/>
      <c r="G1790" s="25"/>
      <c r="H1790" s="16" t="str">
        <f>IF(C1790="","",IFERROR(INDEX(Settings!$L$4:$L$56,MATCH(C1790,Settings!$K$4:$K$56,0)),"Unknown"))</f>
        <v/>
      </c>
      <c r="I1790" s="8" t="str">
        <f t="shared" si="81"/>
        <v/>
      </c>
      <c r="J1790" s="8" t="str">
        <f t="shared" si="82"/>
        <v/>
      </c>
      <c r="K1790" s="24"/>
      <c r="L1790" s="7" t="str">
        <f t="shared" si="83"/>
        <v/>
      </c>
    </row>
    <row r="1791" spans="1:12" x14ac:dyDescent="0.25">
      <c r="A1791" s="23"/>
      <c r="B1791" s="24"/>
      <c r="C1791" s="24"/>
      <c r="D1791" s="24"/>
      <c r="E1791" s="24"/>
      <c r="F1791" s="24"/>
      <c r="G1791" s="25"/>
      <c r="H1791" s="16" t="str">
        <f>IF(C1791="","",IFERROR(INDEX(Settings!$L$4:$L$56,MATCH(C1791,Settings!$K$4:$K$56,0)),"Unknown"))</f>
        <v/>
      </c>
      <c r="I1791" s="8" t="str">
        <f t="shared" si="81"/>
        <v/>
      </c>
      <c r="J1791" s="8" t="str">
        <f t="shared" si="82"/>
        <v/>
      </c>
      <c r="K1791" s="24"/>
      <c r="L1791" s="7" t="str">
        <f t="shared" si="83"/>
        <v/>
      </c>
    </row>
    <row r="1792" spans="1:12" x14ac:dyDescent="0.25">
      <c r="A1792" s="23"/>
      <c r="B1792" s="24"/>
      <c r="C1792" s="24"/>
      <c r="D1792" s="24"/>
      <c r="E1792" s="24"/>
      <c r="F1792" s="24"/>
      <c r="G1792" s="25"/>
      <c r="H1792" s="16" t="str">
        <f>IF(C1792="","",IFERROR(INDEX(Settings!$L$4:$L$56,MATCH(C1792,Settings!$K$4:$K$56,0)),"Unknown"))</f>
        <v/>
      </c>
      <c r="I1792" s="8" t="str">
        <f t="shared" si="81"/>
        <v/>
      </c>
      <c r="J1792" s="8" t="str">
        <f t="shared" si="82"/>
        <v/>
      </c>
      <c r="K1792" s="24"/>
      <c r="L1792" s="7" t="str">
        <f t="shared" si="83"/>
        <v/>
      </c>
    </row>
    <row r="1793" spans="1:12" x14ac:dyDescent="0.25">
      <c r="A1793" s="23"/>
      <c r="B1793" s="24"/>
      <c r="C1793" s="24"/>
      <c r="D1793" s="24"/>
      <c r="E1793" s="24"/>
      <c r="F1793" s="24"/>
      <c r="G1793" s="25"/>
      <c r="H1793" s="16" t="str">
        <f>IF(C1793="","",IFERROR(INDEX(Settings!$L$4:$L$56,MATCH(C1793,Settings!$K$4:$K$56,0)),"Unknown"))</f>
        <v/>
      </c>
      <c r="I1793" s="8" t="str">
        <f t="shared" si="81"/>
        <v/>
      </c>
      <c r="J1793" s="8" t="str">
        <f t="shared" si="82"/>
        <v/>
      </c>
      <c r="K1793" s="24"/>
      <c r="L1793" s="7" t="str">
        <f t="shared" si="83"/>
        <v/>
      </c>
    </row>
    <row r="1794" spans="1:12" x14ac:dyDescent="0.25">
      <c r="A1794" s="23"/>
      <c r="B1794" s="24"/>
      <c r="C1794" s="24"/>
      <c r="D1794" s="24"/>
      <c r="E1794" s="24"/>
      <c r="F1794" s="24"/>
      <c r="G1794" s="25"/>
      <c r="H1794" s="16" t="str">
        <f>IF(C1794="","",IFERROR(INDEX(Settings!$L$4:$L$56,MATCH(C1794,Settings!$K$4:$K$56,0)),"Unknown"))</f>
        <v/>
      </c>
      <c r="I1794" s="8" t="str">
        <f t="shared" si="81"/>
        <v/>
      </c>
      <c r="J1794" s="8" t="str">
        <f t="shared" si="82"/>
        <v/>
      </c>
      <c r="K1794" s="24"/>
      <c r="L1794" s="7" t="str">
        <f t="shared" si="83"/>
        <v/>
      </c>
    </row>
    <row r="1795" spans="1:12" x14ac:dyDescent="0.25">
      <c r="A1795" s="23"/>
      <c r="B1795" s="24"/>
      <c r="C1795" s="24"/>
      <c r="D1795" s="24"/>
      <c r="E1795" s="24"/>
      <c r="F1795" s="24"/>
      <c r="G1795" s="25"/>
      <c r="H1795" s="16" t="str">
        <f>IF(C1795="","",IFERROR(INDEX(Settings!$L$4:$L$56,MATCH(C1795,Settings!$K$4:$K$56,0)),"Unknown"))</f>
        <v/>
      </c>
      <c r="I1795" s="8" t="str">
        <f t="shared" si="81"/>
        <v/>
      </c>
      <c r="J1795" s="8" t="str">
        <f t="shared" si="82"/>
        <v/>
      </c>
      <c r="K1795" s="24"/>
      <c r="L1795" s="7" t="str">
        <f t="shared" si="83"/>
        <v/>
      </c>
    </row>
    <row r="1796" spans="1:12" x14ac:dyDescent="0.25">
      <c r="A1796" s="23"/>
      <c r="B1796" s="24"/>
      <c r="C1796" s="24"/>
      <c r="D1796" s="24"/>
      <c r="E1796" s="24"/>
      <c r="F1796" s="24"/>
      <c r="G1796" s="25"/>
      <c r="H1796" s="16" t="str">
        <f>IF(C1796="","",IFERROR(INDEX(Settings!$L$4:$L$56,MATCH(C1796,Settings!$K$4:$K$56,0)),"Unknown"))</f>
        <v/>
      </c>
      <c r="I1796" s="8" t="str">
        <f t="shared" si="81"/>
        <v/>
      </c>
      <c r="J1796" s="8" t="str">
        <f t="shared" si="82"/>
        <v/>
      </c>
      <c r="K1796" s="24"/>
      <c r="L1796" s="7" t="str">
        <f t="shared" si="83"/>
        <v/>
      </c>
    </row>
    <row r="1797" spans="1:12" x14ac:dyDescent="0.25">
      <c r="A1797" s="23"/>
      <c r="B1797" s="24"/>
      <c r="C1797" s="24"/>
      <c r="D1797" s="24"/>
      <c r="E1797" s="24"/>
      <c r="F1797" s="24"/>
      <c r="G1797" s="25"/>
      <c r="H1797" s="16" t="str">
        <f>IF(C1797="","",IFERROR(INDEX(Settings!$L$4:$L$56,MATCH(C1797,Settings!$K$4:$K$56,0)),"Unknown"))</f>
        <v/>
      </c>
      <c r="I1797" s="8" t="str">
        <f t="shared" si="81"/>
        <v/>
      </c>
      <c r="J1797" s="8" t="str">
        <f t="shared" si="82"/>
        <v/>
      </c>
      <c r="K1797" s="24"/>
      <c r="L1797" s="7" t="str">
        <f t="shared" si="83"/>
        <v/>
      </c>
    </row>
    <row r="1798" spans="1:12" x14ac:dyDescent="0.25">
      <c r="A1798" s="23"/>
      <c r="B1798" s="24"/>
      <c r="C1798" s="24"/>
      <c r="D1798" s="24"/>
      <c r="E1798" s="24"/>
      <c r="F1798" s="24"/>
      <c r="G1798" s="25"/>
      <c r="H1798" s="16" t="str">
        <f>IF(C1798="","",IFERROR(INDEX(Settings!$L$4:$L$56,MATCH(C1798,Settings!$K$4:$K$56,0)),"Unknown"))</f>
        <v/>
      </c>
      <c r="I1798" s="8" t="str">
        <f t="shared" ref="I1798:I1861" si="84">IF(A1798="","",MONTH(A1798))</f>
        <v/>
      </c>
      <c r="J1798" s="8" t="str">
        <f t="shared" ref="J1798:J1861" si="85">IF(A1798="","",YEAR(A1798))</f>
        <v/>
      </c>
      <c r="K1798" s="24"/>
      <c r="L1798" s="7" t="str">
        <f t="shared" ref="L1798:L1861" si="86">IF(OR(B1798="",C1798=""),"",IF(AND(B1798="Income",H1798&lt;&gt;"Income"),"Category is not an Income category",IF(AND(B1798="Expense",H1798="Income"),"Category is an Income category","OK")))</f>
        <v/>
      </c>
    </row>
    <row r="1799" spans="1:12" x14ac:dyDescent="0.25">
      <c r="A1799" s="23"/>
      <c r="B1799" s="24"/>
      <c r="C1799" s="24"/>
      <c r="D1799" s="24"/>
      <c r="E1799" s="24"/>
      <c r="F1799" s="24"/>
      <c r="G1799" s="25"/>
      <c r="H1799" s="16" t="str">
        <f>IF(C1799="","",IFERROR(INDEX(Settings!$L$4:$L$56,MATCH(C1799,Settings!$K$4:$K$56,0)),"Unknown"))</f>
        <v/>
      </c>
      <c r="I1799" s="8" t="str">
        <f t="shared" si="84"/>
        <v/>
      </c>
      <c r="J1799" s="8" t="str">
        <f t="shared" si="85"/>
        <v/>
      </c>
      <c r="K1799" s="24"/>
      <c r="L1799" s="7" t="str">
        <f t="shared" si="86"/>
        <v/>
      </c>
    </row>
    <row r="1800" spans="1:12" x14ac:dyDescent="0.25">
      <c r="A1800" s="23"/>
      <c r="B1800" s="24"/>
      <c r="C1800" s="24"/>
      <c r="D1800" s="24"/>
      <c r="E1800" s="24"/>
      <c r="F1800" s="24"/>
      <c r="G1800" s="25"/>
      <c r="H1800" s="16" t="str">
        <f>IF(C1800="","",IFERROR(INDEX(Settings!$L$4:$L$56,MATCH(C1800,Settings!$K$4:$K$56,0)),"Unknown"))</f>
        <v/>
      </c>
      <c r="I1800" s="8" t="str">
        <f t="shared" si="84"/>
        <v/>
      </c>
      <c r="J1800" s="8" t="str">
        <f t="shared" si="85"/>
        <v/>
      </c>
      <c r="K1800" s="24"/>
      <c r="L1800" s="7" t="str">
        <f t="shared" si="86"/>
        <v/>
      </c>
    </row>
    <row r="1801" spans="1:12" x14ac:dyDescent="0.25">
      <c r="A1801" s="23"/>
      <c r="B1801" s="24"/>
      <c r="C1801" s="24"/>
      <c r="D1801" s="24"/>
      <c r="E1801" s="24"/>
      <c r="F1801" s="24"/>
      <c r="G1801" s="25"/>
      <c r="H1801" s="16" t="str">
        <f>IF(C1801="","",IFERROR(INDEX(Settings!$L$4:$L$56,MATCH(C1801,Settings!$K$4:$K$56,0)),"Unknown"))</f>
        <v/>
      </c>
      <c r="I1801" s="8" t="str">
        <f t="shared" si="84"/>
        <v/>
      </c>
      <c r="J1801" s="8" t="str">
        <f t="shared" si="85"/>
        <v/>
      </c>
      <c r="K1801" s="24"/>
      <c r="L1801" s="7" t="str">
        <f t="shared" si="86"/>
        <v/>
      </c>
    </row>
    <row r="1802" spans="1:12" x14ac:dyDescent="0.25">
      <c r="A1802" s="23"/>
      <c r="B1802" s="24"/>
      <c r="C1802" s="24"/>
      <c r="D1802" s="24"/>
      <c r="E1802" s="24"/>
      <c r="F1802" s="24"/>
      <c r="G1802" s="25"/>
      <c r="H1802" s="16" t="str">
        <f>IF(C1802="","",IFERROR(INDEX(Settings!$L$4:$L$56,MATCH(C1802,Settings!$K$4:$K$56,0)),"Unknown"))</f>
        <v/>
      </c>
      <c r="I1802" s="8" t="str">
        <f t="shared" si="84"/>
        <v/>
      </c>
      <c r="J1802" s="8" t="str">
        <f t="shared" si="85"/>
        <v/>
      </c>
      <c r="K1802" s="24"/>
      <c r="L1802" s="7" t="str">
        <f t="shared" si="86"/>
        <v/>
      </c>
    </row>
    <row r="1803" spans="1:12" x14ac:dyDescent="0.25">
      <c r="A1803" s="23"/>
      <c r="B1803" s="24"/>
      <c r="C1803" s="24"/>
      <c r="D1803" s="24"/>
      <c r="E1803" s="24"/>
      <c r="F1803" s="24"/>
      <c r="G1803" s="25"/>
      <c r="H1803" s="16" t="str">
        <f>IF(C1803="","",IFERROR(INDEX(Settings!$L$4:$L$56,MATCH(C1803,Settings!$K$4:$K$56,0)),"Unknown"))</f>
        <v/>
      </c>
      <c r="I1803" s="8" t="str">
        <f t="shared" si="84"/>
        <v/>
      </c>
      <c r="J1803" s="8" t="str">
        <f t="shared" si="85"/>
        <v/>
      </c>
      <c r="K1803" s="24"/>
      <c r="L1803" s="7" t="str">
        <f t="shared" si="86"/>
        <v/>
      </c>
    </row>
    <row r="1804" spans="1:12" x14ac:dyDescent="0.25">
      <c r="A1804" s="23"/>
      <c r="B1804" s="24"/>
      <c r="C1804" s="24"/>
      <c r="D1804" s="24"/>
      <c r="E1804" s="24"/>
      <c r="F1804" s="24"/>
      <c r="G1804" s="25"/>
      <c r="H1804" s="16" t="str">
        <f>IF(C1804="","",IFERROR(INDEX(Settings!$L$4:$L$56,MATCH(C1804,Settings!$K$4:$K$56,0)),"Unknown"))</f>
        <v/>
      </c>
      <c r="I1804" s="8" t="str">
        <f t="shared" si="84"/>
        <v/>
      </c>
      <c r="J1804" s="8" t="str">
        <f t="shared" si="85"/>
        <v/>
      </c>
      <c r="K1804" s="24"/>
      <c r="L1804" s="7" t="str">
        <f t="shared" si="86"/>
        <v/>
      </c>
    </row>
    <row r="1805" spans="1:12" x14ac:dyDescent="0.25">
      <c r="A1805" s="23"/>
      <c r="B1805" s="24"/>
      <c r="C1805" s="24"/>
      <c r="D1805" s="24"/>
      <c r="E1805" s="24"/>
      <c r="F1805" s="24"/>
      <c r="G1805" s="25"/>
      <c r="H1805" s="16" t="str">
        <f>IF(C1805="","",IFERROR(INDEX(Settings!$L$4:$L$56,MATCH(C1805,Settings!$K$4:$K$56,0)),"Unknown"))</f>
        <v/>
      </c>
      <c r="I1805" s="8" t="str">
        <f t="shared" si="84"/>
        <v/>
      </c>
      <c r="J1805" s="8" t="str">
        <f t="shared" si="85"/>
        <v/>
      </c>
      <c r="K1805" s="24"/>
      <c r="L1805" s="7" t="str">
        <f t="shared" si="86"/>
        <v/>
      </c>
    </row>
    <row r="1806" spans="1:12" x14ac:dyDescent="0.25">
      <c r="A1806" s="23"/>
      <c r="B1806" s="24"/>
      <c r="C1806" s="24"/>
      <c r="D1806" s="24"/>
      <c r="E1806" s="24"/>
      <c r="F1806" s="24"/>
      <c r="G1806" s="25"/>
      <c r="H1806" s="16" t="str">
        <f>IF(C1806="","",IFERROR(INDEX(Settings!$L$4:$L$56,MATCH(C1806,Settings!$K$4:$K$56,0)),"Unknown"))</f>
        <v/>
      </c>
      <c r="I1806" s="8" t="str">
        <f t="shared" si="84"/>
        <v/>
      </c>
      <c r="J1806" s="8" t="str">
        <f t="shared" si="85"/>
        <v/>
      </c>
      <c r="K1806" s="24"/>
      <c r="L1806" s="7" t="str">
        <f t="shared" si="86"/>
        <v/>
      </c>
    </row>
    <row r="1807" spans="1:12" x14ac:dyDescent="0.25">
      <c r="A1807" s="23"/>
      <c r="B1807" s="24"/>
      <c r="C1807" s="24"/>
      <c r="D1807" s="24"/>
      <c r="E1807" s="24"/>
      <c r="F1807" s="24"/>
      <c r="G1807" s="25"/>
      <c r="H1807" s="16" t="str">
        <f>IF(C1807="","",IFERROR(INDEX(Settings!$L$4:$L$56,MATCH(C1807,Settings!$K$4:$K$56,0)),"Unknown"))</f>
        <v/>
      </c>
      <c r="I1807" s="8" t="str">
        <f t="shared" si="84"/>
        <v/>
      </c>
      <c r="J1807" s="8" t="str">
        <f t="shared" si="85"/>
        <v/>
      </c>
      <c r="K1807" s="24"/>
      <c r="L1807" s="7" t="str">
        <f t="shared" si="86"/>
        <v/>
      </c>
    </row>
    <row r="1808" spans="1:12" x14ac:dyDescent="0.25">
      <c r="A1808" s="23"/>
      <c r="B1808" s="24"/>
      <c r="C1808" s="24"/>
      <c r="D1808" s="24"/>
      <c r="E1808" s="24"/>
      <c r="F1808" s="24"/>
      <c r="G1808" s="25"/>
      <c r="H1808" s="16" t="str">
        <f>IF(C1808="","",IFERROR(INDEX(Settings!$L$4:$L$56,MATCH(C1808,Settings!$K$4:$K$56,0)),"Unknown"))</f>
        <v/>
      </c>
      <c r="I1808" s="8" t="str">
        <f t="shared" si="84"/>
        <v/>
      </c>
      <c r="J1808" s="8" t="str">
        <f t="shared" si="85"/>
        <v/>
      </c>
      <c r="K1808" s="24"/>
      <c r="L1808" s="7" t="str">
        <f t="shared" si="86"/>
        <v/>
      </c>
    </row>
    <row r="1809" spans="1:12" x14ac:dyDescent="0.25">
      <c r="A1809" s="23"/>
      <c r="B1809" s="24"/>
      <c r="C1809" s="24"/>
      <c r="D1809" s="24"/>
      <c r="E1809" s="24"/>
      <c r="F1809" s="24"/>
      <c r="G1809" s="25"/>
      <c r="H1809" s="16" t="str">
        <f>IF(C1809="","",IFERROR(INDEX(Settings!$L$4:$L$56,MATCH(C1809,Settings!$K$4:$K$56,0)),"Unknown"))</f>
        <v/>
      </c>
      <c r="I1809" s="8" t="str">
        <f t="shared" si="84"/>
        <v/>
      </c>
      <c r="J1809" s="8" t="str">
        <f t="shared" si="85"/>
        <v/>
      </c>
      <c r="K1809" s="24"/>
      <c r="L1809" s="7" t="str">
        <f t="shared" si="86"/>
        <v/>
      </c>
    </row>
    <row r="1810" spans="1:12" x14ac:dyDescent="0.25">
      <c r="A1810" s="23"/>
      <c r="B1810" s="24"/>
      <c r="C1810" s="24"/>
      <c r="D1810" s="24"/>
      <c r="E1810" s="24"/>
      <c r="F1810" s="24"/>
      <c r="G1810" s="25"/>
      <c r="H1810" s="16" t="str">
        <f>IF(C1810="","",IFERROR(INDEX(Settings!$L$4:$L$56,MATCH(C1810,Settings!$K$4:$K$56,0)),"Unknown"))</f>
        <v/>
      </c>
      <c r="I1810" s="8" t="str">
        <f t="shared" si="84"/>
        <v/>
      </c>
      <c r="J1810" s="8" t="str">
        <f t="shared" si="85"/>
        <v/>
      </c>
      <c r="K1810" s="24"/>
      <c r="L1810" s="7" t="str">
        <f t="shared" si="86"/>
        <v/>
      </c>
    </row>
    <row r="1811" spans="1:12" x14ac:dyDescent="0.25">
      <c r="A1811" s="23"/>
      <c r="B1811" s="24"/>
      <c r="C1811" s="24"/>
      <c r="D1811" s="24"/>
      <c r="E1811" s="24"/>
      <c r="F1811" s="24"/>
      <c r="G1811" s="25"/>
      <c r="H1811" s="16" t="str">
        <f>IF(C1811="","",IFERROR(INDEX(Settings!$L$4:$L$56,MATCH(C1811,Settings!$K$4:$K$56,0)),"Unknown"))</f>
        <v/>
      </c>
      <c r="I1811" s="8" t="str">
        <f t="shared" si="84"/>
        <v/>
      </c>
      <c r="J1811" s="8" t="str">
        <f t="shared" si="85"/>
        <v/>
      </c>
      <c r="K1811" s="24"/>
      <c r="L1811" s="7" t="str">
        <f t="shared" si="86"/>
        <v/>
      </c>
    </row>
    <row r="1812" spans="1:12" x14ac:dyDescent="0.25">
      <c r="A1812" s="23"/>
      <c r="B1812" s="24"/>
      <c r="C1812" s="24"/>
      <c r="D1812" s="24"/>
      <c r="E1812" s="24"/>
      <c r="F1812" s="24"/>
      <c r="G1812" s="25"/>
      <c r="H1812" s="16" t="str">
        <f>IF(C1812="","",IFERROR(INDEX(Settings!$L$4:$L$56,MATCH(C1812,Settings!$K$4:$K$56,0)),"Unknown"))</f>
        <v/>
      </c>
      <c r="I1812" s="8" t="str">
        <f t="shared" si="84"/>
        <v/>
      </c>
      <c r="J1812" s="8" t="str">
        <f t="shared" si="85"/>
        <v/>
      </c>
      <c r="K1812" s="24"/>
      <c r="L1812" s="7" t="str">
        <f t="shared" si="86"/>
        <v/>
      </c>
    </row>
    <row r="1813" spans="1:12" x14ac:dyDescent="0.25">
      <c r="A1813" s="23"/>
      <c r="B1813" s="24"/>
      <c r="C1813" s="24"/>
      <c r="D1813" s="24"/>
      <c r="E1813" s="24"/>
      <c r="F1813" s="24"/>
      <c r="G1813" s="25"/>
      <c r="H1813" s="16" t="str">
        <f>IF(C1813="","",IFERROR(INDEX(Settings!$L$4:$L$56,MATCH(C1813,Settings!$K$4:$K$56,0)),"Unknown"))</f>
        <v/>
      </c>
      <c r="I1813" s="8" t="str">
        <f t="shared" si="84"/>
        <v/>
      </c>
      <c r="J1813" s="8" t="str">
        <f t="shared" si="85"/>
        <v/>
      </c>
      <c r="K1813" s="24"/>
      <c r="L1813" s="7" t="str">
        <f t="shared" si="86"/>
        <v/>
      </c>
    </row>
    <row r="1814" spans="1:12" x14ac:dyDescent="0.25">
      <c r="A1814" s="23"/>
      <c r="B1814" s="24"/>
      <c r="C1814" s="24"/>
      <c r="D1814" s="24"/>
      <c r="E1814" s="24"/>
      <c r="F1814" s="24"/>
      <c r="G1814" s="25"/>
      <c r="H1814" s="16" t="str">
        <f>IF(C1814="","",IFERROR(INDEX(Settings!$L$4:$L$56,MATCH(C1814,Settings!$K$4:$K$56,0)),"Unknown"))</f>
        <v/>
      </c>
      <c r="I1814" s="8" t="str">
        <f t="shared" si="84"/>
        <v/>
      </c>
      <c r="J1814" s="8" t="str">
        <f t="shared" si="85"/>
        <v/>
      </c>
      <c r="K1814" s="24"/>
      <c r="L1814" s="7" t="str">
        <f t="shared" si="86"/>
        <v/>
      </c>
    </row>
    <row r="1815" spans="1:12" x14ac:dyDescent="0.25">
      <c r="A1815" s="23"/>
      <c r="B1815" s="24"/>
      <c r="C1815" s="24"/>
      <c r="D1815" s="24"/>
      <c r="E1815" s="24"/>
      <c r="F1815" s="24"/>
      <c r="G1815" s="25"/>
      <c r="H1815" s="16" t="str">
        <f>IF(C1815="","",IFERROR(INDEX(Settings!$L$4:$L$56,MATCH(C1815,Settings!$K$4:$K$56,0)),"Unknown"))</f>
        <v/>
      </c>
      <c r="I1815" s="8" t="str">
        <f t="shared" si="84"/>
        <v/>
      </c>
      <c r="J1815" s="8" t="str">
        <f t="shared" si="85"/>
        <v/>
      </c>
      <c r="K1815" s="24"/>
      <c r="L1815" s="7" t="str">
        <f t="shared" si="86"/>
        <v/>
      </c>
    </row>
    <row r="1816" spans="1:12" x14ac:dyDescent="0.25">
      <c r="A1816" s="23"/>
      <c r="B1816" s="24"/>
      <c r="C1816" s="24"/>
      <c r="D1816" s="24"/>
      <c r="E1816" s="24"/>
      <c r="F1816" s="24"/>
      <c r="G1816" s="25"/>
      <c r="H1816" s="16" t="str">
        <f>IF(C1816="","",IFERROR(INDEX(Settings!$L$4:$L$56,MATCH(C1816,Settings!$K$4:$K$56,0)),"Unknown"))</f>
        <v/>
      </c>
      <c r="I1816" s="8" t="str">
        <f t="shared" si="84"/>
        <v/>
      </c>
      <c r="J1816" s="8" t="str">
        <f t="shared" si="85"/>
        <v/>
      </c>
      <c r="K1816" s="24"/>
      <c r="L1816" s="7" t="str">
        <f t="shared" si="86"/>
        <v/>
      </c>
    </row>
    <row r="1817" spans="1:12" x14ac:dyDescent="0.25">
      <c r="A1817" s="23"/>
      <c r="B1817" s="24"/>
      <c r="C1817" s="24"/>
      <c r="D1817" s="24"/>
      <c r="E1817" s="24"/>
      <c r="F1817" s="24"/>
      <c r="G1817" s="25"/>
      <c r="H1817" s="16" t="str">
        <f>IF(C1817="","",IFERROR(INDEX(Settings!$L$4:$L$56,MATCH(C1817,Settings!$K$4:$K$56,0)),"Unknown"))</f>
        <v/>
      </c>
      <c r="I1817" s="8" t="str">
        <f t="shared" si="84"/>
        <v/>
      </c>
      <c r="J1817" s="8" t="str">
        <f t="shared" si="85"/>
        <v/>
      </c>
      <c r="K1817" s="24"/>
      <c r="L1817" s="7" t="str">
        <f t="shared" si="86"/>
        <v/>
      </c>
    </row>
    <row r="1818" spans="1:12" x14ac:dyDescent="0.25">
      <c r="A1818" s="23"/>
      <c r="B1818" s="24"/>
      <c r="C1818" s="24"/>
      <c r="D1818" s="24"/>
      <c r="E1818" s="24"/>
      <c r="F1818" s="24"/>
      <c r="G1818" s="25"/>
      <c r="H1818" s="16" t="str">
        <f>IF(C1818="","",IFERROR(INDEX(Settings!$L$4:$L$56,MATCH(C1818,Settings!$K$4:$K$56,0)),"Unknown"))</f>
        <v/>
      </c>
      <c r="I1818" s="8" t="str">
        <f t="shared" si="84"/>
        <v/>
      </c>
      <c r="J1818" s="8" t="str">
        <f t="shared" si="85"/>
        <v/>
      </c>
      <c r="K1818" s="24"/>
      <c r="L1818" s="7" t="str">
        <f t="shared" si="86"/>
        <v/>
      </c>
    </row>
    <row r="1819" spans="1:12" x14ac:dyDescent="0.25">
      <c r="A1819" s="23"/>
      <c r="B1819" s="24"/>
      <c r="C1819" s="24"/>
      <c r="D1819" s="24"/>
      <c r="E1819" s="24"/>
      <c r="F1819" s="24"/>
      <c r="G1819" s="25"/>
      <c r="H1819" s="16" t="str">
        <f>IF(C1819="","",IFERROR(INDEX(Settings!$L$4:$L$56,MATCH(C1819,Settings!$K$4:$K$56,0)),"Unknown"))</f>
        <v/>
      </c>
      <c r="I1819" s="8" t="str">
        <f t="shared" si="84"/>
        <v/>
      </c>
      <c r="J1819" s="8" t="str">
        <f t="shared" si="85"/>
        <v/>
      </c>
      <c r="K1819" s="24"/>
      <c r="L1819" s="7" t="str">
        <f t="shared" si="86"/>
        <v/>
      </c>
    </row>
    <row r="1820" spans="1:12" x14ac:dyDescent="0.25">
      <c r="A1820" s="23"/>
      <c r="B1820" s="24"/>
      <c r="C1820" s="24"/>
      <c r="D1820" s="24"/>
      <c r="E1820" s="24"/>
      <c r="F1820" s="24"/>
      <c r="G1820" s="25"/>
      <c r="H1820" s="16" t="str">
        <f>IF(C1820="","",IFERROR(INDEX(Settings!$L$4:$L$56,MATCH(C1820,Settings!$K$4:$K$56,0)),"Unknown"))</f>
        <v/>
      </c>
      <c r="I1820" s="8" t="str">
        <f t="shared" si="84"/>
        <v/>
      </c>
      <c r="J1820" s="8" t="str">
        <f t="shared" si="85"/>
        <v/>
      </c>
      <c r="K1820" s="24"/>
      <c r="L1820" s="7" t="str">
        <f t="shared" si="86"/>
        <v/>
      </c>
    </row>
    <row r="1821" spans="1:12" x14ac:dyDescent="0.25">
      <c r="A1821" s="23"/>
      <c r="B1821" s="24"/>
      <c r="C1821" s="24"/>
      <c r="D1821" s="24"/>
      <c r="E1821" s="24"/>
      <c r="F1821" s="24"/>
      <c r="G1821" s="25"/>
      <c r="H1821" s="16" t="str">
        <f>IF(C1821="","",IFERROR(INDEX(Settings!$L$4:$L$56,MATCH(C1821,Settings!$K$4:$K$56,0)),"Unknown"))</f>
        <v/>
      </c>
      <c r="I1821" s="8" t="str">
        <f t="shared" si="84"/>
        <v/>
      </c>
      <c r="J1821" s="8" t="str">
        <f t="shared" si="85"/>
        <v/>
      </c>
      <c r="K1821" s="24"/>
      <c r="L1821" s="7" t="str">
        <f t="shared" si="86"/>
        <v/>
      </c>
    </row>
    <row r="1822" spans="1:12" x14ac:dyDescent="0.25">
      <c r="A1822" s="23"/>
      <c r="B1822" s="24"/>
      <c r="C1822" s="24"/>
      <c r="D1822" s="24"/>
      <c r="E1822" s="24"/>
      <c r="F1822" s="24"/>
      <c r="G1822" s="25"/>
      <c r="H1822" s="16" t="str">
        <f>IF(C1822="","",IFERROR(INDEX(Settings!$L$4:$L$56,MATCH(C1822,Settings!$K$4:$K$56,0)),"Unknown"))</f>
        <v/>
      </c>
      <c r="I1822" s="8" t="str">
        <f t="shared" si="84"/>
        <v/>
      </c>
      <c r="J1822" s="8" t="str">
        <f t="shared" si="85"/>
        <v/>
      </c>
      <c r="K1822" s="24"/>
      <c r="L1822" s="7" t="str">
        <f t="shared" si="86"/>
        <v/>
      </c>
    </row>
    <row r="1823" spans="1:12" x14ac:dyDescent="0.25">
      <c r="A1823" s="23"/>
      <c r="B1823" s="24"/>
      <c r="C1823" s="24"/>
      <c r="D1823" s="24"/>
      <c r="E1823" s="24"/>
      <c r="F1823" s="24"/>
      <c r="G1823" s="25"/>
      <c r="H1823" s="16" t="str">
        <f>IF(C1823="","",IFERROR(INDEX(Settings!$L$4:$L$56,MATCH(C1823,Settings!$K$4:$K$56,0)),"Unknown"))</f>
        <v/>
      </c>
      <c r="I1823" s="8" t="str">
        <f t="shared" si="84"/>
        <v/>
      </c>
      <c r="J1823" s="8" t="str">
        <f t="shared" si="85"/>
        <v/>
      </c>
      <c r="K1823" s="24"/>
      <c r="L1823" s="7" t="str">
        <f t="shared" si="86"/>
        <v/>
      </c>
    </row>
    <row r="1824" spans="1:12" x14ac:dyDescent="0.25">
      <c r="A1824" s="23"/>
      <c r="B1824" s="24"/>
      <c r="C1824" s="24"/>
      <c r="D1824" s="24"/>
      <c r="E1824" s="24"/>
      <c r="F1824" s="24"/>
      <c r="G1824" s="25"/>
      <c r="H1824" s="16" t="str">
        <f>IF(C1824="","",IFERROR(INDEX(Settings!$L$4:$L$56,MATCH(C1824,Settings!$K$4:$K$56,0)),"Unknown"))</f>
        <v/>
      </c>
      <c r="I1824" s="8" t="str">
        <f t="shared" si="84"/>
        <v/>
      </c>
      <c r="J1824" s="8" t="str">
        <f t="shared" si="85"/>
        <v/>
      </c>
      <c r="K1824" s="24"/>
      <c r="L1824" s="7" t="str">
        <f t="shared" si="86"/>
        <v/>
      </c>
    </row>
    <row r="1825" spans="1:12" x14ac:dyDescent="0.25">
      <c r="A1825" s="23"/>
      <c r="B1825" s="24"/>
      <c r="C1825" s="24"/>
      <c r="D1825" s="24"/>
      <c r="E1825" s="24"/>
      <c r="F1825" s="24"/>
      <c r="G1825" s="25"/>
      <c r="H1825" s="16" t="str">
        <f>IF(C1825="","",IFERROR(INDEX(Settings!$L$4:$L$56,MATCH(C1825,Settings!$K$4:$K$56,0)),"Unknown"))</f>
        <v/>
      </c>
      <c r="I1825" s="8" t="str">
        <f t="shared" si="84"/>
        <v/>
      </c>
      <c r="J1825" s="8" t="str">
        <f t="shared" si="85"/>
        <v/>
      </c>
      <c r="K1825" s="24"/>
      <c r="L1825" s="7" t="str">
        <f t="shared" si="86"/>
        <v/>
      </c>
    </row>
    <row r="1826" spans="1:12" x14ac:dyDescent="0.25">
      <c r="A1826" s="23"/>
      <c r="B1826" s="24"/>
      <c r="C1826" s="24"/>
      <c r="D1826" s="24"/>
      <c r="E1826" s="24"/>
      <c r="F1826" s="24"/>
      <c r="G1826" s="25"/>
      <c r="H1826" s="16" t="str">
        <f>IF(C1826="","",IFERROR(INDEX(Settings!$L$4:$L$56,MATCH(C1826,Settings!$K$4:$K$56,0)),"Unknown"))</f>
        <v/>
      </c>
      <c r="I1826" s="8" t="str">
        <f t="shared" si="84"/>
        <v/>
      </c>
      <c r="J1826" s="8" t="str">
        <f t="shared" si="85"/>
        <v/>
      </c>
      <c r="K1826" s="24"/>
      <c r="L1826" s="7" t="str">
        <f t="shared" si="86"/>
        <v/>
      </c>
    </row>
    <row r="1827" spans="1:12" x14ac:dyDescent="0.25">
      <c r="A1827" s="23"/>
      <c r="B1827" s="24"/>
      <c r="C1827" s="24"/>
      <c r="D1827" s="24"/>
      <c r="E1827" s="24"/>
      <c r="F1827" s="24"/>
      <c r="G1827" s="25"/>
      <c r="H1827" s="16" t="str">
        <f>IF(C1827="","",IFERROR(INDEX(Settings!$L$4:$L$56,MATCH(C1827,Settings!$K$4:$K$56,0)),"Unknown"))</f>
        <v/>
      </c>
      <c r="I1827" s="8" t="str">
        <f t="shared" si="84"/>
        <v/>
      </c>
      <c r="J1827" s="8" t="str">
        <f t="shared" si="85"/>
        <v/>
      </c>
      <c r="K1827" s="24"/>
      <c r="L1827" s="7" t="str">
        <f t="shared" si="86"/>
        <v/>
      </c>
    </row>
    <row r="1828" spans="1:12" x14ac:dyDescent="0.25">
      <c r="A1828" s="23"/>
      <c r="B1828" s="24"/>
      <c r="C1828" s="24"/>
      <c r="D1828" s="24"/>
      <c r="E1828" s="24"/>
      <c r="F1828" s="24"/>
      <c r="G1828" s="25"/>
      <c r="H1828" s="16" t="str">
        <f>IF(C1828="","",IFERROR(INDEX(Settings!$L$4:$L$56,MATCH(C1828,Settings!$K$4:$K$56,0)),"Unknown"))</f>
        <v/>
      </c>
      <c r="I1828" s="8" t="str">
        <f t="shared" si="84"/>
        <v/>
      </c>
      <c r="J1828" s="8" t="str">
        <f t="shared" si="85"/>
        <v/>
      </c>
      <c r="K1828" s="24"/>
      <c r="L1828" s="7" t="str">
        <f t="shared" si="86"/>
        <v/>
      </c>
    </row>
    <row r="1829" spans="1:12" x14ac:dyDescent="0.25">
      <c r="A1829" s="23"/>
      <c r="B1829" s="24"/>
      <c r="C1829" s="24"/>
      <c r="D1829" s="24"/>
      <c r="E1829" s="24"/>
      <c r="F1829" s="24"/>
      <c r="G1829" s="25"/>
      <c r="H1829" s="16" t="str">
        <f>IF(C1829="","",IFERROR(INDEX(Settings!$L$4:$L$56,MATCH(C1829,Settings!$K$4:$K$56,0)),"Unknown"))</f>
        <v/>
      </c>
      <c r="I1829" s="8" t="str">
        <f t="shared" si="84"/>
        <v/>
      </c>
      <c r="J1829" s="8" t="str">
        <f t="shared" si="85"/>
        <v/>
      </c>
      <c r="K1829" s="24"/>
      <c r="L1829" s="7" t="str">
        <f t="shared" si="86"/>
        <v/>
      </c>
    </row>
    <row r="1830" spans="1:12" x14ac:dyDescent="0.25">
      <c r="A1830" s="23"/>
      <c r="B1830" s="24"/>
      <c r="C1830" s="24"/>
      <c r="D1830" s="24"/>
      <c r="E1830" s="24"/>
      <c r="F1830" s="24"/>
      <c r="G1830" s="25"/>
      <c r="H1830" s="16" t="str">
        <f>IF(C1830="","",IFERROR(INDEX(Settings!$L$4:$L$56,MATCH(C1830,Settings!$K$4:$K$56,0)),"Unknown"))</f>
        <v/>
      </c>
      <c r="I1830" s="8" t="str">
        <f t="shared" si="84"/>
        <v/>
      </c>
      <c r="J1830" s="8" t="str">
        <f t="shared" si="85"/>
        <v/>
      </c>
      <c r="K1830" s="24"/>
      <c r="L1830" s="7" t="str">
        <f t="shared" si="86"/>
        <v/>
      </c>
    </row>
    <row r="1831" spans="1:12" x14ac:dyDescent="0.25">
      <c r="A1831" s="23"/>
      <c r="B1831" s="24"/>
      <c r="C1831" s="24"/>
      <c r="D1831" s="24"/>
      <c r="E1831" s="24"/>
      <c r="F1831" s="24"/>
      <c r="G1831" s="25"/>
      <c r="H1831" s="16" t="str">
        <f>IF(C1831="","",IFERROR(INDEX(Settings!$L$4:$L$56,MATCH(C1831,Settings!$K$4:$K$56,0)),"Unknown"))</f>
        <v/>
      </c>
      <c r="I1831" s="8" t="str">
        <f t="shared" si="84"/>
        <v/>
      </c>
      <c r="J1831" s="8" t="str">
        <f t="shared" si="85"/>
        <v/>
      </c>
      <c r="K1831" s="24"/>
      <c r="L1831" s="7" t="str">
        <f t="shared" si="86"/>
        <v/>
      </c>
    </row>
    <row r="1832" spans="1:12" x14ac:dyDescent="0.25">
      <c r="A1832" s="23"/>
      <c r="B1832" s="24"/>
      <c r="C1832" s="24"/>
      <c r="D1832" s="24"/>
      <c r="E1832" s="24"/>
      <c r="F1832" s="24"/>
      <c r="G1832" s="25"/>
      <c r="H1832" s="16" t="str">
        <f>IF(C1832="","",IFERROR(INDEX(Settings!$L$4:$L$56,MATCH(C1832,Settings!$K$4:$K$56,0)),"Unknown"))</f>
        <v/>
      </c>
      <c r="I1832" s="8" t="str">
        <f t="shared" si="84"/>
        <v/>
      </c>
      <c r="J1832" s="8" t="str">
        <f t="shared" si="85"/>
        <v/>
      </c>
      <c r="K1832" s="24"/>
      <c r="L1832" s="7" t="str">
        <f t="shared" si="86"/>
        <v/>
      </c>
    </row>
    <row r="1833" spans="1:12" x14ac:dyDescent="0.25">
      <c r="A1833" s="23"/>
      <c r="B1833" s="24"/>
      <c r="C1833" s="24"/>
      <c r="D1833" s="24"/>
      <c r="E1833" s="24"/>
      <c r="F1833" s="24"/>
      <c r="G1833" s="25"/>
      <c r="H1833" s="16" t="str">
        <f>IF(C1833="","",IFERROR(INDEX(Settings!$L$4:$L$56,MATCH(C1833,Settings!$K$4:$K$56,0)),"Unknown"))</f>
        <v/>
      </c>
      <c r="I1833" s="8" t="str">
        <f t="shared" si="84"/>
        <v/>
      </c>
      <c r="J1833" s="8" t="str">
        <f t="shared" si="85"/>
        <v/>
      </c>
      <c r="K1833" s="24"/>
      <c r="L1833" s="7" t="str">
        <f t="shared" si="86"/>
        <v/>
      </c>
    </row>
    <row r="1834" spans="1:12" x14ac:dyDescent="0.25">
      <c r="A1834" s="23"/>
      <c r="B1834" s="24"/>
      <c r="C1834" s="24"/>
      <c r="D1834" s="24"/>
      <c r="E1834" s="24"/>
      <c r="F1834" s="24"/>
      <c r="G1834" s="25"/>
      <c r="H1834" s="16" t="str">
        <f>IF(C1834="","",IFERROR(INDEX(Settings!$L$4:$L$56,MATCH(C1834,Settings!$K$4:$K$56,0)),"Unknown"))</f>
        <v/>
      </c>
      <c r="I1834" s="8" t="str">
        <f t="shared" si="84"/>
        <v/>
      </c>
      <c r="J1834" s="8" t="str">
        <f t="shared" si="85"/>
        <v/>
      </c>
      <c r="K1834" s="24"/>
      <c r="L1834" s="7" t="str">
        <f t="shared" si="86"/>
        <v/>
      </c>
    </row>
    <row r="1835" spans="1:12" x14ac:dyDescent="0.25">
      <c r="A1835" s="23"/>
      <c r="B1835" s="24"/>
      <c r="C1835" s="24"/>
      <c r="D1835" s="24"/>
      <c r="E1835" s="24"/>
      <c r="F1835" s="24"/>
      <c r="G1835" s="25"/>
      <c r="H1835" s="16" t="str">
        <f>IF(C1835="","",IFERROR(INDEX(Settings!$L$4:$L$56,MATCH(C1835,Settings!$K$4:$K$56,0)),"Unknown"))</f>
        <v/>
      </c>
      <c r="I1835" s="8" t="str">
        <f t="shared" si="84"/>
        <v/>
      </c>
      <c r="J1835" s="8" t="str">
        <f t="shared" si="85"/>
        <v/>
      </c>
      <c r="K1835" s="24"/>
      <c r="L1835" s="7" t="str">
        <f t="shared" si="86"/>
        <v/>
      </c>
    </row>
    <row r="1836" spans="1:12" x14ac:dyDescent="0.25">
      <c r="A1836" s="23"/>
      <c r="B1836" s="24"/>
      <c r="C1836" s="24"/>
      <c r="D1836" s="24"/>
      <c r="E1836" s="24"/>
      <c r="F1836" s="24"/>
      <c r="G1836" s="25"/>
      <c r="H1836" s="16" t="str">
        <f>IF(C1836="","",IFERROR(INDEX(Settings!$L$4:$L$56,MATCH(C1836,Settings!$K$4:$K$56,0)),"Unknown"))</f>
        <v/>
      </c>
      <c r="I1836" s="8" t="str">
        <f t="shared" si="84"/>
        <v/>
      </c>
      <c r="J1836" s="8" t="str">
        <f t="shared" si="85"/>
        <v/>
      </c>
      <c r="K1836" s="24"/>
      <c r="L1836" s="7" t="str">
        <f t="shared" si="86"/>
        <v/>
      </c>
    </row>
    <row r="1837" spans="1:12" x14ac:dyDescent="0.25">
      <c r="A1837" s="23"/>
      <c r="B1837" s="24"/>
      <c r="C1837" s="24"/>
      <c r="D1837" s="24"/>
      <c r="E1837" s="24"/>
      <c r="F1837" s="24"/>
      <c r="G1837" s="25"/>
      <c r="H1837" s="16" t="str">
        <f>IF(C1837="","",IFERROR(INDEX(Settings!$L$4:$L$56,MATCH(C1837,Settings!$K$4:$K$56,0)),"Unknown"))</f>
        <v/>
      </c>
      <c r="I1837" s="8" t="str">
        <f t="shared" si="84"/>
        <v/>
      </c>
      <c r="J1837" s="8" t="str">
        <f t="shared" si="85"/>
        <v/>
      </c>
      <c r="K1837" s="24"/>
      <c r="L1837" s="7" t="str">
        <f t="shared" si="86"/>
        <v/>
      </c>
    </row>
    <row r="1838" spans="1:12" x14ac:dyDescent="0.25">
      <c r="A1838" s="23"/>
      <c r="B1838" s="24"/>
      <c r="C1838" s="24"/>
      <c r="D1838" s="24"/>
      <c r="E1838" s="24"/>
      <c r="F1838" s="24"/>
      <c r="G1838" s="25"/>
      <c r="H1838" s="16" t="str">
        <f>IF(C1838="","",IFERROR(INDEX(Settings!$L$4:$L$56,MATCH(C1838,Settings!$K$4:$K$56,0)),"Unknown"))</f>
        <v/>
      </c>
      <c r="I1838" s="8" t="str">
        <f t="shared" si="84"/>
        <v/>
      </c>
      <c r="J1838" s="8" t="str">
        <f t="shared" si="85"/>
        <v/>
      </c>
      <c r="K1838" s="24"/>
      <c r="L1838" s="7" t="str">
        <f t="shared" si="86"/>
        <v/>
      </c>
    </row>
    <row r="1839" spans="1:12" x14ac:dyDescent="0.25">
      <c r="A1839" s="23"/>
      <c r="B1839" s="24"/>
      <c r="C1839" s="24"/>
      <c r="D1839" s="24"/>
      <c r="E1839" s="24"/>
      <c r="F1839" s="24"/>
      <c r="G1839" s="25"/>
      <c r="H1839" s="16" t="str">
        <f>IF(C1839="","",IFERROR(INDEX(Settings!$L$4:$L$56,MATCH(C1839,Settings!$K$4:$K$56,0)),"Unknown"))</f>
        <v/>
      </c>
      <c r="I1839" s="8" t="str">
        <f t="shared" si="84"/>
        <v/>
      </c>
      <c r="J1839" s="8" t="str">
        <f t="shared" si="85"/>
        <v/>
      </c>
      <c r="K1839" s="24"/>
      <c r="L1839" s="7" t="str">
        <f t="shared" si="86"/>
        <v/>
      </c>
    </row>
    <row r="1840" spans="1:12" x14ac:dyDescent="0.25">
      <c r="A1840" s="23"/>
      <c r="B1840" s="24"/>
      <c r="C1840" s="24"/>
      <c r="D1840" s="24"/>
      <c r="E1840" s="24"/>
      <c r="F1840" s="24"/>
      <c r="G1840" s="25"/>
      <c r="H1840" s="16" t="str">
        <f>IF(C1840="","",IFERROR(INDEX(Settings!$L$4:$L$56,MATCH(C1840,Settings!$K$4:$K$56,0)),"Unknown"))</f>
        <v/>
      </c>
      <c r="I1840" s="8" t="str">
        <f t="shared" si="84"/>
        <v/>
      </c>
      <c r="J1840" s="8" t="str">
        <f t="shared" si="85"/>
        <v/>
      </c>
      <c r="K1840" s="24"/>
      <c r="L1840" s="7" t="str">
        <f t="shared" si="86"/>
        <v/>
      </c>
    </row>
    <row r="1841" spans="1:12" x14ac:dyDescent="0.25">
      <c r="A1841" s="23"/>
      <c r="B1841" s="24"/>
      <c r="C1841" s="24"/>
      <c r="D1841" s="24"/>
      <c r="E1841" s="24"/>
      <c r="F1841" s="24"/>
      <c r="G1841" s="25"/>
      <c r="H1841" s="16" t="str">
        <f>IF(C1841="","",IFERROR(INDEX(Settings!$L$4:$L$56,MATCH(C1841,Settings!$K$4:$K$56,0)),"Unknown"))</f>
        <v/>
      </c>
      <c r="I1841" s="8" t="str">
        <f t="shared" si="84"/>
        <v/>
      </c>
      <c r="J1841" s="8" t="str">
        <f t="shared" si="85"/>
        <v/>
      </c>
      <c r="K1841" s="24"/>
      <c r="L1841" s="7" t="str">
        <f t="shared" si="86"/>
        <v/>
      </c>
    </row>
    <row r="1842" spans="1:12" x14ac:dyDescent="0.25">
      <c r="A1842" s="23"/>
      <c r="B1842" s="24"/>
      <c r="C1842" s="24"/>
      <c r="D1842" s="24"/>
      <c r="E1842" s="24"/>
      <c r="F1842" s="24"/>
      <c r="G1842" s="25"/>
      <c r="H1842" s="16" t="str">
        <f>IF(C1842="","",IFERROR(INDEX(Settings!$L$4:$L$56,MATCH(C1842,Settings!$K$4:$K$56,0)),"Unknown"))</f>
        <v/>
      </c>
      <c r="I1842" s="8" t="str">
        <f t="shared" si="84"/>
        <v/>
      </c>
      <c r="J1842" s="8" t="str">
        <f t="shared" si="85"/>
        <v/>
      </c>
      <c r="K1842" s="24"/>
      <c r="L1842" s="7" t="str">
        <f t="shared" si="86"/>
        <v/>
      </c>
    </row>
    <row r="1843" spans="1:12" x14ac:dyDescent="0.25">
      <c r="A1843" s="23"/>
      <c r="B1843" s="24"/>
      <c r="C1843" s="24"/>
      <c r="D1843" s="24"/>
      <c r="E1843" s="24"/>
      <c r="F1843" s="24"/>
      <c r="G1843" s="25"/>
      <c r="H1843" s="16" t="str">
        <f>IF(C1843="","",IFERROR(INDEX(Settings!$L$4:$L$56,MATCH(C1843,Settings!$K$4:$K$56,0)),"Unknown"))</f>
        <v/>
      </c>
      <c r="I1843" s="8" t="str">
        <f t="shared" si="84"/>
        <v/>
      </c>
      <c r="J1843" s="8" t="str">
        <f t="shared" si="85"/>
        <v/>
      </c>
      <c r="K1843" s="24"/>
      <c r="L1843" s="7" t="str">
        <f t="shared" si="86"/>
        <v/>
      </c>
    </row>
    <row r="1844" spans="1:12" x14ac:dyDescent="0.25">
      <c r="A1844" s="23"/>
      <c r="B1844" s="24"/>
      <c r="C1844" s="24"/>
      <c r="D1844" s="24"/>
      <c r="E1844" s="24"/>
      <c r="F1844" s="24"/>
      <c r="G1844" s="25"/>
      <c r="H1844" s="16" t="str">
        <f>IF(C1844="","",IFERROR(INDEX(Settings!$L$4:$L$56,MATCH(C1844,Settings!$K$4:$K$56,0)),"Unknown"))</f>
        <v/>
      </c>
      <c r="I1844" s="8" t="str">
        <f t="shared" si="84"/>
        <v/>
      </c>
      <c r="J1844" s="8" t="str">
        <f t="shared" si="85"/>
        <v/>
      </c>
      <c r="K1844" s="24"/>
      <c r="L1844" s="7" t="str">
        <f t="shared" si="86"/>
        <v/>
      </c>
    </row>
    <row r="1845" spans="1:12" x14ac:dyDescent="0.25">
      <c r="A1845" s="23"/>
      <c r="B1845" s="24"/>
      <c r="C1845" s="24"/>
      <c r="D1845" s="24"/>
      <c r="E1845" s="24"/>
      <c r="F1845" s="24"/>
      <c r="G1845" s="25"/>
      <c r="H1845" s="16" t="str">
        <f>IF(C1845="","",IFERROR(INDEX(Settings!$L$4:$L$56,MATCH(C1845,Settings!$K$4:$K$56,0)),"Unknown"))</f>
        <v/>
      </c>
      <c r="I1845" s="8" t="str">
        <f t="shared" si="84"/>
        <v/>
      </c>
      <c r="J1845" s="8" t="str">
        <f t="shared" si="85"/>
        <v/>
      </c>
      <c r="K1845" s="24"/>
      <c r="L1845" s="7" t="str">
        <f t="shared" si="86"/>
        <v/>
      </c>
    </row>
    <row r="1846" spans="1:12" x14ac:dyDescent="0.25">
      <c r="A1846" s="23"/>
      <c r="B1846" s="24"/>
      <c r="C1846" s="24"/>
      <c r="D1846" s="24"/>
      <c r="E1846" s="24"/>
      <c r="F1846" s="24"/>
      <c r="G1846" s="25"/>
      <c r="H1846" s="16" t="str">
        <f>IF(C1846="","",IFERROR(INDEX(Settings!$L$4:$L$56,MATCH(C1846,Settings!$K$4:$K$56,0)),"Unknown"))</f>
        <v/>
      </c>
      <c r="I1846" s="8" t="str">
        <f t="shared" si="84"/>
        <v/>
      </c>
      <c r="J1846" s="8" t="str">
        <f t="shared" si="85"/>
        <v/>
      </c>
      <c r="K1846" s="24"/>
      <c r="L1846" s="7" t="str">
        <f t="shared" si="86"/>
        <v/>
      </c>
    </row>
    <row r="1847" spans="1:12" x14ac:dyDescent="0.25">
      <c r="A1847" s="23"/>
      <c r="B1847" s="24"/>
      <c r="C1847" s="24"/>
      <c r="D1847" s="24"/>
      <c r="E1847" s="24"/>
      <c r="F1847" s="24"/>
      <c r="G1847" s="25"/>
      <c r="H1847" s="16" t="str">
        <f>IF(C1847="","",IFERROR(INDEX(Settings!$L$4:$L$56,MATCH(C1847,Settings!$K$4:$K$56,0)),"Unknown"))</f>
        <v/>
      </c>
      <c r="I1847" s="8" t="str">
        <f t="shared" si="84"/>
        <v/>
      </c>
      <c r="J1847" s="8" t="str">
        <f t="shared" si="85"/>
        <v/>
      </c>
      <c r="K1847" s="24"/>
      <c r="L1847" s="7" t="str">
        <f t="shared" si="86"/>
        <v/>
      </c>
    </row>
    <row r="1848" spans="1:12" x14ac:dyDescent="0.25">
      <c r="A1848" s="23"/>
      <c r="B1848" s="24"/>
      <c r="C1848" s="24"/>
      <c r="D1848" s="24"/>
      <c r="E1848" s="24"/>
      <c r="F1848" s="24"/>
      <c r="G1848" s="25"/>
      <c r="H1848" s="16" t="str">
        <f>IF(C1848="","",IFERROR(INDEX(Settings!$L$4:$L$56,MATCH(C1848,Settings!$K$4:$K$56,0)),"Unknown"))</f>
        <v/>
      </c>
      <c r="I1848" s="8" t="str">
        <f t="shared" si="84"/>
        <v/>
      </c>
      <c r="J1848" s="8" t="str">
        <f t="shared" si="85"/>
        <v/>
      </c>
      <c r="K1848" s="24"/>
      <c r="L1848" s="7" t="str">
        <f t="shared" si="86"/>
        <v/>
      </c>
    </row>
    <row r="1849" spans="1:12" x14ac:dyDescent="0.25">
      <c r="A1849" s="23"/>
      <c r="B1849" s="24"/>
      <c r="C1849" s="24"/>
      <c r="D1849" s="24"/>
      <c r="E1849" s="24"/>
      <c r="F1849" s="24"/>
      <c r="G1849" s="25"/>
      <c r="H1849" s="16" t="str">
        <f>IF(C1849="","",IFERROR(INDEX(Settings!$L$4:$L$56,MATCH(C1849,Settings!$K$4:$K$56,0)),"Unknown"))</f>
        <v/>
      </c>
      <c r="I1849" s="8" t="str">
        <f t="shared" si="84"/>
        <v/>
      </c>
      <c r="J1849" s="8" t="str">
        <f t="shared" si="85"/>
        <v/>
      </c>
      <c r="K1849" s="24"/>
      <c r="L1849" s="7" t="str">
        <f t="shared" si="86"/>
        <v/>
      </c>
    </row>
    <row r="1850" spans="1:12" x14ac:dyDescent="0.25">
      <c r="A1850" s="23"/>
      <c r="B1850" s="24"/>
      <c r="C1850" s="24"/>
      <c r="D1850" s="24"/>
      <c r="E1850" s="24"/>
      <c r="F1850" s="24"/>
      <c r="G1850" s="25"/>
      <c r="H1850" s="16" t="str">
        <f>IF(C1850="","",IFERROR(INDEX(Settings!$L$4:$L$56,MATCH(C1850,Settings!$K$4:$K$56,0)),"Unknown"))</f>
        <v/>
      </c>
      <c r="I1850" s="8" t="str">
        <f t="shared" si="84"/>
        <v/>
      </c>
      <c r="J1850" s="8" t="str">
        <f t="shared" si="85"/>
        <v/>
      </c>
      <c r="K1850" s="24"/>
      <c r="L1850" s="7" t="str">
        <f t="shared" si="86"/>
        <v/>
      </c>
    </row>
    <row r="1851" spans="1:12" x14ac:dyDescent="0.25">
      <c r="A1851" s="23"/>
      <c r="B1851" s="24"/>
      <c r="C1851" s="24"/>
      <c r="D1851" s="24"/>
      <c r="E1851" s="24"/>
      <c r="F1851" s="24"/>
      <c r="G1851" s="25"/>
      <c r="H1851" s="16" t="str">
        <f>IF(C1851="","",IFERROR(INDEX(Settings!$L$4:$L$56,MATCH(C1851,Settings!$K$4:$K$56,0)),"Unknown"))</f>
        <v/>
      </c>
      <c r="I1851" s="8" t="str">
        <f t="shared" si="84"/>
        <v/>
      </c>
      <c r="J1851" s="8" t="str">
        <f t="shared" si="85"/>
        <v/>
      </c>
      <c r="K1851" s="24"/>
      <c r="L1851" s="7" t="str">
        <f t="shared" si="86"/>
        <v/>
      </c>
    </row>
    <row r="1852" spans="1:12" x14ac:dyDescent="0.25">
      <c r="A1852" s="23"/>
      <c r="B1852" s="24"/>
      <c r="C1852" s="24"/>
      <c r="D1852" s="24"/>
      <c r="E1852" s="24"/>
      <c r="F1852" s="24"/>
      <c r="G1852" s="25"/>
      <c r="H1852" s="16" t="str">
        <f>IF(C1852="","",IFERROR(INDEX(Settings!$L$4:$L$56,MATCH(C1852,Settings!$K$4:$K$56,0)),"Unknown"))</f>
        <v/>
      </c>
      <c r="I1852" s="8" t="str">
        <f t="shared" si="84"/>
        <v/>
      </c>
      <c r="J1852" s="8" t="str">
        <f t="shared" si="85"/>
        <v/>
      </c>
      <c r="K1852" s="24"/>
      <c r="L1852" s="7" t="str">
        <f t="shared" si="86"/>
        <v/>
      </c>
    </row>
    <row r="1853" spans="1:12" x14ac:dyDescent="0.25">
      <c r="A1853" s="23"/>
      <c r="B1853" s="24"/>
      <c r="C1853" s="24"/>
      <c r="D1853" s="24"/>
      <c r="E1853" s="24"/>
      <c r="F1853" s="24"/>
      <c r="G1853" s="25"/>
      <c r="H1853" s="16" t="str">
        <f>IF(C1853="","",IFERROR(INDEX(Settings!$L$4:$L$56,MATCH(C1853,Settings!$K$4:$K$56,0)),"Unknown"))</f>
        <v/>
      </c>
      <c r="I1853" s="8" t="str">
        <f t="shared" si="84"/>
        <v/>
      </c>
      <c r="J1853" s="8" t="str">
        <f t="shared" si="85"/>
        <v/>
      </c>
      <c r="K1853" s="24"/>
      <c r="L1853" s="7" t="str">
        <f t="shared" si="86"/>
        <v/>
      </c>
    </row>
    <row r="1854" spans="1:12" x14ac:dyDescent="0.25">
      <c r="A1854" s="23"/>
      <c r="B1854" s="24"/>
      <c r="C1854" s="24"/>
      <c r="D1854" s="24"/>
      <c r="E1854" s="24"/>
      <c r="F1854" s="24"/>
      <c r="G1854" s="25"/>
      <c r="H1854" s="16" t="str">
        <f>IF(C1854="","",IFERROR(INDEX(Settings!$L$4:$L$56,MATCH(C1854,Settings!$K$4:$K$56,0)),"Unknown"))</f>
        <v/>
      </c>
      <c r="I1854" s="8" t="str">
        <f t="shared" si="84"/>
        <v/>
      </c>
      <c r="J1854" s="8" t="str">
        <f t="shared" si="85"/>
        <v/>
      </c>
      <c r="K1854" s="24"/>
      <c r="L1854" s="7" t="str">
        <f t="shared" si="86"/>
        <v/>
      </c>
    </row>
    <row r="1855" spans="1:12" x14ac:dyDescent="0.25">
      <c r="A1855" s="23"/>
      <c r="B1855" s="24"/>
      <c r="C1855" s="24"/>
      <c r="D1855" s="24"/>
      <c r="E1855" s="24"/>
      <c r="F1855" s="24"/>
      <c r="G1855" s="25"/>
      <c r="H1855" s="16" t="str">
        <f>IF(C1855="","",IFERROR(INDEX(Settings!$L$4:$L$56,MATCH(C1855,Settings!$K$4:$K$56,0)),"Unknown"))</f>
        <v/>
      </c>
      <c r="I1855" s="8" t="str">
        <f t="shared" si="84"/>
        <v/>
      </c>
      <c r="J1855" s="8" t="str">
        <f t="shared" si="85"/>
        <v/>
      </c>
      <c r="K1855" s="24"/>
      <c r="L1855" s="7" t="str">
        <f t="shared" si="86"/>
        <v/>
      </c>
    </row>
    <row r="1856" spans="1:12" x14ac:dyDescent="0.25">
      <c r="A1856" s="23"/>
      <c r="B1856" s="24"/>
      <c r="C1856" s="24"/>
      <c r="D1856" s="24"/>
      <c r="E1856" s="24"/>
      <c r="F1856" s="24"/>
      <c r="G1856" s="25"/>
      <c r="H1856" s="16" t="str">
        <f>IF(C1856="","",IFERROR(INDEX(Settings!$L$4:$L$56,MATCH(C1856,Settings!$K$4:$K$56,0)),"Unknown"))</f>
        <v/>
      </c>
      <c r="I1856" s="8" t="str">
        <f t="shared" si="84"/>
        <v/>
      </c>
      <c r="J1856" s="8" t="str">
        <f t="shared" si="85"/>
        <v/>
      </c>
      <c r="K1856" s="24"/>
      <c r="L1856" s="7" t="str">
        <f t="shared" si="86"/>
        <v/>
      </c>
    </row>
    <row r="1857" spans="1:12" x14ac:dyDescent="0.25">
      <c r="A1857" s="23"/>
      <c r="B1857" s="24"/>
      <c r="C1857" s="24"/>
      <c r="D1857" s="24"/>
      <c r="E1857" s="24"/>
      <c r="F1857" s="24"/>
      <c r="G1857" s="25"/>
      <c r="H1857" s="16" t="str">
        <f>IF(C1857="","",IFERROR(INDEX(Settings!$L$4:$L$56,MATCH(C1857,Settings!$K$4:$K$56,0)),"Unknown"))</f>
        <v/>
      </c>
      <c r="I1857" s="8" t="str">
        <f t="shared" si="84"/>
        <v/>
      </c>
      <c r="J1857" s="8" t="str">
        <f t="shared" si="85"/>
        <v/>
      </c>
      <c r="K1857" s="24"/>
      <c r="L1857" s="7" t="str">
        <f t="shared" si="86"/>
        <v/>
      </c>
    </row>
    <row r="1858" spans="1:12" x14ac:dyDescent="0.25">
      <c r="A1858" s="23"/>
      <c r="B1858" s="24"/>
      <c r="C1858" s="24"/>
      <c r="D1858" s="24"/>
      <c r="E1858" s="24"/>
      <c r="F1858" s="24"/>
      <c r="G1858" s="25"/>
      <c r="H1858" s="16" t="str">
        <f>IF(C1858="","",IFERROR(INDEX(Settings!$L$4:$L$56,MATCH(C1858,Settings!$K$4:$K$56,0)),"Unknown"))</f>
        <v/>
      </c>
      <c r="I1858" s="8" t="str">
        <f t="shared" si="84"/>
        <v/>
      </c>
      <c r="J1858" s="8" t="str">
        <f t="shared" si="85"/>
        <v/>
      </c>
      <c r="K1858" s="24"/>
      <c r="L1858" s="7" t="str">
        <f t="shared" si="86"/>
        <v/>
      </c>
    </row>
    <row r="1859" spans="1:12" x14ac:dyDescent="0.25">
      <c r="A1859" s="23"/>
      <c r="B1859" s="24"/>
      <c r="C1859" s="24"/>
      <c r="D1859" s="24"/>
      <c r="E1859" s="24"/>
      <c r="F1859" s="24"/>
      <c r="G1859" s="25"/>
      <c r="H1859" s="16" t="str">
        <f>IF(C1859="","",IFERROR(INDEX(Settings!$L$4:$L$56,MATCH(C1859,Settings!$K$4:$K$56,0)),"Unknown"))</f>
        <v/>
      </c>
      <c r="I1859" s="8" t="str">
        <f t="shared" si="84"/>
        <v/>
      </c>
      <c r="J1859" s="8" t="str">
        <f t="shared" si="85"/>
        <v/>
      </c>
      <c r="K1859" s="24"/>
      <c r="L1859" s="7" t="str">
        <f t="shared" si="86"/>
        <v/>
      </c>
    </row>
    <row r="1860" spans="1:12" x14ac:dyDescent="0.25">
      <c r="A1860" s="23"/>
      <c r="B1860" s="24"/>
      <c r="C1860" s="24"/>
      <c r="D1860" s="24"/>
      <c r="E1860" s="24"/>
      <c r="F1860" s="24"/>
      <c r="G1860" s="25"/>
      <c r="H1860" s="16" t="str">
        <f>IF(C1860="","",IFERROR(INDEX(Settings!$L$4:$L$56,MATCH(C1860,Settings!$K$4:$K$56,0)),"Unknown"))</f>
        <v/>
      </c>
      <c r="I1860" s="8" t="str">
        <f t="shared" si="84"/>
        <v/>
      </c>
      <c r="J1860" s="8" t="str">
        <f t="shared" si="85"/>
        <v/>
      </c>
      <c r="K1860" s="24"/>
      <c r="L1860" s="7" t="str">
        <f t="shared" si="86"/>
        <v/>
      </c>
    </row>
    <row r="1861" spans="1:12" x14ac:dyDescent="0.25">
      <c r="A1861" s="23"/>
      <c r="B1861" s="24"/>
      <c r="C1861" s="24"/>
      <c r="D1861" s="24"/>
      <c r="E1861" s="24"/>
      <c r="F1861" s="24"/>
      <c r="G1861" s="25"/>
      <c r="H1861" s="16" t="str">
        <f>IF(C1861="","",IFERROR(INDEX(Settings!$L$4:$L$56,MATCH(C1861,Settings!$K$4:$K$56,0)),"Unknown"))</f>
        <v/>
      </c>
      <c r="I1861" s="8" t="str">
        <f t="shared" si="84"/>
        <v/>
      </c>
      <c r="J1861" s="8" t="str">
        <f t="shared" si="85"/>
        <v/>
      </c>
      <c r="K1861" s="24"/>
      <c r="L1861" s="7" t="str">
        <f t="shared" si="86"/>
        <v/>
      </c>
    </row>
    <row r="1862" spans="1:12" x14ac:dyDescent="0.25">
      <c r="A1862" s="23"/>
      <c r="B1862" s="24"/>
      <c r="C1862" s="24"/>
      <c r="D1862" s="24"/>
      <c r="E1862" s="24"/>
      <c r="F1862" s="24"/>
      <c r="G1862" s="25"/>
      <c r="H1862" s="16" t="str">
        <f>IF(C1862="","",IFERROR(INDEX(Settings!$L$4:$L$56,MATCH(C1862,Settings!$K$4:$K$56,0)),"Unknown"))</f>
        <v/>
      </c>
      <c r="I1862" s="8" t="str">
        <f t="shared" ref="I1862:I1925" si="87">IF(A1862="","",MONTH(A1862))</f>
        <v/>
      </c>
      <c r="J1862" s="8" t="str">
        <f t="shared" ref="J1862:J1925" si="88">IF(A1862="","",YEAR(A1862))</f>
        <v/>
      </c>
      <c r="K1862" s="24"/>
      <c r="L1862" s="7" t="str">
        <f t="shared" ref="L1862:L1925" si="89">IF(OR(B1862="",C1862=""),"",IF(AND(B1862="Income",H1862&lt;&gt;"Income"),"Category is not an Income category",IF(AND(B1862="Expense",H1862="Income"),"Category is an Income category","OK")))</f>
        <v/>
      </c>
    </row>
    <row r="1863" spans="1:12" x14ac:dyDescent="0.25">
      <c r="A1863" s="23"/>
      <c r="B1863" s="24"/>
      <c r="C1863" s="24"/>
      <c r="D1863" s="24"/>
      <c r="E1863" s="24"/>
      <c r="F1863" s="24"/>
      <c r="G1863" s="25"/>
      <c r="H1863" s="16" t="str">
        <f>IF(C1863="","",IFERROR(INDEX(Settings!$L$4:$L$56,MATCH(C1863,Settings!$K$4:$K$56,0)),"Unknown"))</f>
        <v/>
      </c>
      <c r="I1863" s="8" t="str">
        <f t="shared" si="87"/>
        <v/>
      </c>
      <c r="J1863" s="8" t="str">
        <f t="shared" si="88"/>
        <v/>
      </c>
      <c r="K1863" s="24"/>
      <c r="L1863" s="7" t="str">
        <f t="shared" si="89"/>
        <v/>
      </c>
    </row>
    <row r="1864" spans="1:12" x14ac:dyDescent="0.25">
      <c r="A1864" s="23"/>
      <c r="B1864" s="24"/>
      <c r="C1864" s="24"/>
      <c r="D1864" s="24"/>
      <c r="E1864" s="24"/>
      <c r="F1864" s="24"/>
      <c r="G1864" s="25"/>
      <c r="H1864" s="16" t="str">
        <f>IF(C1864="","",IFERROR(INDEX(Settings!$L$4:$L$56,MATCH(C1864,Settings!$K$4:$K$56,0)),"Unknown"))</f>
        <v/>
      </c>
      <c r="I1864" s="8" t="str">
        <f t="shared" si="87"/>
        <v/>
      </c>
      <c r="J1864" s="8" t="str">
        <f t="shared" si="88"/>
        <v/>
      </c>
      <c r="K1864" s="24"/>
      <c r="L1864" s="7" t="str">
        <f t="shared" si="89"/>
        <v/>
      </c>
    </row>
    <row r="1865" spans="1:12" x14ac:dyDescent="0.25">
      <c r="A1865" s="23"/>
      <c r="B1865" s="24"/>
      <c r="C1865" s="24"/>
      <c r="D1865" s="24"/>
      <c r="E1865" s="24"/>
      <c r="F1865" s="24"/>
      <c r="G1865" s="25"/>
      <c r="H1865" s="16" t="str">
        <f>IF(C1865="","",IFERROR(INDEX(Settings!$L$4:$L$56,MATCH(C1865,Settings!$K$4:$K$56,0)),"Unknown"))</f>
        <v/>
      </c>
      <c r="I1865" s="8" t="str">
        <f t="shared" si="87"/>
        <v/>
      </c>
      <c r="J1865" s="8" t="str">
        <f t="shared" si="88"/>
        <v/>
      </c>
      <c r="K1865" s="24"/>
      <c r="L1865" s="7" t="str">
        <f t="shared" si="89"/>
        <v/>
      </c>
    </row>
    <row r="1866" spans="1:12" x14ac:dyDescent="0.25">
      <c r="A1866" s="23"/>
      <c r="B1866" s="24"/>
      <c r="C1866" s="24"/>
      <c r="D1866" s="24"/>
      <c r="E1866" s="24"/>
      <c r="F1866" s="24"/>
      <c r="G1866" s="25"/>
      <c r="H1866" s="16" t="str">
        <f>IF(C1866="","",IFERROR(INDEX(Settings!$L$4:$L$56,MATCH(C1866,Settings!$K$4:$K$56,0)),"Unknown"))</f>
        <v/>
      </c>
      <c r="I1866" s="8" t="str">
        <f t="shared" si="87"/>
        <v/>
      </c>
      <c r="J1866" s="8" t="str">
        <f t="shared" si="88"/>
        <v/>
      </c>
      <c r="K1866" s="24"/>
      <c r="L1866" s="7" t="str">
        <f t="shared" si="89"/>
        <v/>
      </c>
    </row>
    <row r="1867" spans="1:12" x14ac:dyDescent="0.25">
      <c r="A1867" s="23"/>
      <c r="B1867" s="24"/>
      <c r="C1867" s="24"/>
      <c r="D1867" s="24"/>
      <c r="E1867" s="24"/>
      <c r="F1867" s="24"/>
      <c r="G1867" s="25"/>
      <c r="H1867" s="16" t="str">
        <f>IF(C1867="","",IFERROR(INDEX(Settings!$L$4:$L$56,MATCH(C1867,Settings!$K$4:$K$56,0)),"Unknown"))</f>
        <v/>
      </c>
      <c r="I1867" s="8" t="str">
        <f t="shared" si="87"/>
        <v/>
      </c>
      <c r="J1867" s="8" t="str">
        <f t="shared" si="88"/>
        <v/>
      </c>
      <c r="K1867" s="24"/>
      <c r="L1867" s="7" t="str">
        <f t="shared" si="89"/>
        <v/>
      </c>
    </row>
    <row r="1868" spans="1:12" x14ac:dyDescent="0.25">
      <c r="A1868" s="23"/>
      <c r="B1868" s="24"/>
      <c r="C1868" s="24"/>
      <c r="D1868" s="24"/>
      <c r="E1868" s="24"/>
      <c r="F1868" s="24"/>
      <c r="G1868" s="25"/>
      <c r="H1868" s="16" t="str">
        <f>IF(C1868="","",IFERROR(INDEX(Settings!$L$4:$L$56,MATCH(C1868,Settings!$K$4:$K$56,0)),"Unknown"))</f>
        <v/>
      </c>
      <c r="I1868" s="8" t="str">
        <f t="shared" si="87"/>
        <v/>
      </c>
      <c r="J1868" s="8" t="str">
        <f t="shared" si="88"/>
        <v/>
      </c>
      <c r="K1868" s="24"/>
      <c r="L1868" s="7" t="str">
        <f t="shared" si="89"/>
        <v/>
      </c>
    </row>
    <row r="1869" spans="1:12" x14ac:dyDescent="0.25">
      <c r="A1869" s="23"/>
      <c r="B1869" s="24"/>
      <c r="C1869" s="24"/>
      <c r="D1869" s="24"/>
      <c r="E1869" s="24"/>
      <c r="F1869" s="24"/>
      <c r="G1869" s="25"/>
      <c r="H1869" s="16" t="str">
        <f>IF(C1869="","",IFERROR(INDEX(Settings!$L$4:$L$56,MATCH(C1869,Settings!$K$4:$K$56,0)),"Unknown"))</f>
        <v/>
      </c>
      <c r="I1869" s="8" t="str">
        <f t="shared" si="87"/>
        <v/>
      </c>
      <c r="J1869" s="8" t="str">
        <f t="shared" si="88"/>
        <v/>
      </c>
      <c r="K1869" s="24"/>
      <c r="L1869" s="7" t="str">
        <f t="shared" si="89"/>
        <v/>
      </c>
    </row>
    <row r="1870" spans="1:12" x14ac:dyDescent="0.25">
      <c r="A1870" s="23"/>
      <c r="B1870" s="24"/>
      <c r="C1870" s="24"/>
      <c r="D1870" s="24"/>
      <c r="E1870" s="24"/>
      <c r="F1870" s="24"/>
      <c r="G1870" s="25"/>
      <c r="H1870" s="16" t="str">
        <f>IF(C1870="","",IFERROR(INDEX(Settings!$L$4:$L$56,MATCH(C1870,Settings!$K$4:$K$56,0)),"Unknown"))</f>
        <v/>
      </c>
      <c r="I1870" s="8" t="str">
        <f t="shared" si="87"/>
        <v/>
      </c>
      <c r="J1870" s="8" t="str">
        <f t="shared" si="88"/>
        <v/>
      </c>
      <c r="K1870" s="24"/>
      <c r="L1870" s="7" t="str">
        <f t="shared" si="89"/>
        <v/>
      </c>
    </row>
    <row r="1871" spans="1:12" x14ac:dyDescent="0.25">
      <c r="A1871" s="23"/>
      <c r="B1871" s="24"/>
      <c r="C1871" s="24"/>
      <c r="D1871" s="24"/>
      <c r="E1871" s="24"/>
      <c r="F1871" s="24"/>
      <c r="G1871" s="25"/>
      <c r="H1871" s="16" t="str">
        <f>IF(C1871="","",IFERROR(INDEX(Settings!$L$4:$L$56,MATCH(C1871,Settings!$K$4:$K$56,0)),"Unknown"))</f>
        <v/>
      </c>
      <c r="I1871" s="8" t="str">
        <f t="shared" si="87"/>
        <v/>
      </c>
      <c r="J1871" s="8" t="str">
        <f t="shared" si="88"/>
        <v/>
      </c>
      <c r="K1871" s="24"/>
      <c r="L1871" s="7" t="str">
        <f t="shared" si="89"/>
        <v/>
      </c>
    </row>
    <row r="1872" spans="1:12" x14ac:dyDescent="0.25">
      <c r="A1872" s="23"/>
      <c r="B1872" s="24"/>
      <c r="C1872" s="24"/>
      <c r="D1872" s="24"/>
      <c r="E1872" s="24"/>
      <c r="F1872" s="24"/>
      <c r="G1872" s="25"/>
      <c r="H1872" s="16" t="str">
        <f>IF(C1872="","",IFERROR(INDEX(Settings!$L$4:$L$56,MATCH(C1872,Settings!$K$4:$K$56,0)),"Unknown"))</f>
        <v/>
      </c>
      <c r="I1872" s="8" t="str">
        <f t="shared" si="87"/>
        <v/>
      </c>
      <c r="J1872" s="8" t="str">
        <f t="shared" si="88"/>
        <v/>
      </c>
      <c r="K1872" s="24"/>
      <c r="L1872" s="7" t="str">
        <f t="shared" si="89"/>
        <v/>
      </c>
    </row>
    <row r="1873" spans="1:12" x14ac:dyDescent="0.25">
      <c r="A1873" s="23"/>
      <c r="B1873" s="24"/>
      <c r="C1873" s="24"/>
      <c r="D1873" s="24"/>
      <c r="E1873" s="24"/>
      <c r="F1873" s="24"/>
      <c r="G1873" s="25"/>
      <c r="H1873" s="16" t="str">
        <f>IF(C1873="","",IFERROR(INDEX(Settings!$L$4:$L$56,MATCH(C1873,Settings!$K$4:$K$56,0)),"Unknown"))</f>
        <v/>
      </c>
      <c r="I1873" s="8" t="str">
        <f t="shared" si="87"/>
        <v/>
      </c>
      <c r="J1873" s="8" t="str">
        <f t="shared" si="88"/>
        <v/>
      </c>
      <c r="K1873" s="24"/>
      <c r="L1873" s="7" t="str">
        <f t="shared" si="89"/>
        <v/>
      </c>
    </row>
    <row r="1874" spans="1:12" x14ac:dyDescent="0.25">
      <c r="A1874" s="23"/>
      <c r="B1874" s="24"/>
      <c r="C1874" s="24"/>
      <c r="D1874" s="24"/>
      <c r="E1874" s="24"/>
      <c r="F1874" s="24"/>
      <c r="G1874" s="25"/>
      <c r="H1874" s="16" t="str">
        <f>IF(C1874="","",IFERROR(INDEX(Settings!$L$4:$L$56,MATCH(C1874,Settings!$K$4:$K$56,0)),"Unknown"))</f>
        <v/>
      </c>
      <c r="I1874" s="8" t="str">
        <f t="shared" si="87"/>
        <v/>
      </c>
      <c r="J1874" s="8" t="str">
        <f t="shared" si="88"/>
        <v/>
      </c>
      <c r="K1874" s="24"/>
      <c r="L1874" s="7" t="str">
        <f t="shared" si="89"/>
        <v/>
      </c>
    </row>
    <row r="1875" spans="1:12" x14ac:dyDescent="0.25">
      <c r="A1875" s="23"/>
      <c r="B1875" s="24"/>
      <c r="C1875" s="24"/>
      <c r="D1875" s="24"/>
      <c r="E1875" s="24"/>
      <c r="F1875" s="24"/>
      <c r="G1875" s="25"/>
      <c r="H1875" s="16" t="str">
        <f>IF(C1875="","",IFERROR(INDEX(Settings!$L$4:$L$56,MATCH(C1875,Settings!$K$4:$K$56,0)),"Unknown"))</f>
        <v/>
      </c>
      <c r="I1875" s="8" t="str">
        <f t="shared" si="87"/>
        <v/>
      </c>
      <c r="J1875" s="8" t="str">
        <f t="shared" si="88"/>
        <v/>
      </c>
      <c r="K1875" s="24"/>
      <c r="L1875" s="7" t="str">
        <f t="shared" si="89"/>
        <v/>
      </c>
    </row>
    <row r="1876" spans="1:12" x14ac:dyDescent="0.25">
      <c r="A1876" s="23"/>
      <c r="B1876" s="24"/>
      <c r="C1876" s="24"/>
      <c r="D1876" s="24"/>
      <c r="E1876" s="24"/>
      <c r="F1876" s="24"/>
      <c r="G1876" s="25"/>
      <c r="H1876" s="16" t="str">
        <f>IF(C1876="","",IFERROR(INDEX(Settings!$L$4:$L$56,MATCH(C1876,Settings!$K$4:$K$56,0)),"Unknown"))</f>
        <v/>
      </c>
      <c r="I1876" s="8" t="str">
        <f t="shared" si="87"/>
        <v/>
      </c>
      <c r="J1876" s="8" t="str">
        <f t="shared" si="88"/>
        <v/>
      </c>
      <c r="K1876" s="24"/>
      <c r="L1876" s="7" t="str">
        <f t="shared" si="89"/>
        <v/>
      </c>
    </row>
    <row r="1877" spans="1:12" x14ac:dyDescent="0.25">
      <c r="A1877" s="23"/>
      <c r="B1877" s="24"/>
      <c r="C1877" s="24"/>
      <c r="D1877" s="24"/>
      <c r="E1877" s="24"/>
      <c r="F1877" s="24"/>
      <c r="G1877" s="25"/>
      <c r="H1877" s="16" t="str">
        <f>IF(C1877="","",IFERROR(INDEX(Settings!$L$4:$L$56,MATCH(C1877,Settings!$K$4:$K$56,0)),"Unknown"))</f>
        <v/>
      </c>
      <c r="I1877" s="8" t="str">
        <f t="shared" si="87"/>
        <v/>
      </c>
      <c r="J1877" s="8" t="str">
        <f t="shared" si="88"/>
        <v/>
      </c>
      <c r="K1877" s="24"/>
      <c r="L1877" s="7" t="str">
        <f t="shared" si="89"/>
        <v/>
      </c>
    </row>
    <row r="1878" spans="1:12" x14ac:dyDescent="0.25">
      <c r="A1878" s="23"/>
      <c r="B1878" s="24"/>
      <c r="C1878" s="24"/>
      <c r="D1878" s="24"/>
      <c r="E1878" s="24"/>
      <c r="F1878" s="24"/>
      <c r="G1878" s="25"/>
      <c r="H1878" s="16" t="str">
        <f>IF(C1878="","",IFERROR(INDEX(Settings!$L$4:$L$56,MATCH(C1878,Settings!$K$4:$K$56,0)),"Unknown"))</f>
        <v/>
      </c>
      <c r="I1878" s="8" t="str">
        <f t="shared" si="87"/>
        <v/>
      </c>
      <c r="J1878" s="8" t="str">
        <f t="shared" si="88"/>
        <v/>
      </c>
      <c r="K1878" s="24"/>
      <c r="L1878" s="7" t="str">
        <f t="shared" si="89"/>
        <v/>
      </c>
    </row>
    <row r="1879" spans="1:12" x14ac:dyDescent="0.25">
      <c r="A1879" s="23"/>
      <c r="B1879" s="24"/>
      <c r="C1879" s="24"/>
      <c r="D1879" s="24"/>
      <c r="E1879" s="24"/>
      <c r="F1879" s="24"/>
      <c r="G1879" s="25"/>
      <c r="H1879" s="16" t="str">
        <f>IF(C1879="","",IFERROR(INDEX(Settings!$L$4:$L$56,MATCH(C1879,Settings!$K$4:$K$56,0)),"Unknown"))</f>
        <v/>
      </c>
      <c r="I1879" s="8" t="str">
        <f t="shared" si="87"/>
        <v/>
      </c>
      <c r="J1879" s="8" t="str">
        <f t="shared" si="88"/>
        <v/>
      </c>
      <c r="K1879" s="24"/>
      <c r="L1879" s="7" t="str">
        <f t="shared" si="89"/>
        <v/>
      </c>
    </row>
    <row r="1880" spans="1:12" x14ac:dyDescent="0.25">
      <c r="A1880" s="23"/>
      <c r="B1880" s="24"/>
      <c r="C1880" s="24"/>
      <c r="D1880" s="24"/>
      <c r="E1880" s="24"/>
      <c r="F1880" s="24"/>
      <c r="G1880" s="25"/>
      <c r="H1880" s="16" t="str">
        <f>IF(C1880="","",IFERROR(INDEX(Settings!$L$4:$L$56,MATCH(C1880,Settings!$K$4:$K$56,0)),"Unknown"))</f>
        <v/>
      </c>
      <c r="I1880" s="8" t="str">
        <f t="shared" si="87"/>
        <v/>
      </c>
      <c r="J1880" s="8" t="str">
        <f t="shared" si="88"/>
        <v/>
      </c>
      <c r="K1880" s="24"/>
      <c r="L1880" s="7" t="str">
        <f t="shared" si="89"/>
        <v/>
      </c>
    </row>
    <row r="1881" spans="1:12" x14ac:dyDescent="0.25">
      <c r="A1881" s="23"/>
      <c r="B1881" s="24"/>
      <c r="C1881" s="24"/>
      <c r="D1881" s="24"/>
      <c r="E1881" s="24"/>
      <c r="F1881" s="24"/>
      <c r="G1881" s="25"/>
      <c r="H1881" s="16" t="str">
        <f>IF(C1881="","",IFERROR(INDEX(Settings!$L$4:$L$56,MATCH(C1881,Settings!$K$4:$K$56,0)),"Unknown"))</f>
        <v/>
      </c>
      <c r="I1881" s="8" t="str">
        <f t="shared" si="87"/>
        <v/>
      </c>
      <c r="J1881" s="8" t="str">
        <f t="shared" si="88"/>
        <v/>
      </c>
      <c r="K1881" s="24"/>
      <c r="L1881" s="7" t="str">
        <f t="shared" si="89"/>
        <v/>
      </c>
    </row>
    <row r="1882" spans="1:12" x14ac:dyDescent="0.25">
      <c r="A1882" s="23"/>
      <c r="B1882" s="24"/>
      <c r="C1882" s="24"/>
      <c r="D1882" s="24"/>
      <c r="E1882" s="24"/>
      <c r="F1882" s="24"/>
      <c r="G1882" s="25"/>
      <c r="H1882" s="16" t="str">
        <f>IF(C1882="","",IFERROR(INDEX(Settings!$L$4:$L$56,MATCH(C1882,Settings!$K$4:$K$56,0)),"Unknown"))</f>
        <v/>
      </c>
      <c r="I1882" s="8" t="str">
        <f t="shared" si="87"/>
        <v/>
      </c>
      <c r="J1882" s="8" t="str">
        <f t="shared" si="88"/>
        <v/>
      </c>
      <c r="K1882" s="24"/>
      <c r="L1882" s="7" t="str">
        <f t="shared" si="89"/>
        <v/>
      </c>
    </row>
    <row r="1883" spans="1:12" x14ac:dyDescent="0.25">
      <c r="A1883" s="23"/>
      <c r="B1883" s="24"/>
      <c r="C1883" s="24"/>
      <c r="D1883" s="24"/>
      <c r="E1883" s="24"/>
      <c r="F1883" s="24"/>
      <c r="G1883" s="25"/>
      <c r="H1883" s="16" t="str">
        <f>IF(C1883="","",IFERROR(INDEX(Settings!$L$4:$L$56,MATCH(C1883,Settings!$K$4:$K$56,0)),"Unknown"))</f>
        <v/>
      </c>
      <c r="I1883" s="8" t="str">
        <f t="shared" si="87"/>
        <v/>
      </c>
      <c r="J1883" s="8" t="str">
        <f t="shared" si="88"/>
        <v/>
      </c>
      <c r="K1883" s="24"/>
      <c r="L1883" s="7" t="str">
        <f t="shared" si="89"/>
        <v/>
      </c>
    </row>
    <row r="1884" spans="1:12" x14ac:dyDescent="0.25">
      <c r="A1884" s="23"/>
      <c r="B1884" s="24"/>
      <c r="C1884" s="24"/>
      <c r="D1884" s="24"/>
      <c r="E1884" s="24"/>
      <c r="F1884" s="24"/>
      <c r="G1884" s="25"/>
      <c r="H1884" s="16" t="str">
        <f>IF(C1884="","",IFERROR(INDEX(Settings!$L$4:$L$56,MATCH(C1884,Settings!$K$4:$K$56,0)),"Unknown"))</f>
        <v/>
      </c>
      <c r="I1884" s="8" t="str">
        <f t="shared" si="87"/>
        <v/>
      </c>
      <c r="J1884" s="8" t="str">
        <f t="shared" si="88"/>
        <v/>
      </c>
      <c r="K1884" s="24"/>
      <c r="L1884" s="7" t="str">
        <f t="shared" si="89"/>
        <v/>
      </c>
    </row>
    <row r="1885" spans="1:12" x14ac:dyDescent="0.25">
      <c r="A1885" s="23"/>
      <c r="B1885" s="24"/>
      <c r="C1885" s="24"/>
      <c r="D1885" s="24"/>
      <c r="E1885" s="24"/>
      <c r="F1885" s="24"/>
      <c r="G1885" s="25"/>
      <c r="H1885" s="16" t="str">
        <f>IF(C1885="","",IFERROR(INDEX(Settings!$L$4:$L$56,MATCH(C1885,Settings!$K$4:$K$56,0)),"Unknown"))</f>
        <v/>
      </c>
      <c r="I1885" s="8" t="str">
        <f t="shared" si="87"/>
        <v/>
      </c>
      <c r="J1885" s="8" t="str">
        <f t="shared" si="88"/>
        <v/>
      </c>
      <c r="K1885" s="24"/>
      <c r="L1885" s="7" t="str">
        <f t="shared" si="89"/>
        <v/>
      </c>
    </row>
    <row r="1886" spans="1:12" x14ac:dyDescent="0.25">
      <c r="A1886" s="23"/>
      <c r="B1886" s="24"/>
      <c r="C1886" s="24"/>
      <c r="D1886" s="24"/>
      <c r="E1886" s="24"/>
      <c r="F1886" s="24"/>
      <c r="G1886" s="25"/>
      <c r="H1886" s="16" t="str">
        <f>IF(C1886="","",IFERROR(INDEX(Settings!$L$4:$L$56,MATCH(C1886,Settings!$K$4:$K$56,0)),"Unknown"))</f>
        <v/>
      </c>
      <c r="I1886" s="8" t="str">
        <f t="shared" si="87"/>
        <v/>
      </c>
      <c r="J1886" s="8" t="str">
        <f t="shared" si="88"/>
        <v/>
      </c>
      <c r="K1886" s="24"/>
      <c r="L1886" s="7" t="str">
        <f t="shared" si="89"/>
        <v/>
      </c>
    </row>
    <row r="1887" spans="1:12" x14ac:dyDescent="0.25">
      <c r="A1887" s="23"/>
      <c r="B1887" s="24"/>
      <c r="C1887" s="24"/>
      <c r="D1887" s="24"/>
      <c r="E1887" s="24"/>
      <c r="F1887" s="24"/>
      <c r="G1887" s="25"/>
      <c r="H1887" s="16" t="str">
        <f>IF(C1887="","",IFERROR(INDEX(Settings!$L$4:$L$56,MATCH(C1887,Settings!$K$4:$K$56,0)),"Unknown"))</f>
        <v/>
      </c>
      <c r="I1887" s="8" t="str">
        <f t="shared" si="87"/>
        <v/>
      </c>
      <c r="J1887" s="8" t="str">
        <f t="shared" si="88"/>
        <v/>
      </c>
      <c r="K1887" s="24"/>
      <c r="L1887" s="7" t="str">
        <f t="shared" si="89"/>
        <v/>
      </c>
    </row>
    <row r="1888" spans="1:12" x14ac:dyDescent="0.25">
      <c r="A1888" s="23"/>
      <c r="B1888" s="24"/>
      <c r="C1888" s="24"/>
      <c r="D1888" s="24"/>
      <c r="E1888" s="24"/>
      <c r="F1888" s="24"/>
      <c r="G1888" s="25"/>
      <c r="H1888" s="16" t="str">
        <f>IF(C1888="","",IFERROR(INDEX(Settings!$L$4:$L$56,MATCH(C1888,Settings!$K$4:$K$56,0)),"Unknown"))</f>
        <v/>
      </c>
      <c r="I1888" s="8" t="str">
        <f t="shared" si="87"/>
        <v/>
      </c>
      <c r="J1888" s="8" t="str">
        <f t="shared" si="88"/>
        <v/>
      </c>
      <c r="K1888" s="24"/>
      <c r="L1888" s="7" t="str">
        <f t="shared" si="89"/>
        <v/>
      </c>
    </row>
    <row r="1889" spans="1:12" x14ac:dyDescent="0.25">
      <c r="A1889" s="23"/>
      <c r="B1889" s="24"/>
      <c r="C1889" s="24"/>
      <c r="D1889" s="24"/>
      <c r="E1889" s="24"/>
      <c r="F1889" s="24"/>
      <c r="G1889" s="25"/>
      <c r="H1889" s="16" t="str">
        <f>IF(C1889="","",IFERROR(INDEX(Settings!$L$4:$L$56,MATCH(C1889,Settings!$K$4:$K$56,0)),"Unknown"))</f>
        <v/>
      </c>
      <c r="I1889" s="8" t="str">
        <f t="shared" si="87"/>
        <v/>
      </c>
      <c r="J1889" s="8" t="str">
        <f t="shared" si="88"/>
        <v/>
      </c>
      <c r="K1889" s="24"/>
      <c r="L1889" s="7" t="str">
        <f t="shared" si="89"/>
        <v/>
      </c>
    </row>
    <row r="1890" spans="1:12" x14ac:dyDescent="0.25">
      <c r="A1890" s="23"/>
      <c r="B1890" s="24"/>
      <c r="C1890" s="24"/>
      <c r="D1890" s="24"/>
      <c r="E1890" s="24"/>
      <c r="F1890" s="24"/>
      <c r="G1890" s="25"/>
      <c r="H1890" s="16" t="str">
        <f>IF(C1890="","",IFERROR(INDEX(Settings!$L$4:$L$56,MATCH(C1890,Settings!$K$4:$K$56,0)),"Unknown"))</f>
        <v/>
      </c>
      <c r="I1890" s="8" t="str">
        <f t="shared" si="87"/>
        <v/>
      </c>
      <c r="J1890" s="8" t="str">
        <f t="shared" si="88"/>
        <v/>
      </c>
      <c r="K1890" s="24"/>
      <c r="L1890" s="7" t="str">
        <f t="shared" si="89"/>
        <v/>
      </c>
    </row>
    <row r="1891" spans="1:12" x14ac:dyDescent="0.25">
      <c r="A1891" s="23"/>
      <c r="B1891" s="24"/>
      <c r="C1891" s="24"/>
      <c r="D1891" s="24"/>
      <c r="E1891" s="24"/>
      <c r="F1891" s="24"/>
      <c r="G1891" s="25"/>
      <c r="H1891" s="16" t="str">
        <f>IF(C1891="","",IFERROR(INDEX(Settings!$L$4:$L$56,MATCH(C1891,Settings!$K$4:$K$56,0)),"Unknown"))</f>
        <v/>
      </c>
      <c r="I1891" s="8" t="str">
        <f t="shared" si="87"/>
        <v/>
      </c>
      <c r="J1891" s="8" t="str">
        <f t="shared" si="88"/>
        <v/>
      </c>
      <c r="K1891" s="24"/>
      <c r="L1891" s="7" t="str">
        <f t="shared" si="89"/>
        <v/>
      </c>
    </row>
    <row r="1892" spans="1:12" x14ac:dyDescent="0.25">
      <c r="A1892" s="23"/>
      <c r="B1892" s="24"/>
      <c r="C1892" s="24"/>
      <c r="D1892" s="24"/>
      <c r="E1892" s="24"/>
      <c r="F1892" s="24"/>
      <c r="G1892" s="25"/>
      <c r="H1892" s="16" t="str">
        <f>IF(C1892="","",IFERROR(INDEX(Settings!$L$4:$L$56,MATCH(C1892,Settings!$K$4:$K$56,0)),"Unknown"))</f>
        <v/>
      </c>
      <c r="I1892" s="8" t="str">
        <f t="shared" si="87"/>
        <v/>
      </c>
      <c r="J1892" s="8" t="str">
        <f t="shared" si="88"/>
        <v/>
      </c>
      <c r="K1892" s="24"/>
      <c r="L1892" s="7" t="str">
        <f t="shared" si="89"/>
        <v/>
      </c>
    </row>
    <row r="1893" spans="1:12" x14ac:dyDescent="0.25">
      <c r="A1893" s="23"/>
      <c r="B1893" s="24"/>
      <c r="C1893" s="24"/>
      <c r="D1893" s="24"/>
      <c r="E1893" s="24"/>
      <c r="F1893" s="24"/>
      <c r="G1893" s="25"/>
      <c r="H1893" s="16" t="str">
        <f>IF(C1893="","",IFERROR(INDEX(Settings!$L$4:$L$56,MATCH(C1893,Settings!$K$4:$K$56,0)),"Unknown"))</f>
        <v/>
      </c>
      <c r="I1893" s="8" t="str">
        <f t="shared" si="87"/>
        <v/>
      </c>
      <c r="J1893" s="8" t="str">
        <f t="shared" si="88"/>
        <v/>
      </c>
      <c r="K1893" s="24"/>
      <c r="L1893" s="7" t="str">
        <f t="shared" si="89"/>
        <v/>
      </c>
    </row>
    <row r="1894" spans="1:12" x14ac:dyDescent="0.25">
      <c r="A1894" s="23"/>
      <c r="B1894" s="24"/>
      <c r="C1894" s="24"/>
      <c r="D1894" s="24"/>
      <c r="E1894" s="24"/>
      <c r="F1894" s="24"/>
      <c r="G1894" s="25"/>
      <c r="H1894" s="16" t="str">
        <f>IF(C1894="","",IFERROR(INDEX(Settings!$L$4:$L$56,MATCH(C1894,Settings!$K$4:$K$56,0)),"Unknown"))</f>
        <v/>
      </c>
      <c r="I1894" s="8" t="str">
        <f t="shared" si="87"/>
        <v/>
      </c>
      <c r="J1894" s="8" t="str">
        <f t="shared" si="88"/>
        <v/>
      </c>
      <c r="K1894" s="24"/>
      <c r="L1894" s="7" t="str">
        <f t="shared" si="89"/>
        <v/>
      </c>
    </row>
    <row r="1895" spans="1:12" x14ac:dyDescent="0.25">
      <c r="A1895" s="23"/>
      <c r="B1895" s="24"/>
      <c r="C1895" s="24"/>
      <c r="D1895" s="24"/>
      <c r="E1895" s="24"/>
      <c r="F1895" s="24"/>
      <c r="G1895" s="25"/>
      <c r="H1895" s="16" t="str">
        <f>IF(C1895="","",IFERROR(INDEX(Settings!$L$4:$L$56,MATCH(C1895,Settings!$K$4:$K$56,0)),"Unknown"))</f>
        <v/>
      </c>
      <c r="I1895" s="8" t="str">
        <f t="shared" si="87"/>
        <v/>
      </c>
      <c r="J1895" s="8" t="str">
        <f t="shared" si="88"/>
        <v/>
      </c>
      <c r="K1895" s="24"/>
      <c r="L1895" s="7" t="str">
        <f t="shared" si="89"/>
        <v/>
      </c>
    </row>
    <row r="1896" spans="1:12" x14ac:dyDescent="0.25">
      <c r="A1896" s="23"/>
      <c r="B1896" s="24"/>
      <c r="C1896" s="24"/>
      <c r="D1896" s="24"/>
      <c r="E1896" s="24"/>
      <c r="F1896" s="24"/>
      <c r="G1896" s="25"/>
      <c r="H1896" s="16" t="str">
        <f>IF(C1896="","",IFERROR(INDEX(Settings!$L$4:$L$56,MATCH(C1896,Settings!$K$4:$K$56,0)),"Unknown"))</f>
        <v/>
      </c>
      <c r="I1896" s="8" t="str">
        <f t="shared" si="87"/>
        <v/>
      </c>
      <c r="J1896" s="8" t="str">
        <f t="shared" si="88"/>
        <v/>
      </c>
      <c r="K1896" s="24"/>
      <c r="L1896" s="7" t="str">
        <f t="shared" si="89"/>
        <v/>
      </c>
    </row>
    <row r="1897" spans="1:12" x14ac:dyDescent="0.25">
      <c r="A1897" s="23"/>
      <c r="B1897" s="24"/>
      <c r="C1897" s="24"/>
      <c r="D1897" s="24"/>
      <c r="E1897" s="24"/>
      <c r="F1897" s="24"/>
      <c r="G1897" s="25"/>
      <c r="H1897" s="16" t="str">
        <f>IF(C1897="","",IFERROR(INDEX(Settings!$L$4:$L$56,MATCH(C1897,Settings!$K$4:$K$56,0)),"Unknown"))</f>
        <v/>
      </c>
      <c r="I1897" s="8" t="str">
        <f t="shared" si="87"/>
        <v/>
      </c>
      <c r="J1897" s="8" t="str">
        <f t="shared" si="88"/>
        <v/>
      </c>
      <c r="K1897" s="24"/>
      <c r="L1897" s="7" t="str">
        <f t="shared" si="89"/>
        <v/>
      </c>
    </row>
    <row r="1898" spans="1:12" x14ac:dyDescent="0.25">
      <c r="A1898" s="23"/>
      <c r="B1898" s="24"/>
      <c r="C1898" s="24"/>
      <c r="D1898" s="24"/>
      <c r="E1898" s="24"/>
      <c r="F1898" s="24"/>
      <c r="G1898" s="25"/>
      <c r="H1898" s="16" t="str">
        <f>IF(C1898="","",IFERROR(INDEX(Settings!$L$4:$L$56,MATCH(C1898,Settings!$K$4:$K$56,0)),"Unknown"))</f>
        <v/>
      </c>
      <c r="I1898" s="8" t="str">
        <f t="shared" si="87"/>
        <v/>
      </c>
      <c r="J1898" s="8" t="str">
        <f t="shared" si="88"/>
        <v/>
      </c>
      <c r="K1898" s="24"/>
      <c r="L1898" s="7" t="str">
        <f t="shared" si="89"/>
        <v/>
      </c>
    </row>
    <row r="1899" spans="1:12" x14ac:dyDescent="0.25">
      <c r="A1899" s="23"/>
      <c r="B1899" s="24"/>
      <c r="C1899" s="24"/>
      <c r="D1899" s="24"/>
      <c r="E1899" s="24"/>
      <c r="F1899" s="24"/>
      <c r="G1899" s="25"/>
      <c r="H1899" s="16" t="str">
        <f>IF(C1899="","",IFERROR(INDEX(Settings!$L$4:$L$56,MATCH(C1899,Settings!$K$4:$K$56,0)),"Unknown"))</f>
        <v/>
      </c>
      <c r="I1899" s="8" t="str">
        <f t="shared" si="87"/>
        <v/>
      </c>
      <c r="J1899" s="8" t="str">
        <f t="shared" si="88"/>
        <v/>
      </c>
      <c r="K1899" s="24"/>
      <c r="L1899" s="7" t="str">
        <f t="shared" si="89"/>
        <v/>
      </c>
    </row>
    <row r="1900" spans="1:12" x14ac:dyDescent="0.25">
      <c r="A1900" s="23"/>
      <c r="B1900" s="24"/>
      <c r="C1900" s="24"/>
      <c r="D1900" s="24"/>
      <c r="E1900" s="24"/>
      <c r="F1900" s="24"/>
      <c r="G1900" s="25"/>
      <c r="H1900" s="16" t="str">
        <f>IF(C1900="","",IFERROR(INDEX(Settings!$L$4:$L$56,MATCH(C1900,Settings!$K$4:$K$56,0)),"Unknown"))</f>
        <v/>
      </c>
      <c r="I1900" s="8" t="str">
        <f t="shared" si="87"/>
        <v/>
      </c>
      <c r="J1900" s="8" t="str">
        <f t="shared" si="88"/>
        <v/>
      </c>
      <c r="K1900" s="24"/>
      <c r="L1900" s="7" t="str">
        <f t="shared" si="89"/>
        <v/>
      </c>
    </row>
    <row r="1901" spans="1:12" x14ac:dyDescent="0.25">
      <c r="A1901" s="23"/>
      <c r="B1901" s="24"/>
      <c r="C1901" s="24"/>
      <c r="D1901" s="24"/>
      <c r="E1901" s="24"/>
      <c r="F1901" s="24"/>
      <c r="G1901" s="25"/>
      <c r="H1901" s="16" t="str">
        <f>IF(C1901="","",IFERROR(INDEX(Settings!$L$4:$L$56,MATCH(C1901,Settings!$K$4:$K$56,0)),"Unknown"))</f>
        <v/>
      </c>
      <c r="I1901" s="8" t="str">
        <f t="shared" si="87"/>
        <v/>
      </c>
      <c r="J1901" s="8" t="str">
        <f t="shared" si="88"/>
        <v/>
      </c>
      <c r="K1901" s="24"/>
      <c r="L1901" s="7" t="str">
        <f t="shared" si="89"/>
        <v/>
      </c>
    </row>
    <row r="1902" spans="1:12" x14ac:dyDescent="0.25">
      <c r="A1902" s="23"/>
      <c r="B1902" s="24"/>
      <c r="C1902" s="24"/>
      <c r="D1902" s="24"/>
      <c r="E1902" s="24"/>
      <c r="F1902" s="24"/>
      <c r="G1902" s="25"/>
      <c r="H1902" s="16" t="str">
        <f>IF(C1902="","",IFERROR(INDEX(Settings!$L$4:$L$56,MATCH(C1902,Settings!$K$4:$K$56,0)),"Unknown"))</f>
        <v/>
      </c>
      <c r="I1902" s="8" t="str">
        <f t="shared" si="87"/>
        <v/>
      </c>
      <c r="J1902" s="8" t="str">
        <f t="shared" si="88"/>
        <v/>
      </c>
      <c r="K1902" s="24"/>
      <c r="L1902" s="7" t="str">
        <f t="shared" si="89"/>
        <v/>
      </c>
    </row>
    <row r="1903" spans="1:12" x14ac:dyDescent="0.25">
      <c r="A1903" s="23"/>
      <c r="B1903" s="24"/>
      <c r="C1903" s="24"/>
      <c r="D1903" s="24"/>
      <c r="E1903" s="24"/>
      <c r="F1903" s="24"/>
      <c r="G1903" s="25"/>
      <c r="H1903" s="16" t="str">
        <f>IF(C1903="","",IFERROR(INDEX(Settings!$L$4:$L$56,MATCH(C1903,Settings!$K$4:$K$56,0)),"Unknown"))</f>
        <v/>
      </c>
      <c r="I1903" s="8" t="str">
        <f t="shared" si="87"/>
        <v/>
      </c>
      <c r="J1903" s="8" t="str">
        <f t="shared" si="88"/>
        <v/>
      </c>
      <c r="K1903" s="24"/>
      <c r="L1903" s="7" t="str">
        <f t="shared" si="89"/>
        <v/>
      </c>
    </row>
    <row r="1904" spans="1:12" x14ac:dyDescent="0.25">
      <c r="A1904" s="23"/>
      <c r="B1904" s="24"/>
      <c r="C1904" s="24"/>
      <c r="D1904" s="24"/>
      <c r="E1904" s="24"/>
      <c r="F1904" s="24"/>
      <c r="G1904" s="25"/>
      <c r="H1904" s="16" t="str">
        <f>IF(C1904="","",IFERROR(INDEX(Settings!$L$4:$L$56,MATCH(C1904,Settings!$K$4:$K$56,0)),"Unknown"))</f>
        <v/>
      </c>
      <c r="I1904" s="8" t="str">
        <f t="shared" si="87"/>
        <v/>
      </c>
      <c r="J1904" s="8" t="str">
        <f t="shared" si="88"/>
        <v/>
      </c>
      <c r="K1904" s="24"/>
      <c r="L1904" s="7" t="str">
        <f t="shared" si="89"/>
        <v/>
      </c>
    </row>
    <row r="1905" spans="1:12" x14ac:dyDescent="0.25">
      <c r="A1905" s="23"/>
      <c r="B1905" s="24"/>
      <c r="C1905" s="24"/>
      <c r="D1905" s="24"/>
      <c r="E1905" s="24"/>
      <c r="F1905" s="24"/>
      <c r="G1905" s="25"/>
      <c r="H1905" s="16" t="str">
        <f>IF(C1905="","",IFERROR(INDEX(Settings!$L$4:$L$56,MATCH(C1905,Settings!$K$4:$K$56,0)),"Unknown"))</f>
        <v/>
      </c>
      <c r="I1905" s="8" t="str">
        <f t="shared" si="87"/>
        <v/>
      </c>
      <c r="J1905" s="8" t="str">
        <f t="shared" si="88"/>
        <v/>
      </c>
      <c r="K1905" s="24"/>
      <c r="L1905" s="7" t="str">
        <f t="shared" si="89"/>
        <v/>
      </c>
    </row>
    <row r="1906" spans="1:12" x14ac:dyDescent="0.25">
      <c r="A1906" s="23"/>
      <c r="B1906" s="24"/>
      <c r="C1906" s="24"/>
      <c r="D1906" s="24"/>
      <c r="E1906" s="24"/>
      <c r="F1906" s="24"/>
      <c r="G1906" s="25"/>
      <c r="H1906" s="16" t="str">
        <f>IF(C1906="","",IFERROR(INDEX(Settings!$L$4:$L$56,MATCH(C1906,Settings!$K$4:$K$56,0)),"Unknown"))</f>
        <v/>
      </c>
      <c r="I1906" s="8" t="str">
        <f t="shared" si="87"/>
        <v/>
      </c>
      <c r="J1906" s="8" t="str">
        <f t="shared" si="88"/>
        <v/>
      </c>
      <c r="K1906" s="24"/>
      <c r="L1906" s="7" t="str">
        <f t="shared" si="89"/>
        <v/>
      </c>
    </row>
    <row r="1907" spans="1:12" x14ac:dyDescent="0.25">
      <c r="A1907" s="23"/>
      <c r="B1907" s="24"/>
      <c r="C1907" s="24"/>
      <c r="D1907" s="24"/>
      <c r="E1907" s="24"/>
      <c r="F1907" s="24"/>
      <c r="G1907" s="25"/>
      <c r="H1907" s="16" t="str">
        <f>IF(C1907="","",IFERROR(INDEX(Settings!$L$4:$L$56,MATCH(C1907,Settings!$K$4:$K$56,0)),"Unknown"))</f>
        <v/>
      </c>
      <c r="I1907" s="8" t="str">
        <f t="shared" si="87"/>
        <v/>
      </c>
      <c r="J1907" s="8" t="str">
        <f t="shared" si="88"/>
        <v/>
      </c>
      <c r="K1907" s="24"/>
      <c r="L1907" s="7" t="str">
        <f t="shared" si="89"/>
        <v/>
      </c>
    </row>
    <row r="1908" spans="1:12" x14ac:dyDescent="0.25">
      <c r="A1908" s="23"/>
      <c r="B1908" s="24"/>
      <c r="C1908" s="24"/>
      <c r="D1908" s="24"/>
      <c r="E1908" s="24"/>
      <c r="F1908" s="24"/>
      <c r="G1908" s="25"/>
      <c r="H1908" s="16" t="str">
        <f>IF(C1908="","",IFERROR(INDEX(Settings!$L$4:$L$56,MATCH(C1908,Settings!$K$4:$K$56,0)),"Unknown"))</f>
        <v/>
      </c>
      <c r="I1908" s="8" t="str">
        <f t="shared" si="87"/>
        <v/>
      </c>
      <c r="J1908" s="8" t="str">
        <f t="shared" si="88"/>
        <v/>
      </c>
      <c r="K1908" s="24"/>
      <c r="L1908" s="7" t="str">
        <f t="shared" si="89"/>
        <v/>
      </c>
    </row>
    <row r="1909" spans="1:12" x14ac:dyDescent="0.25">
      <c r="A1909" s="23"/>
      <c r="B1909" s="24"/>
      <c r="C1909" s="24"/>
      <c r="D1909" s="24"/>
      <c r="E1909" s="24"/>
      <c r="F1909" s="24"/>
      <c r="G1909" s="25"/>
      <c r="H1909" s="16" t="str">
        <f>IF(C1909="","",IFERROR(INDEX(Settings!$L$4:$L$56,MATCH(C1909,Settings!$K$4:$K$56,0)),"Unknown"))</f>
        <v/>
      </c>
      <c r="I1909" s="8" t="str">
        <f t="shared" si="87"/>
        <v/>
      </c>
      <c r="J1909" s="8" t="str">
        <f t="shared" si="88"/>
        <v/>
      </c>
      <c r="K1909" s="24"/>
      <c r="L1909" s="7" t="str">
        <f t="shared" si="89"/>
        <v/>
      </c>
    </row>
    <row r="1910" spans="1:12" x14ac:dyDescent="0.25">
      <c r="A1910" s="23"/>
      <c r="B1910" s="24"/>
      <c r="C1910" s="24"/>
      <c r="D1910" s="24"/>
      <c r="E1910" s="24"/>
      <c r="F1910" s="24"/>
      <c r="G1910" s="25"/>
      <c r="H1910" s="16" t="str">
        <f>IF(C1910="","",IFERROR(INDEX(Settings!$L$4:$L$56,MATCH(C1910,Settings!$K$4:$K$56,0)),"Unknown"))</f>
        <v/>
      </c>
      <c r="I1910" s="8" t="str">
        <f t="shared" si="87"/>
        <v/>
      </c>
      <c r="J1910" s="8" t="str">
        <f t="shared" si="88"/>
        <v/>
      </c>
      <c r="K1910" s="24"/>
      <c r="L1910" s="7" t="str">
        <f t="shared" si="89"/>
        <v/>
      </c>
    </row>
    <row r="1911" spans="1:12" x14ac:dyDescent="0.25">
      <c r="A1911" s="23"/>
      <c r="B1911" s="24"/>
      <c r="C1911" s="24"/>
      <c r="D1911" s="24"/>
      <c r="E1911" s="24"/>
      <c r="F1911" s="24"/>
      <c r="G1911" s="25"/>
      <c r="H1911" s="16" t="str">
        <f>IF(C1911="","",IFERROR(INDEX(Settings!$L$4:$L$56,MATCH(C1911,Settings!$K$4:$K$56,0)),"Unknown"))</f>
        <v/>
      </c>
      <c r="I1911" s="8" t="str">
        <f t="shared" si="87"/>
        <v/>
      </c>
      <c r="J1911" s="8" t="str">
        <f t="shared" si="88"/>
        <v/>
      </c>
      <c r="K1911" s="24"/>
      <c r="L1911" s="7" t="str">
        <f t="shared" si="89"/>
        <v/>
      </c>
    </row>
    <row r="1912" spans="1:12" x14ac:dyDescent="0.25">
      <c r="A1912" s="23"/>
      <c r="B1912" s="24"/>
      <c r="C1912" s="24"/>
      <c r="D1912" s="24"/>
      <c r="E1912" s="24"/>
      <c r="F1912" s="24"/>
      <c r="G1912" s="25"/>
      <c r="H1912" s="16" t="str">
        <f>IF(C1912="","",IFERROR(INDEX(Settings!$L$4:$L$56,MATCH(C1912,Settings!$K$4:$K$56,0)),"Unknown"))</f>
        <v/>
      </c>
      <c r="I1912" s="8" t="str">
        <f t="shared" si="87"/>
        <v/>
      </c>
      <c r="J1912" s="8" t="str">
        <f t="shared" si="88"/>
        <v/>
      </c>
      <c r="K1912" s="24"/>
      <c r="L1912" s="7" t="str">
        <f t="shared" si="89"/>
        <v/>
      </c>
    </row>
    <row r="1913" spans="1:12" x14ac:dyDescent="0.25">
      <c r="A1913" s="23"/>
      <c r="B1913" s="24"/>
      <c r="C1913" s="24"/>
      <c r="D1913" s="24"/>
      <c r="E1913" s="24"/>
      <c r="F1913" s="24"/>
      <c r="G1913" s="25"/>
      <c r="H1913" s="16" t="str">
        <f>IF(C1913="","",IFERROR(INDEX(Settings!$L$4:$L$56,MATCH(C1913,Settings!$K$4:$K$56,0)),"Unknown"))</f>
        <v/>
      </c>
      <c r="I1913" s="8" t="str">
        <f t="shared" si="87"/>
        <v/>
      </c>
      <c r="J1913" s="8" t="str">
        <f t="shared" si="88"/>
        <v/>
      </c>
      <c r="K1913" s="24"/>
      <c r="L1913" s="7" t="str">
        <f t="shared" si="89"/>
        <v/>
      </c>
    </row>
    <row r="1914" spans="1:12" x14ac:dyDescent="0.25">
      <c r="A1914" s="23"/>
      <c r="B1914" s="24"/>
      <c r="C1914" s="24"/>
      <c r="D1914" s="24"/>
      <c r="E1914" s="24"/>
      <c r="F1914" s="24"/>
      <c r="G1914" s="25"/>
      <c r="H1914" s="16" t="str">
        <f>IF(C1914="","",IFERROR(INDEX(Settings!$L$4:$L$56,MATCH(C1914,Settings!$K$4:$K$56,0)),"Unknown"))</f>
        <v/>
      </c>
      <c r="I1914" s="8" t="str">
        <f t="shared" si="87"/>
        <v/>
      </c>
      <c r="J1914" s="8" t="str">
        <f t="shared" si="88"/>
        <v/>
      </c>
      <c r="K1914" s="24"/>
      <c r="L1914" s="7" t="str">
        <f t="shared" si="89"/>
        <v/>
      </c>
    </row>
    <row r="1915" spans="1:12" x14ac:dyDescent="0.25">
      <c r="A1915" s="23"/>
      <c r="B1915" s="24"/>
      <c r="C1915" s="24"/>
      <c r="D1915" s="24"/>
      <c r="E1915" s="24"/>
      <c r="F1915" s="24"/>
      <c r="G1915" s="25"/>
      <c r="H1915" s="16" t="str">
        <f>IF(C1915="","",IFERROR(INDEX(Settings!$L$4:$L$56,MATCH(C1915,Settings!$K$4:$K$56,0)),"Unknown"))</f>
        <v/>
      </c>
      <c r="I1915" s="8" t="str">
        <f t="shared" si="87"/>
        <v/>
      </c>
      <c r="J1915" s="8" t="str">
        <f t="shared" si="88"/>
        <v/>
      </c>
      <c r="K1915" s="24"/>
      <c r="L1915" s="7" t="str">
        <f t="shared" si="89"/>
        <v/>
      </c>
    </row>
    <row r="1916" spans="1:12" x14ac:dyDescent="0.25">
      <c r="A1916" s="23"/>
      <c r="B1916" s="24"/>
      <c r="C1916" s="24"/>
      <c r="D1916" s="24"/>
      <c r="E1916" s="24"/>
      <c r="F1916" s="24"/>
      <c r="G1916" s="25"/>
      <c r="H1916" s="16" t="str">
        <f>IF(C1916="","",IFERROR(INDEX(Settings!$L$4:$L$56,MATCH(C1916,Settings!$K$4:$K$56,0)),"Unknown"))</f>
        <v/>
      </c>
      <c r="I1916" s="8" t="str">
        <f t="shared" si="87"/>
        <v/>
      </c>
      <c r="J1916" s="8" t="str">
        <f t="shared" si="88"/>
        <v/>
      </c>
      <c r="K1916" s="24"/>
      <c r="L1916" s="7" t="str">
        <f t="shared" si="89"/>
        <v/>
      </c>
    </row>
    <row r="1917" spans="1:12" x14ac:dyDescent="0.25">
      <c r="A1917" s="23"/>
      <c r="B1917" s="24"/>
      <c r="C1917" s="24"/>
      <c r="D1917" s="24"/>
      <c r="E1917" s="24"/>
      <c r="F1917" s="24"/>
      <c r="G1917" s="25"/>
      <c r="H1917" s="16" t="str">
        <f>IF(C1917="","",IFERROR(INDEX(Settings!$L$4:$L$56,MATCH(C1917,Settings!$K$4:$K$56,0)),"Unknown"))</f>
        <v/>
      </c>
      <c r="I1917" s="8" t="str">
        <f t="shared" si="87"/>
        <v/>
      </c>
      <c r="J1917" s="8" t="str">
        <f t="shared" si="88"/>
        <v/>
      </c>
      <c r="K1917" s="24"/>
      <c r="L1917" s="7" t="str">
        <f t="shared" si="89"/>
        <v/>
      </c>
    </row>
    <row r="1918" spans="1:12" x14ac:dyDescent="0.25">
      <c r="A1918" s="23"/>
      <c r="B1918" s="24"/>
      <c r="C1918" s="24"/>
      <c r="D1918" s="24"/>
      <c r="E1918" s="24"/>
      <c r="F1918" s="24"/>
      <c r="G1918" s="25"/>
      <c r="H1918" s="16" t="str">
        <f>IF(C1918="","",IFERROR(INDEX(Settings!$L$4:$L$56,MATCH(C1918,Settings!$K$4:$K$56,0)),"Unknown"))</f>
        <v/>
      </c>
      <c r="I1918" s="8" t="str">
        <f t="shared" si="87"/>
        <v/>
      </c>
      <c r="J1918" s="8" t="str">
        <f t="shared" si="88"/>
        <v/>
      </c>
      <c r="K1918" s="24"/>
      <c r="L1918" s="7" t="str">
        <f t="shared" si="89"/>
        <v/>
      </c>
    </row>
    <row r="1919" spans="1:12" x14ac:dyDescent="0.25">
      <c r="A1919" s="23"/>
      <c r="B1919" s="24"/>
      <c r="C1919" s="24"/>
      <c r="D1919" s="24"/>
      <c r="E1919" s="24"/>
      <c r="F1919" s="24"/>
      <c r="G1919" s="25"/>
      <c r="H1919" s="16" t="str">
        <f>IF(C1919="","",IFERROR(INDEX(Settings!$L$4:$L$56,MATCH(C1919,Settings!$K$4:$K$56,0)),"Unknown"))</f>
        <v/>
      </c>
      <c r="I1919" s="8" t="str">
        <f t="shared" si="87"/>
        <v/>
      </c>
      <c r="J1919" s="8" t="str">
        <f t="shared" si="88"/>
        <v/>
      </c>
      <c r="K1919" s="24"/>
      <c r="L1919" s="7" t="str">
        <f t="shared" si="89"/>
        <v/>
      </c>
    </row>
    <row r="1920" spans="1:12" x14ac:dyDescent="0.25">
      <c r="A1920" s="23"/>
      <c r="B1920" s="24"/>
      <c r="C1920" s="24"/>
      <c r="D1920" s="24"/>
      <c r="E1920" s="24"/>
      <c r="F1920" s="24"/>
      <c r="G1920" s="25"/>
      <c r="H1920" s="16" t="str">
        <f>IF(C1920="","",IFERROR(INDEX(Settings!$L$4:$L$56,MATCH(C1920,Settings!$K$4:$K$56,0)),"Unknown"))</f>
        <v/>
      </c>
      <c r="I1920" s="8" t="str">
        <f t="shared" si="87"/>
        <v/>
      </c>
      <c r="J1920" s="8" t="str">
        <f t="shared" si="88"/>
        <v/>
      </c>
      <c r="K1920" s="24"/>
      <c r="L1920" s="7" t="str">
        <f t="shared" si="89"/>
        <v/>
      </c>
    </row>
    <row r="1921" spans="1:12" x14ac:dyDescent="0.25">
      <c r="A1921" s="23"/>
      <c r="B1921" s="24"/>
      <c r="C1921" s="24"/>
      <c r="D1921" s="24"/>
      <c r="E1921" s="24"/>
      <c r="F1921" s="24"/>
      <c r="G1921" s="25"/>
      <c r="H1921" s="16" t="str">
        <f>IF(C1921="","",IFERROR(INDEX(Settings!$L$4:$L$56,MATCH(C1921,Settings!$K$4:$K$56,0)),"Unknown"))</f>
        <v/>
      </c>
      <c r="I1921" s="8" t="str">
        <f t="shared" si="87"/>
        <v/>
      </c>
      <c r="J1921" s="8" t="str">
        <f t="shared" si="88"/>
        <v/>
      </c>
      <c r="K1921" s="24"/>
      <c r="L1921" s="7" t="str">
        <f t="shared" si="89"/>
        <v/>
      </c>
    </row>
    <row r="1922" spans="1:12" x14ac:dyDescent="0.25">
      <c r="A1922" s="23"/>
      <c r="B1922" s="24"/>
      <c r="C1922" s="24"/>
      <c r="D1922" s="24"/>
      <c r="E1922" s="24"/>
      <c r="F1922" s="24"/>
      <c r="G1922" s="25"/>
      <c r="H1922" s="16" t="str">
        <f>IF(C1922="","",IFERROR(INDEX(Settings!$L$4:$L$56,MATCH(C1922,Settings!$K$4:$K$56,0)),"Unknown"))</f>
        <v/>
      </c>
      <c r="I1922" s="8" t="str">
        <f t="shared" si="87"/>
        <v/>
      </c>
      <c r="J1922" s="8" t="str">
        <f t="shared" si="88"/>
        <v/>
      </c>
      <c r="K1922" s="24"/>
      <c r="L1922" s="7" t="str">
        <f t="shared" si="89"/>
        <v/>
      </c>
    </row>
    <row r="1923" spans="1:12" x14ac:dyDescent="0.25">
      <c r="A1923" s="23"/>
      <c r="B1923" s="24"/>
      <c r="C1923" s="24"/>
      <c r="D1923" s="24"/>
      <c r="E1923" s="24"/>
      <c r="F1923" s="24"/>
      <c r="G1923" s="25"/>
      <c r="H1923" s="16" t="str">
        <f>IF(C1923="","",IFERROR(INDEX(Settings!$L$4:$L$56,MATCH(C1923,Settings!$K$4:$K$56,0)),"Unknown"))</f>
        <v/>
      </c>
      <c r="I1923" s="8" t="str">
        <f t="shared" si="87"/>
        <v/>
      </c>
      <c r="J1923" s="8" t="str">
        <f t="shared" si="88"/>
        <v/>
      </c>
      <c r="K1923" s="24"/>
      <c r="L1923" s="7" t="str">
        <f t="shared" si="89"/>
        <v/>
      </c>
    </row>
    <row r="1924" spans="1:12" x14ac:dyDescent="0.25">
      <c r="A1924" s="23"/>
      <c r="B1924" s="24"/>
      <c r="C1924" s="24"/>
      <c r="D1924" s="24"/>
      <c r="E1924" s="24"/>
      <c r="F1924" s="24"/>
      <c r="G1924" s="25"/>
      <c r="H1924" s="16" t="str">
        <f>IF(C1924="","",IFERROR(INDEX(Settings!$L$4:$L$56,MATCH(C1924,Settings!$K$4:$K$56,0)),"Unknown"))</f>
        <v/>
      </c>
      <c r="I1924" s="8" t="str">
        <f t="shared" si="87"/>
        <v/>
      </c>
      <c r="J1924" s="8" t="str">
        <f t="shared" si="88"/>
        <v/>
      </c>
      <c r="K1924" s="24"/>
      <c r="L1924" s="7" t="str">
        <f t="shared" si="89"/>
        <v/>
      </c>
    </row>
    <row r="1925" spans="1:12" x14ac:dyDescent="0.25">
      <c r="A1925" s="23"/>
      <c r="B1925" s="24"/>
      <c r="C1925" s="24"/>
      <c r="D1925" s="24"/>
      <c r="E1925" s="24"/>
      <c r="F1925" s="24"/>
      <c r="G1925" s="25"/>
      <c r="H1925" s="16" t="str">
        <f>IF(C1925="","",IFERROR(INDEX(Settings!$L$4:$L$56,MATCH(C1925,Settings!$K$4:$K$56,0)),"Unknown"))</f>
        <v/>
      </c>
      <c r="I1925" s="8" t="str">
        <f t="shared" si="87"/>
        <v/>
      </c>
      <c r="J1925" s="8" t="str">
        <f t="shared" si="88"/>
        <v/>
      </c>
      <c r="K1925" s="24"/>
      <c r="L1925" s="7" t="str">
        <f t="shared" si="89"/>
        <v/>
      </c>
    </row>
    <row r="1926" spans="1:12" x14ac:dyDescent="0.25">
      <c r="A1926" s="23"/>
      <c r="B1926" s="24"/>
      <c r="C1926" s="24"/>
      <c r="D1926" s="24"/>
      <c r="E1926" s="24"/>
      <c r="F1926" s="24"/>
      <c r="G1926" s="25"/>
      <c r="H1926" s="16" t="str">
        <f>IF(C1926="","",IFERROR(INDEX(Settings!$L$4:$L$56,MATCH(C1926,Settings!$K$4:$K$56,0)),"Unknown"))</f>
        <v/>
      </c>
      <c r="I1926" s="8" t="str">
        <f t="shared" ref="I1926:I1989" si="90">IF(A1926="","",MONTH(A1926))</f>
        <v/>
      </c>
      <c r="J1926" s="8" t="str">
        <f t="shared" ref="J1926:J1989" si="91">IF(A1926="","",YEAR(A1926))</f>
        <v/>
      </c>
      <c r="K1926" s="24"/>
      <c r="L1926" s="7" t="str">
        <f t="shared" ref="L1926:L1989" si="92">IF(OR(B1926="",C1926=""),"",IF(AND(B1926="Income",H1926&lt;&gt;"Income"),"Category is not an Income category",IF(AND(B1926="Expense",H1926="Income"),"Category is an Income category","OK")))</f>
        <v/>
      </c>
    </row>
    <row r="1927" spans="1:12" x14ac:dyDescent="0.25">
      <c r="A1927" s="23"/>
      <c r="B1927" s="24"/>
      <c r="C1927" s="24"/>
      <c r="D1927" s="24"/>
      <c r="E1927" s="24"/>
      <c r="F1927" s="24"/>
      <c r="G1927" s="25"/>
      <c r="H1927" s="16" t="str">
        <f>IF(C1927="","",IFERROR(INDEX(Settings!$L$4:$L$56,MATCH(C1927,Settings!$K$4:$K$56,0)),"Unknown"))</f>
        <v/>
      </c>
      <c r="I1927" s="8" t="str">
        <f t="shared" si="90"/>
        <v/>
      </c>
      <c r="J1927" s="8" t="str">
        <f t="shared" si="91"/>
        <v/>
      </c>
      <c r="K1927" s="24"/>
      <c r="L1927" s="7" t="str">
        <f t="shared" si="92"/>
        <v/>
      </c>
    </row>
    <row r="1928" spans="1:12" x14ac:dyDescent="0.25">
      <c r="A1928" s="23"/>
      <c r="B1928" s="24"/>
      <c r="C1928" s="24"/>
      <c r="D1928" s="24"/>
      <c r="E1928" s="24"/>
      <c r="F1928" s="24"/>
      <c r="G1928" s="25"/>
      <c r="H1928" s="16" t="str">
        <f>IF(C1928="","",IFERROR(INDEX(Settings!$L$4:$L$56,MATCH(C1928,Settings!$K$4:$K$56,0)),"Unknown"))</f>
        <v/>
      </c>
      <c r="I1928" s="8" t="str">
        <f t="shared" si="90"/>
        <v/>
      </c>
      <c r="J1928" s="8" t="str">
        <f t="shared" si="91"/>
        <v/>
      </c>
      <c r="K1928" s="24"/>
      <c r="L1928" s="7" t="str">
        <f t="shared" si="92"/>
        <v/>
      </c>
    </row>
    <row r="1929" spans="1:12" x14ac:dyDescent="0.25">
      <c r="A1929" s="23"/>
      <c r="B1929" s="24"/>
      <c r="C1929" s="24"/>
      <c r="D1929" s="24"/>
      <c r="E1929" s="24"/>
      <c r="F1929" s="24"/>
      <c r="G1929" s="25"/>
      <c r="H1929" s="16" t="str">
        <f>IF(C1929="","",IFERROR(INDEX(Settings!$L$4:$L$56,MATCH(C1929,Settings!$K$4:$K$56,0)),"Unknown"))</f>
        <v/>
      </c>
      <c r="I1929" s="8" t="str">
        <f t="shared" si="90"/>
        <v/>
      </c>
      <c r="J1929" s="8" t="str">
        <f t="shared" si="91"/>
        <v/>
      </c>
      <c r="K1929" s="24"/>
      <c r="L1929" s="7" t="str">
        <f t="shared" si="92"/>
        <v/>
      </c>
    </row>
    <row r="1930" spans="1:12" x14ac:dyDescent="0.25">
      <c r="A1930" s="23"/>
      <c r="B1930" s="24"/>
      <c r="C1930" s="24"/>
      <c r="D1930" s="24"/>
      <c r="E1930" s="24"/>
      <c r="F1930" s="24"/>
      <c r="G1930" s="25"/>
      <c r="H1930" s="16" t="str">
        <f>IF(C1930="","",IFERROR(INDEX(Settings!$L$4:$L$56,MATCH(C1930,Settings!$K$4:$K$56,0)),"Unknown"))</f>
        <v/>
      </c>
      <c r="I1930" s="8" t="str">
        <f t="shared" si="90"/>
        <v/>
      </c>
      <c r="J1930" s="8" t="str">
        <f t="shared" si="91"/>
        <v/>
      </c>
      <c r="K1930" s="24"/>
      <c r="L1930" s="7" t="str">
        <f t="shared" si="92"/>
        <v/>
      </c>
    </row>
    <row r="1931" spans="1:12" x14ac:dyDescent="0.25">
      <c r="A1931" s="23"/>
      <c r="B1931" s="24"/>
      <c r="C1931" s="24"/>
      <c r="D1931" s="24"/>
      <c r="E1931" s="24"/>
      <c r="F1931" s="24"/>
      <c r="G1931" s="25"/>
      <c r="H1931" s="16" t="str">
        <f>IF(C1931="","",IFERROR(INDEX(Settings!$L$4:$L$56,MATCH(C1931,Settings!$K$4:$K$56,0)),"Unknown"))</f>
        <v/>
      </c>
      <c r="I1931" s="8" t="str">
        <f t="shared" si="90"/>
        <v/>
      </c>
      <c r="J1931" s="8" t="str">
        <f t="shared" si="91"/>
        <v/>
      </c>
      <c r="K1931" s="24"/>
      <c r="L1931" s="7" t="str">
        <f t="shared" si="92"/>
        <v/>
      </c>
    </row>
    <row r="1932" spans="1:12" x14ac:dyDescent="0.25">
      <c r="A1932" s="23"/>
      <c r="B1932" s="24"/>
      <c r="C1932" s="24"/>
      <c r="D1932" s="24"/>
      <c r="E1932" s="24"/>
      <c r="F1932" s="24"/>
      <c r="G1932" s="25"/>
      <c r="H1932" s="16" t="str">
        <f>IF(C1932="","",IFERROR(INDEX(Settings!$L$4:$L$56,MATCH(C1932,Settings!$K$4:$K$56,0)),"Unknown"))</f>
        <v/>
      </c>
      <c r="I1932" s="8" t="str">
        <f t="shared" si="90"/>
        <v/>
      </c>
      <c r="J1932" s="8" t="str">
        <f t="shared" si="91"/>
        <v/>
      </c>
      <c r="K1932" s="24"/>
      <c r="L1932" s="7" t="str">
        <f t="shared" si="92"/>
        <v/>
      </c>
    </row>
    <row r="1933" spans="1:12" x14ac:dyDescent="0.25">
      <c r="A1933" s="23"/>
      <c r="B1933" s="24"/>
      <c r="C1933" s="24"/>
      <c r="D1933" s="24"/>
      <c r="E1933" s="24"/>
      <c r="F1933" s="24"/>
      <c r="G1933" s="25"/>
      <c r="H1933" s="16" t="str">
        <f>IF(C1933="","",IFERROR(INDEX(Settings!$L$4:$L$56,MATCH(C1933,Settings!$K$4:$K$56,0)),"Unknown"))</f>
        <v/>
      </c>
      <c r="I1933" s="8" t="str">
        <f t="shared" si="90"/>
        <v/>
      </c>
      <c r="J1933" s="8" t="str">
        <f t="shared" si="91"/>
        <v/>
      </c>
      <c r="K1933" s="24"/>
      <c r="L1933" s="7" t="str">
        <f t="shared" si="92"/>
        <v/>
      </c>
    </row>
    <row r="1934" spans="1:12" x14ac:dyDescent="0.25">
      <c r="A1934" s="23"/>
      <c r="B1934" s="24"/>
      <c r="C1934" s="24"/>
      <c r="D1934" s="24"/>
      <c r="E1934" s="24"/>
      <c r="F1934" s="24"/>
      <c r="G1934" s="25"/>
      <c r="H1934" s="16" t="str">
        <f>IF(C1934="","",IFERROR(INDEX(Settings!$L$4:$L$56,MATCH(C1934,Settings!$K$4:$K$56,0)),"Unknown"))</f>
        <v/>
      </c>
      <c r="I1934" s="8" t="str">
        <f t="shared" si="90"/>
        <v/>
      </c>
      <c r="J1934" s="8" t="str">
        <f t="shared" si="91"/>
        <v/>
      </c>
      <c r="K1934" s="24"/>
      <c r="L1934" s="7" t="str">
        <f t="shared" si="92"/>
        <v/>
      </c>
    </row>
    <row r="1935" spans="1:12" x14ac:dyDescent="0.25">
      <c r="A1935" s="23"/>
      <c r="B1935" s="24"/>
      <c r="C1935" s="24"/>
      <c r="D1935" s="24"/>
      <c r="E1935" s="24"/>
      <c r="F1935" s="24"/>
      <c r="G1935" s="25"/>
      <c r="H1935" s="16" t="str">
        <f>IF(C1935="","",IFERROR(INDEX(Settings!$L$4:$L$56,MATCH(C1935,Settings!$K$4:$K$56,0)),"Unknown"))</f>
        <v/>
      </c>
      <c r="I1935" s="8" t="str">
        <f t="shared" si="90"/>
        <v/>
      </c>
      <c r="J1935" s="8" t="str">
        <f t="shared" si="91"/>
        <v/>
      </c>
      <c r="K1935" s="24"/>
      <c r="L1935" s="7" t="str">
        <f t="shared" si="92"/>
        <v/>
      </c>
    </row>
    <row r="1936" spans="1:12" x14ac:dyDescent="0.25">
      <c r="A1936" s="23"/>
      <c r="B1936" s="24"/>
      <c r="C1936" s="24"/>
      <c r="D1936" s="24"/>
      <c r="E1936" s="24"/>
      <c r="F1936" s="24"/>
      <c r="G1936" s="25"/>
      <c r="H1936" s="16" t="str">
        <f>IF(C1936="","",IFERROR(INDEX(Settings!$L$4:$L$56,MATCH(C1936,Settings!$K$4:$K$56,0)),"Unknown"))</f>
        <v/>
      </c>
      <c r="I1936" s="8" t="str">
        <f t="shared" si="90"/>
        <v/>
      </c>
      <c r="J1936" s="8" t="str">
        <f t="shared" si="91"/>
        <v/>
      </c>
      <c r="K1936" s="24"/>
      <c r="L1936" s="7" t="str">
        <f t="shared" si="92"/>
        <v/>
      </c>
    </row>
    <row r="1937" spans="1:12" x14ac:dyDescent="0.25">
      <c r="A1937" s="23"/>
      <c r="B1937" s="24"/>
      <c r="C1937" s="24"/>
      <c r="D1937" s="24"/>
      <c r="E1937" s="24"/>
      <c r="F1937" s="24"/>
      <c r="G1937" s="25"/>
      <c r="H1937" s="16" t="str">
        <f>IF(C1937="","",IFERROR(INDEX(Settings!$L$4:$L$56,MATCH(C1937,Settings!$K$4:$K$56,0)),"Unknown"))</f>
        <v/>
      </c>
      <c r="I1937" s="8" t="str">
        <f t="shared" si="90"/>
        <v/>
      </c>
      <c r="J1937" s="8" t="str">
        <f t="shared" si="91"/>
        <v/>
      </c>
      <c r="K1937" s="24"/>
      <c r="L1937" s="7" t="str">
        <f t="shared" si="92"/>
        <v/>
      </c>
    </row>
    <row r="1938" spans="1:12" x14ac:dyDescent="0.25">
      <c r="A1938" s="23"/>
      <c r="B1938" s="24"/>
      <c r="C1938" s="24"/>
      <c r="D1938" s="24"/>
      <c r="E1938" s="24"/>
      <c r="F1938" s="24"/>
      <c r="G1938" s="25"/>
      <c r="H1938" s="16" t="str">
        <f>IF(C1938="","",IFERROR(INDEX(Settings!$L$4:$L$56,MATCH(C1938,Settings!$K$4:$K$56,0)),"Unknown"))</f>
        <v/>
      </c>
      <c r="I1938" s="8" t="str">
        <f t="shared" si="90"/>
        <v/>
      </c>
      <c r="J1938" s="8" t="str">
        <f t="shared" si="91"/>
        <v/>
      </c>
      <c r="K1938" s="24"/>
      <c r="L1938" s="7" t="str">
        <f t="shared" si="92"/>
        <v/>
      </c>
    </row>
    <row r="1939" spans="1:12" x14ac:dyDescent="0.25">
      <c r="A1939" s="23"/>
      <c r="B1939" s="24"/>
      <c r="C1939" s="24"/>
      <c r="D1939" s="24"/>
      <c r="E1939" s="24"/>
      <c r="F1939" s="24"/>
      <c r="G1939" s="25"/>
      <c r="H1939" s="16" t="str">
        <f>IF(C1939="","",IFERROR(INDEX(Settings!$L$4:$L$56,MATCH(C1939,Settings!$K$4:$K$56,0)),"Unknown"))</f>
        <v/>
      </c>
      <c r="I1939" s="8" t="str">
        <f t="shared" si="90"/>
        <v/>
      </c>
      <c r="J1939" s="8" t="str">
        <f t="shared" si="91"/>
        <v/>
      </c>
      <c r="K1939" s="24"/>
      <c r="L1939" s="7" t="str">
        <f t="shared" si="92"/>
        <v/>
      </c>
    </row>
    <row r="1940" spans="1:12" x14ac:dyDescent="0.25">
      <c r="A1940" s="23"/>
      <c r="B1940" s="24"/>
      <c r="C1940" s="24"/>
      <c r="D1940" s="24"/>
      <c r="E1940" s="24"/>
      <c r="F1940" s="24"/>
      <c r="G1940" s="25"/>
      <c r="H1940" s="16" t="str">
        <f>IF(C1940="","",IFERROR(INDEX(Settings!$L$4:$L$56,MATCH(C1940,Settings!$K$4:$K$56,0)),"Unknown"))</f>
        <v/>
      </c>
      <c r="I1940" s="8" t="str">
        <f t="shared" si="90"/>
        <v/>
      </c>
      <c r="J1940" s="8" t="str">
        <f t="shared" si="91"/>
        <v/>
      </c>
      <c r="K1940" s="24"/>
      <c r="L1940" s="7" t="str">
        <f t="shared" si="92"/>
        <v/>
      </c>
    </row>
    <row r="1941" spans="1:12" x14ac:dyDescent="0.25">
      <c r="A1941" s="23"/>
      <c r="B1941" s="24"/>
      <c r="C1941" s="24"/>
      <c r="D1941" s="24"/>
      <c r="E1941" s="24"/>
      <c r="F1941" s="24"/>
      <c r="G1941" s="25"/>
      <c r="H1941" s="16" t="str">
        <f>IF(C1941="","",IFERROR(INDEX(Settings!$L$4:$L$56,MATCH(C1941,Settings!$K$4:$K$56,0)),"Unknown"))</f>
        <v/>
      </c>
      <c r="I1941" s="8" t="str">
        <f t="shared" si="90"/>
        <v/>
      </c>
      <c r="J1941" s="8" t="str">
        <f t="shared" si="91"/>
        <v/>
      </c>
      <c r="K1941" s="24"/>
      <c r="L1941" s="7" t="str">
        <f t="shared" si="92"/>
        <v/>
      </c>
    </row>
    <row r="1942" spans="1:12" x14ac:dyDescent="0.25">
      <c r="A1942" s="23"/>
      <c r="B1942" s="24"/>
      <c r="C1942" s="24"/>
      <c r="D1942" s="24"/>
      <c r="E1942" s="24"/>
      <c r="F1942" s="24"/>
      <c r="G1942" s="25"/>
      <c r="H1942" s="16" t="str">
        <f>IF(C1942="","",IFERROR(INDEX(Settings!$L$4:$L$56,MATCH(C1942,Settings!$K$4:$K$56,0)),"Unknown"))</f>
        <v/>
      </c>
      <c r="I1942" s="8" t="str">
        <f t="shared" si="90"/>
        <v/>
      </c>
      <c r="J1942" s="8" t="str">
        <f t="shared" si="91"/>
        <v/>
      </c>
      <c r="K1942" s="24"/>
      <c r="L1942" s="7" t="str">
        <f t="shared" si="92"/>
        <v/>
      </c>
    </row>
    <row r="1943" spans="1:12" x14ac:dyDescent="0.25">
      <c r="A1943" s="23"/>
      <c r="B1943" s="24"/>
      <c r="C1943" s="24"/>
      <c r="D1943" s="24"/>
      <c r="E1943" s="24"/>
      <c r="F1943" s="24"/>
      <c r="G1943" s="25"/>
      <c r="H1943" s="16" t="str">
        <f>IF(C1943="","",IFERROR(INDEX(Settings!$L$4:$L$56,MATCH(C1943,Settings!$K$4:$K$56,0)),"Unknown"))</f>
        <v/>
      </c>
      <c r="I1943" s="8" t="str">
        <f t="shared" si="90"/>
        <v/>
      </c>
      <c r="J1943" s="8" t="str">
        <f t="shared" si="91"/>
        <v/>
      </c>
      <c r="K1943" s="24"/>
      <c r="L1943" s="7" t="str">
        <f t="shared" si="92"/>
        <v/>
      </c>
    </row>
    <row r="1944" spans="1:12" x14ac:dyDescent="0.25">
      <c r="A1944" s="23"/>
      <c r="B1944" s="24"/>
      <c r="C1944" s="24"/>
      <c r="D1944" s="24"/>
      <c r="E1944" s="24"/>
      <c r="F1944" s="24"/>
      <c r="G1944" s="25"/>
      <c r="H1944" s="16" t="str">
        <f>IF(C1944="","",IFERROR(INDEX(Settings!$L$4:$L$56,MATCH(C1944,Settings!$K$4:$K$56,0)),"Unknown"))</f>
        <v/>
      </c>
      <c r="I1944" s="8" t="str">
        <f t="shared" si="90"/>
        <v/>
      </c>
      <c r="J1944" s="8" t="str">
        <f t="shared" si="91"/>
        <v/>
      </c>
      <c r="K1944" s="24"/>
      <c r="L1944" s="7" t="str">
        <f t="shared" si="92"/>
        <v/>
      </c>
    </row>
    <row r="1945" spans="1:12" x14ac:dyDescent="0.25">
      <c r="A1945" s="23"/>
      <c r="B1945" s="24"/>
      <c r="C1945" s="24"/>
      <c r="D1945" s="24"/>
      <c r="E1945" s="24"/>
      <c r="F1945" s="24"/>
      <c r="G1945" s="25"/>
      <c r="H1945" s="16" t="str">
        <f>IF(C1945="","",IFERROR(INDEX(Settings!$L$4:$L$56,MATCH(C1945,Settings!$K$4:$K$56,0)),"Unknown"))</f>
        <v/>
      </c>
      <c r="I1945" s="8" t="str">
        <f t="shared" si="90"/>
        <v/>
      </c>
      <c r="J1945" s="8" t="str">
        <f t="shared" si="91"/>
        <v/>
      </c>
      <c r="K1945" s="24"/>
      <c r="L1945" s="7" t="str">
        <f t="shared" si="92"/>
        <v/>
      </c>
    </row>
    <row r="1946" spans="1:12" x14ac:dyDescent="0.25">
      <c r="A1946" s="23"/>
      <c r="B1946" s="24"/>
      <c r="C1946" s="24"/>
      <c r="D1946" s="24"/>
      <c r="E1946" s="24"/>
      <c r="F1946" s="24"/>
      <c r="G1946" s="25"/>
      <c r="H1946" s="16" t="str">
        <f>IF(C1946="","",IFERROR(INDEX(Settings!$L$4:$L$56,MATCH(C1946,Settings!$K$4:$K$56,0)),"Unknown"))</f>
        <v/>
      </c>
      <c r="I1946" s="8" t="str">
        <f t="shared" si="90"/>
        <v/>
      </c>
      <c r="J1946" s="8" t="str">
        <f t="shared" si="91"/>
        <v/>
      </c>
      <c r="K1946" s="24"/>
      <c r="L1946" s="7" t="str">
        <f t="shared" si="92"/>
        <v/>
      </c>
    </row>
    <row r="1947" spans="1:12" x14ac:dyDescent="0.25">
      <c r="A1947" s="23"/>
      <c r="B1947" s="24"/>
      <c r="C1947" s="24"/>
      <c r="D1947" s="24"/>
      <c r="E1947" s="24"/>
      <c r="F1947" s="24"/>
      <c r="G1947" s="25"/>
      <c r="H1947" s="16" t="str">
        <f>IF(C1947="","",IFERROR(INDEX(Settings!$L$4:$L$56,MATCH(C1947,Settings!$K$4:$K$56,0)),"Unknown"))</f>
        <v/>
      </c>
      <c r="I1947" s="8" t="str">
        <f t="shared" si="90"/>
        <v/>
      </c>
      <c r="J1947" s="8" t="str">
        <f t="shared" si="91"/>
        <v/>
      </c>
      <c r="K1947" s="24"/>
      <c r="L1947" s="7" t="str">
        <f t="shared" si="92"/>
        <v/>
      </c>
    </row>
    <row r="1948" spans="1:12" x14ac:dyDescent="0.25">
      <c r="A1948" s="23"/>
      <c r="B1948" s="24"/>
      <c r="C1948" s="24"/>
      <c r="D1948" s="24"/>
      <c r="E1948" s="24"/>
      <c r="F1948" s="24"/>
      <c r="G1948" s="25"/>
      <c r="H1948" s="16" t="str">
        <f>IF(C1948="","",IFERROR(INDEX(Settings!$L$4:$L$56,MATCH(C1948,Settings!$K$4:$K$56,0)),"Unknown"))</f>
        <v/>
      </c>
      <c r="I1948" s="8" t="str">
        <f t="shared" si="90"/>
        <v/>
      </c>
      <c r="J1948" s="8" t="str">
        <f t="shared" si="91"/>
        <v/>
      </c>
      <c r="K1948" s="24"/>
      <c r="L1948" s="7" t="str">
        <f t="shared" si="92"/>
        <v/>
      </c>
    </row>
    <row r="1949" spans="1:12" x14ac:dyDescent="0.25">
      <c r="A1949" s="23"/>
      <c r="B1949" s="24"/>
      <c r="C1949" s="24"/>
      <c r="D1949" s="24"/>
      <c r="E1949" s="24"/>
      <c r="F1949" s="24"/>
      <c r="G1949" s="25"/>
      <c r="H1949" s="16" t="str">
        <f>IF(C1949="","",IFERROR(INDEX(Settings!$L$4:$L$56,MATCH(C1949,Settings!$K$4:$K$56,0)),"Unknown"))</f>
        <v/>
      </c>
      <c r="I1949" s="8" t="str">
        <f t="shared" si="90"/>
        <v/>
      </c>
      <c r="J1949" s="8" t="str">
        <f t="shared" si="91"/>
        <v/>
      </c>
      <c r="K1949" s="24"/>
      <c r="L1949" s="7" t="str">
        <f t="shared" si="92"/>
        <v/>
      </c>
    </row>
    <row r="1950" spans="1:12" x14ac:dyDescent="0.25">
      <c r="A1950" s="23"/>
      <c r="B1950" s="24"/>
      <c r="C1950" s="24"/>
      <c r="D1950" s="24"/>
      <c r="E1950" s="24"/>
      <c r="F1950" s="24"/>
      <c r="G1950" s="25"/>
      <c r="H1950" s="16" t="str">
        <f>IF(C1950="","",IFERROR(INDEX(Settings!$L$4:$L$56,MATCH(C1950,Settings!$K$4:$K$56,0)),"Unknown"))</f>
        <v/>
      </c>
      <c r="I1950" s="8" t="str">
        <f t="shared" si="90"/>
        <v/>
      </c>
      <c r="J1950" s="8" t="str">
        <f t="shared" si="91"/>
        <v/>
      </c>
      <c r="K1950" s="24"/>
      <c r="L1950" s="7" t="str">
        <f t="shared" si="92"/>
        <v/>
      </c>
    </row>
    <row r="1951" spans="1:12" x14ac:dyDescent="0.25">
      <c r="A1951" s="23"/>
      <c r="B1951" s="24"/>
      <c r="C1951" s="24"/>
      <c r="D1951" s="24"/>
      <c r="E1951" s="24"/>
      <c r="F1951" s="24"/>
      <c r="G1951" s="25"/>
      <c r="H1951" s="16" t="str">
        <f>IF(C1951="","",IFERROR(INDEX(Settings!$L$4:$L$56,MATCH(C1951,Settings!$K$4:$K$56,0)),"Unknown"))</f>
        <v/>
      </c>
      <c r="I1951" s="8" t="str">
        <f t="shared" si="90"/>
        <v/>
      </c>
      <c r="J1951" s="8" t="str">
        <f t="shared" si="91"/>
        <v/>
      </c>
      <c r="K1951" s="24"/>
      <c r="L1951" s="7" t="str">
        <f t="shared" si="92"/>
        <v/>
      </c>
    </row>
    <row r="1952" spans="1:12" x14ac:dyDescent="0.25">
      <c r="A1952" s="23"/>
      <c r="B1952" s="24"/>
      <c r="C1952" s="24"/>
      <c r="D1952" s="24"/>
      <c r="E1952" s="24"/>
      <c r="F1952" s="24"/>
      <c r="G1952" s="25"/>
      <c r="H1952" s="16" t="str">
        <f>IF(C1952="","",IFERROR(INDEX(Settings!$L$4:$L$56,MATCH(C1952,Settings!$K$4:$K$56,0)),"Unknown"))</f>
        <v/>
      </c>
      <c r="I1952" s="8" t="str">
        <f t="shared" si="90"/>
        <v/>
      </c>
      <c r="J1952" s="8" t="str">
        <f t="shared" si="91"/>
        <v/>
      </c>
      <c r="K1952" s="24"/>
      <c r="L1952" s="7" t="str">
        <f t="shared" si="92"/>
        <v/>
      </c>
    </row>
    <row r="1953" spans="1:12" x14ac:dyDescent="0.25">
      <c r="A1953" s="23"/>
      <c r="B1953" s="24"/>
      <c r="C1953" s="24"/>
      <c r="D1953" s="24"/>
      <c r="E1953" s="24"/>
      <c r="F1953" s="24"/>
      <c r="G1953" s="25"/>
      <c r="H1953" s="16" t="str">
        <f>IF(C1953="","",IFERROR(INDEX(Settings!$L$4:$L$56,MATCH(C1953,Settings!$K$4:$K$56,0)),"Unknown"))</f>
        <v/>
      </c>
      <c r="I1953" s="8" t="str">
        <f t="shared" si="90"/>
        <v/>
      </c>
      <c r="J1953" s="8" t="str">
        <f t="shared" si="91"/>
        <v/>
      </c>
      <c r="K1953" s="24"/>
      <c r="L1953" s="7" t="str">
        <f t="shared" si="92"/>
        <v/>
      </c>
    </row>
    <row r="1954" spans="1:12" x14ac:dyDescent="0.25">
      <c r="A1954" s="23"/>
      <c r="B1954" s="24"/>
      <c r="C1954" s="24"/>
      <c r="D1954" s="24"/>
      <c r="E1954" s="24"/>
      <c r="F1954" s="24"/>
      <c r="G1954" s="25"/>
      <c r="H1954" s="16" t="str">
        <f>IF(C1954="","",IFERROR(INDEX(Settings!$L$4:$L$56,MATCH(C1954,Settings!$K$4:$K$56,0)),"Unknown"))</f>
        <v/>
      </c>
      <c r="I1954" s="8" t="str">
        <f t="shared" si="90"/>
        <v/>
      </c>
      <c r="J1954" s="8" t="str">
        <f t="shared" si="91"/>
        <v/>
      </c>
      <c r="K1954" s="24"/>
      <c r="L1954" s="7" t="str">
        <f t="shared" si="92"/>
        <v/>
      </c>
    </row>
    <row r="1955" spans="1:12" x14ac:dyDescent="0.25">
      <c r="A1955" s="23"/>
      <c r="B1955" s="24"/>
      <c r="C1955" s="24"/>
      <c r="D1955" s="24"/>
      <c r="E1955" s="24"/>
      <c r="F1955" s="24"/>
      <c r="G1955" s="25"/>
      <c r="H1955" s="16" t="str">
        <f>IF(C1955="","",IFERROR(INDEX(Settings!$L$4:$L$56,MATCH(C1955,Settings!$K$4:$K$56,0)),"Unknown"))</f>
        <v/>
      </c>
      <c r="I1955" s="8" t="str">
        <f t="shared" si="90"/>
        <v/>
      </c>
      <c r="J1955" s="8" t="str">
        <f t="shared" si="91"/>
        <v/>
      </c>
      <c r="K1955" s="24"/>
      <c r="L1955" s="7" t="str">
        <f t="shared" si="92"/>
        <v/>
      </c>
    </row>
    <row r="1956" spans="1:12" x14ac:dyDescent="0.25">
      <c r="A1956" s="23"/>
      <c r="B1956" s="24"/>
      <c r="C1956" s="24"/>
      <c r="D1956" s="24"/>
      <c r="E1956" s="24"/>
      <c r="F1956" s="24"/>
      <c r="G1956" s="25"/>
      <c r="H1956" s="16" t="str">
        <f>IF(C1956="","",IFERROR(INDEX(Settings!$L$4:$L$56,MATCH(C1956,Settings!$K$4:$K$56,0)),"Unknown"))</f>
        <v/>
      </c>
      <c r="I1956" s="8" t="str">
        <f t="shared" si="90"/>
        <v/>
      </c>
      <c r="J1956" s="8" t="str">
        <f t="shared" si="91"/>
        <v/>
      </c>
      <c r="K1956" s="24"/>
      <c r="L1956" s="7" t="str">
        <f t="shared" si="92"/>
        <v/>
      </c>
    </row>
    <row r="1957" spans="1:12" x14ac:dyDescent="0.25">
      <c r="A1957" s="23"/>
      <c r="B1957" s="24"/>
      <c r="C1957" s="24"/>
      <c r="D1957" s="24"/>
      <c r="E1957" s="24"/>
      <c r="F1957" s="24"/>
      <c r="G1957" s="25"/>
      <c r="H1957" s="16" t="str">
        <f>IF(C1957="","",IFERROR(INDEX(Settings!$L$4:$L$56,MATCH(C1957,Settings!$K$4:$K$56,0)),"Unknown"))</f>
        <v/>
      </c>
      <c r="I1957" s="8" t="str">
        <f t="shared" si="90"/>
        <v/>
      </c>
      <c r="J1957" s="8" t="str">
        <f t="shared" si="91"/>
        <v/>
      </c>
      <c r="K1957" s="24"/>
      <c r="L1957" s="7" t="str">
        <f t="shared" si="92"/>
        <v/>
      </c>
    </row>
    <row r="1958" spans="1:12" x14ac:dyDescent="0.25">
      <c r="A1958" s="23"/>
      <c r="B1958" s="24"/>
      <c r="C1958" s="24"/>
      <c r="D1958" s="24"/>
      <c r="E1958" s="24"/>
      <c r="F1958" s="24"/>
      <c r="G1958" s="25"/>
      <c r="H1958" s="16" t="str">
        <f>IF(C1958="","",IFERROR(INDEX(Settings!$L$4:$L$56,MATCH(C1958,Settings!$K$4:$K$56,0)),"Unknown"))</f>
        <v/>
      </c>
      <c r="I1958" s="8" t="str">
        <f t="shared" si="90"/>
        <v/>
      </c>
      <c r="J1958" s="8" t="str">
        <f t="shared" si="91"/>
        <v/>
      </c>
      <c r="K1958" s="24"/>
      <c r="L1958" s="7" t="str">
        <f t="shared" si="92"/>
        <v/>
      </c>
    </row>
    <row r="1959" spans="1:12" x14ac:dyDescent="0.25">
      <c r="A1959" s="23"/>
      <c r="B1959" s="24"/>
      <c r="C1959" s="24"/>
      <c r="D1959" s="24"/>
      <c r="E1959" s="24"/>
      <c r="F1959" s="24"/>
      <c r="G1959" s="25"/>
      <c r="H1959" s="16" t="str">
        <f>IF(C1959="","",IFERROR(INDEX(Settings!$L$4:$L$56,MATCH(C1959,Settings!$K$4:$K$56,0)),"Unknown"))</f>
        <v/>
      </c>
      <c r="I1959" s="8" t="str">
        <f t="shared" si="90"/>
        <v/>
      </c>
      <c r="J1959" s="8" t="str">
        <f t="shared" si="91"/>
        <v/>
      </c>
      <c r="K1959" s="24"/>
      <c r="L1959" s="7" t="str">
        <f t="shared" si="92"/>
        <v/>
      </c>
    </row>
    <row r="1960" spans="1:12" x14ac:dyDescent="0.25">
      <c r="A1960" s="23"/>
      <c r="B1960" s="24"/>
      <c r="C1960" s="24"/>
      <c r="D1960" s="24"/>
      <c r="E1960" s="24"/>
      <c r="F1960" s="24"/>
      <c r="G1960" s="25"/>
      <c r="H1960" s="16" t="str">
        <f>IF(C1960="","",IFERROR(INDEX(Settings!$L$4:$L$56,MATCH(C1960,Settings!$K$4:$K$56,0)),"Unknown"))</f>
        <v/>
      </c>
      <c r="I1960" s="8" t="str">
        <f t="shared" si="90"/>
        <v/>
      </c>
      <c r="J1960" s="8" t="str">
        <f t="shared" si="91"/>
        <v/>
      </c>
      <c r="K1960" s="24"/>
      <c r="L1960" s="7" t="str">
        <f t="shared" si="92"/>
        <v/>
      </c>
    </row>
    <row r="1961" spans="1:12" x14ac:dyDescent="0.25">
      <c r="A1961" s="23"/>
      <c r="B1961" s="24"/>
      <c r="C1961" s="24"/>
      <c r="D1961" s="24"/>
      <c r="E1961" s="24"/>
      <c r="F1961" s="24"/>
      <c r="G1961" s="25"/>
      <c r="H1961" s="16" t="str">
        <f>IF(C1961="","",IFERROR(INDEX(Settings!$L$4:$L$56,MATCH(C1961,Settings!$K$4:$K$56,0)),"Unknown"))</f>
        <v/>
      </c>
      <c r="I1961" s="8" t="str">
        <f t="shared" si="90"/>
        <v/>
      </c>
      <c r="J1961" s="8" t="str">
        <f t="shared" si="91"/>
        <v/>
      </c>
      <c r="K1961" s="24"/>
      <c r="L1961" s="7" t="str">
        <f t="shared" si="92"/>
        <v/>
      </c>
    </row>
    <row r="1962" spans="1:12" x14ac:dyDescent="0.25">
      <c r="A1962" s="23"/>
      <c r="B1962" s="24"/>
      <c r="C1962" s="24"/>
      <c r="D1962" s="24"/>
      <c r="E1962" s="24"/>
      <c r="F1962" s="24"/>
      <c r="G1962" s="25"/>
      <c r="H1962" s="16" t="str">
        <f>IF(C1962="","",IFERROR(INDEX(Settings!$L$4:$L$56,MATCH(C1962,Settings!$K$4:$K$56,0)),"Unknown"))</f>
        <v/>
      </c>
      <c r="I1962" s="8" t="str">
        <f t="shared" si="90"/>
        <v/>
      </c>
      <c r="J1962" s="8" t="str">
        <f t="shared" si="91"/>
        <v/>
      </c>
      <c r="K1962" s="24"/>
      <c r="L1962" s="7" t="str">
        <f t="shared" si="92"/>
        <v/>
      </c>
    </row>
    <row r="1963" spans="1:12" x14ac:dyDescent="0.25">
      <c r="A1963" s="23"/>
      <c r="B1963" s="24"/>
      <c r="C1963" s="24"/>
      <c r="D1963" s="24"/>
      <c r="E1963" s="24"/>
      <c r="F1963" s="24"/>
      <c r="G1963" s="25"/>
      <c r="H1963" s="16" t="str">
        <f>IF(C1963="","",IFERROR(INDEX(Settings!$L$4:$L$56,MATCH(C1963,Settings!$K$4:$K$56,0)),"Unknown"))</f>
        <v/>
      </c>
      <c r="I1963" s="8" t="str">
        <f t="shared" si="90"/>
        <v/>
      </c>
      <c r="J1963" s="8" t="str">
        <f t="shared" si="91"/>
        <v/>
      </c>
      <c r="K1963" s="24"/>
      <c r="L1963" s="7" t="str">
        <f t="shared" si="92"/>
        <v/>
      </c>
    </row>
    <row r="1964" spans="1:12" x14ac:dyDescent="0.25">
      <c r="A1964" s="23"/>
      <c r="B1964" s="24"/>
      <c r="C1964" s="24"/>
      <c r="D1964" s="24"/>
      <c r="E1964" s="24"/>
      <c r="F1964" s="24"/>
      <c r="G1964" s="25"/>
      <c r="H1964" s="16" t="str">
        <f>IF(C1964="","",IFERROR(INDEX(Settings!$L$4:$L$56,MATCH(C1964,Settings!$K$4:$K$56,0)),"Unknown"))</f>
        <v/>
      </c>
      <c r="I1964" s="8" t="str">
        <f t="shared" si="90"/>
        <v/>
      </c>
      <c r="J1964" s="8" t="str">
        <f t="shared" si="91"/>
        <v/>
      </c>
      <c r="K1964" s="24"/>
      <c r="L1964" s="7" t="str">
        <f t="shared" si="92"/>
        <v/>
      </c>
    </row>
    <row r="1965" spans="1:12" x14ac:dyDescent="0.25">
      <c r="A1965" s="23"/>
      <c r="B1965" s="24"/>
      <c r="C1965" s="24"/>
      <c r="D1965" s="24"/>
      <c r="E1965" s="24"/>
      <c r="F1965" s="24"/>
      <c r="G1965" s="25"/>
      <c r="H1965" s="16" t="str">
        <f>IF(C1965="","",IFERROR(INDEX(Settings!$L$4:$L$56,MATCH(C1965,Settings!$K$4:$K$56,0)),"Unknown"))</f>
        <v/>
      </c>
      <c r="I1965" s="8" t="str">
        <f t="shared" si="90"/>
        <v/>
      </c>
      <c r="J1965" s="8" t="str">
        <f t="shared" si="91"/>
        <v/>
      </c>
      <c r="K1965" s="24"/>
      <c r="L1965" s="7" t="str">
        <f t="shared" si="92"/>
        <v/>
      </c>
    </row>
    <row r="1966" spans="1:12" x14ac:dyDescent="0.25">
      <c r="A1966" s="23"/>
      <c r="B1966" s="24"/>
      <c r="C1966" s="24"/>
      <c r="D1966" s="24"/>
      <c r="E1966" s="24"/>
      <c r="F1966" s="24"/>
      <c r="G1966" s="25"/>
      <c r="H1966" s="16" t="str">
        <f>IF(C1966="","",IFERROR(INDEX(Settings!$L$4:$L$56,MATCH(C1966,Settings!$K$4:$K$56,0)),"Unknown"))</f>
        <v/>
      </c>
      <c r="I1966" s="8" t="str">
        <f t="shared" si="90"/>
        <v/>
      </c>
      <c r="J1966" s="8" t="str">
        <f t="shared" si="91"/>
        <v/>
      </c>
      <c r="K1966" s="24"/>
      <c r="L1966" s="7" t="str">
        <f t="shared" si="92"/>
        <v/>
      </c>
    </row>
    <row r="1967" spans="1:12" x14ac:dyDescent="0.25">
      <c r="A1967" s="23"/>
      <c r="B1967" s="24"/>
      <c r="C1967" s="24"/>
      <c r="D1967" s="24"/>
      <c r="E1967" s="24"/>
      <c r="F1967" s="24"/>
      <c r="G1967" s="25"/>
      <c r="H1967" s="16" t="str">
        <f>IF(C1967="","",IFERROR(INDEX(Settings!$L$4:$L$56,MATCH(C1967,Settings!$K$4:$K$56,0)),"Unknown"))</f>
        <v/>
      </c>
      <c r="I1967" s="8" t="str">
        <f t="shared" si="90"/>
        <v/>
      </c>
      <c r="J1967" s="8" t="str">
        <f t="shared" si="91"/>
        <v/>
      </c>
      <c r="K1967" s="24"/>
      <c r="L1967" s="7" t="str">
        <f t="shared" si="92"/>
        <v/>
      </c>
    </row>
    <row r="1968" spans="1:12" x14ac:dyDescent="0.25">
      <c r="A1968" s="23"/>
      <c r="B1968" s="24"/>
      <c r="C1968" s="24"/>
      <c r="D1968" s="24"/>
      <c r="E1968" s="24"/>
      <c r="F1968" s="24"/>
      <c r="G1968" s="25"/>
      <c r="H1968" s="16" t="str">
        <f>IF(C1968="","",IFERROR(INDEX(Settings!$L$4:$L$56,MATCH(C1968,Settings!$K$4:$K$56,0)),"Unknown"))</f>
        <v/>
      </c>
      <c r="I1968" s="8" t="str">
        <f t="shared" si="90"/>
        <v/>
      </c>
      <c r="J1968" s="8" t="str">
        <f t="shared" si="91"/>
        <v/>
      </c>
      <c r="K1968" s="24"/>
      <c r="L1968" s="7" t="str">
        <f t="shared" si="92"/>
        <v/>
      </c>
    </row>
    <row r="1969" spans="1:12" x14ac:dyDescent="0.25">
      <c r="A1969" s="23"/>
      <c r="B1969" s="24"/>
      <c r="C1969" s="24"/>
      <c r="D1969" s="24"/>
      <c r="E1969" s="24"/>
      <c r="F1969" s="24"/>
      <c r="G1969" s="25"/>
      <c r="H1969" s="16" t="str">
        <f>IF(C1969="","",IFERROR(INDEX(Settings!$L$4:$L$56,MATCH(C1969,Settings!$K$4:$K$56,0)),"Unknown"))</f>
        <v/>
      </c>
      <c r="I1969" s="8" t="str">
        <f t="shared" si="90"/>
        <v/>
      </c>
      <c r="J1969" s="8" t="str">
        <f t="shared" si="91"/>
        <v/>
      </c>
      <c r="K1969" s="24"/>
      <c r="L1969" s="7" t="str">
        <f t="shared" si="92"/>
        <v/>
      </c>
    </row>
    <row r="1970" spans="1:12" x14ac:dyDescent="0.25">
      <c r="A1970" s="23"/>
      <c r="B1970" s="24"/>
      <c r="C1970" s="24"/>
      <c r="D1970" s="24"/>
      <c r="E1970" s="24"/>
      <c r="F1970" s="24"/>
      <c r="G1970" s="25"/>
      <c r="H1970" s="16" t="str">
        <f>IF(C1970="","",IFERROR(INDEX(Settings!$L$4:$L$56,MATCH(C1970,Settings!$K$4:$K$56,0)),"Unknown"))</f>
        <v/>
      </c>
      <c r="I1970" s="8" t="str">
        <f t="shared" si="90"/>
        <v/>
      </c>
      <c r="J1970" s="8" t="str">
        <f t="shared" si="91"/>
        <v/>
      </c>
      <c r="K1970" s="24"/>
      <c r="L1970" s="7" t="str">
        <f t="shared" si="92"/>
        <v/>
      </c>
    </row>
    <row r="1971" spans="1:12" x14ac:dyDescent="0.25">
      <c r="A1971" s="23"/>
      <c r="B1971" s="24"/>
      <c r="C1971" s="24"/>
      <c r="D1971" s="24"/>
      <c r="E1971" s="24"/>
      <c r="F1971" s="24"/>
      <c r="G1971" s="25"/>
      <c r="H1971" s="16" t="str">
        <f>IF(C1971="","",IFERROR(INDEX(Settings!$L$4:$L$56,MATCH(C1971,Settings!$K$4:$K$56,0)),"Unknown"))</f>
        <v/>
      </c>
      <c r="I1971" s="8" t="str">
        <f t="shared" si="90"/>
        <v/>
      </c>
      <c r="J1971" s="8" t="str">
        <f t="shared" si="91"/>
        <v/>
      </c>
      <c r="K1971" s="24"/>
      <c r="L1971" s="7" t="str">
        <f t="shared" si="92"/>
        <v/>
      </c>
    </row>
    <row r="1972" spans="1:12" x14ac:dyDescent="0.25">
      <c r="A1972" s="23"/>
      <c r="B1972" s="24"/>
      <c r="C1972" s="24"/>
      <c r="D1972" s="24"/>
      <c r="E1972" s="24"/>
      <c r="F1972" s="24"/>
      <c r="G1972" s="25"/>
      <c r="H1972" s="16" t="str">
        <f>IF(C1972="","",IFERROR(INDEX(Settings!$L$4:$L$56,MATCH(C1972,Settings!$K$4:$K$56,0)),"Unknown"))</f>
        <v/>
      </c>
      <c r="I1972" s="8" t="str">
        <f t="shared" si="90"/>
        <v/>
      </c>
      <c r="J1972" s="8" t="str">
        <f t="shared" si="91"/>
        <v/>
      </c>
      <c r="K1972" s="24"/>
      <c r="L1972" s="7" t="str">
        <f t="shared" si="92"/>
        <v/>
      </c>
    </row>
    <row r="1973" spans="1:12" x14ac:dyDescent="0.25">
      <c r="A1973" s="23"/>
      <c r="B1973" s="24"/>
      <c r="C1973" s="24"/>
      <c r="D1973" s="24"/>
      <c r="E1973" s="24"/>
      <c r="F1973" s="24"/>
      <c r="G1973" s="25"/>
      <c r="H1973" s="16" t="str">
        <f>IF(C1973="","",IFERROR(INDEX(Settings!$L$4:$L$56,MATCH(C1973,Settings!$K$4:$K$56,0)),"Unknown"))</f>
        <v/>
      </c>
      <c r="I1973" s="8" t="str">
        <f t="shared" si="90"/>
        <v/>
      </c>
      <c r="J1973" s="8" t="str">
        <f t="shared" si="91"/>
        <v/>
      </c>
      <c r="K1973" s="24"/>
      <c r="L1973" s="7" t="str">
        <f t="shared" si="92"/>
        <v/>
      </c>
    </row>
    <row r="1974" spans="1:12" x14ac:dyDescent="0.25">
      <c r="A1974" s="23"/>
      <c r="B1974" s="24"/>
      <c r="C1974" s="24"/>
      <c r="D1974" s="24"/>
      <c r="E1974" s="24"/>
      <c r="F1974" s="24"/>
      <c r="G1974" s="25"/>
      <c r="H1974" s="16" t="str">
        <f>IF(C1974="","",IFERROR(INDEX(Settings!$L$4:$L$56,MATCH(C1974,Settings!$K$4:$K$56,0)),"Unknown"))</f>
        <v/>
      </c>
      <c r="I1974" s="8" t="str">
        <f t="shared" si="90"/>
        <v/>
      </c>
      <c r="J1974" s="8" t="str">
        <f t="shared" si="91"/>
        <v/>
      </c>
      <c r="K1974" s="24"/>
      <c r="L1974" s="7" t="str">
        <f t="shared" si="92"/>
        <v/>
      </c>
    </row>
    <row r="1975" spans="1:12" x14ac:dyDescent="0.25">
      <c r="A1975" s="23"/>
      <c r="B1975" s="24"/>
      <c r="C1975" s="24"/>
      <c r="D1975" s="24"/>
      <c r="E1975" s="24"/>
      <c r="F1975" s="24"/>
      <c r="G1975" s="25"/>
      <c r="H1975" s="16" t="str">
        <f>IF(C1975="","",IFERROR(INDEX(Settings!$L$4:$L$56,MATCH(C1975,Settings!$K$4:$K$56,0)),"Unknown"))</f>
        <v/>
      </c>
      <c r="I1975" s="8" t="str">
        <f t="shared" si="90"/>
        <v/>
      </c>
      <c r="J1975" s="8" t="str">
        <f t="shared" si="91"/>
        <v/>
      </c>
      <c r="K1975" s="24"/>
      <c r="L1975" s="7" t="str">
        <f t="shared" si="92"/>
        <v/>
      </c>
    </row>
    <row r="1976" spans="1:12" x14ac:dyDescent="0.25">
      <c r="A1976" s="23"/>
      <c r="B1976" s="24"/>
      <c r="C1976" s="24"/>
      <c r="D1976" s="24"/>
      <c r="E1976" s="24"/>
      <c r="F1976" s="24"/>
      <c r="G1976" s="25"/>
      <c r="H1976" s="16" t="str">
        <f>IF(C1976="","",IFERROR(INDEX(Settings!$L$4:$L$56,MATCH(C1976,Settings!$K$4:$K$56,0)),"Unknown"))</f>
        <v/>
      </c>
      <c r="I1976" s="8" t="str">
        <f t="shared" si="90"/>
        <v/>
      </c>
      <c r="J1976" s="8" t="str">
        <f t="shared" si="91"/>
        <v/>
      </c>
      <c r="K1976" s="24"/>
      <c r="L1976" s="7" t="str">
        <f t="shared" si="92"/>
        <v/>
      </c>
    </row>
    <row r="1977" spans="1:12" x14ac:dyDescent="0.25">
      <c r="A1977" s="23"/>
      <c r="B1977" s="24"/>
      <c r="C1977" s="24"/>
      <c r="D1977" s="24"/>
      <c r="E1977" s="24"/>
      <c r="F1977" s="24"/>
      <c r="G1977" s="25"/>
      <c r="H1977" s="16" t="str">
        <f>IF(C1977="","",IFERROR(INDEX(Settings!$L$4:$L$56,MATCH(C1977,Settings!$K$4:$K$56,0)),"Unknown"))</f>
        <v/>
      </c>
      <c r="I1977" s="8" t="str">
        <f t="shared" si="90"/>
        <v/>
      </c>
      <c r="J1977" s="8" t="str">
        <f t="shared" si="91"/>
        <v/>
      </c>
      <c r="K1977" s="24"/>
      <c r="L1977" s="7" t="str">
        <f t="shared" si="92"/>
        <v/>
      </c>
    </row>
    <row r="1978" spans="1:12" x14ac:dyDescent="0.25">
      <c r="A1978" s="23"/>
      <c r="B1978" s="24"/>
      <c r="C1978" s="24"/>
      <c r="D1978" s="24"/>
      <c r="E1978" s="24"/>
      <c r="F1978" s="24"/>
      <c r="G1978" s="25"/>
      <c r="H1978" s="16" t="str">
        <f>IF(C1978="","",IFERROR(INDEX(Settings!$L$4:$L$56,MATCH(C1978,Settings!$K$4:$K$56,0)),"Unknown"))</f>
        <v/>
      </c>
      <c r="I1978" s="8" t="str">
        <f t="shared" si="90"/>
        <v/>
      </c>
      <c r="J1978" s="8" t="str">
        <f t="shared" si="91"/>
        <v/>
      </c>
      <c r="K1978" s="24"/>
      <c r="L1978" s="7" t="str">
        <f t="shared" si="92"/>
        <v/>
      </c>
    </row>
    <row r="1979" spans="1:12" x14ac:dyDescent="0.25">
      <c r="A1979" s="23"/>
      <c r="B1979" s="24"/>
      <c r="C1979" s="24"/>
      <c r="D1979" s="24"/>
      <c r="E1979" s="24"/>
      <c r="F1979" s="24"/>
      <c r="G1979" s="25"/>
      <c r="H1979" s="16" t="str">
        <f>IF(C1979="","",IFERROR(INDEX(Settings!$L$4:$L$56,MATCH(C1979,Settings!$K$4:$K$56,0)),"Unknown"))</f>
        <v/>
      </c>
      <c r="I1979" s="8" t="str">
        <f t="shared" si="90"/>
        <v/>
      </c>
      <c r="J1979" s="8" t="str">
        <f t="shared" si="91"/>
        <v/>
      </c>
      <c r="K1979" s="24"/>
      <c r="L1979" s="7" t="str">
        <f t="shared" si="92"/>
        <v/>
      </c>
    </row>
    <row r="1980" spans="1:12" x14ac:dyDescent="0.25">
      <c r="A1980" s="23"/>
      <c r="B1980" s="24"/>
      <c r="C1980" s="24"/>
      <c r="D1980" s="24"/>
      <c r="E1980" s="24"/>
      <c r="F1980" s="24"/>
      <c r="G1980" s="25"/>
      <c r="H1980" s="16" t="str">
        <f>IF(C1980="","",IFERROR(INDEX(Settings!$L$4:$L$56,MATCH(C1980,Settings!$K$4:$K$56,0)),"Unknown"))</f>
        <v/>
      </c>
      <c r="I1980" s="8" t="str">
        <f t="shared" si="90"/>
        <v/>
      </c>
      <c r="J1980" s="8" t="str">
        <f t="shared" si="91"/>
        <v/>
      </c>
      <c r="K1980" s="24"/>
      <c r="L1980" s="7" t="str">
        <f t="shared" si="92"/>
        <v/>
      </c>
    </row>
    <row r="1981" spans="1:12" x14ac:dyDescent="0.25">
      <c r="A1981" s="23"/>
      <c r="B1981" s="24"/>
      <c r="C1981" s="24"/>
      <c r="D1981" s="24"/>
      <c r="E1981" s="24"/>
      <c r="F1981" s="24"/>
      <c r="G1981" s="25"/>
      <c r="H1981" s="16" t="str">
        <f>IF(C1981="","",IFERROR(INDEX(Settings!$L$4:$L$56,MATCH(C1981,Settings!$K$4:$K$56,0)),"Unknown"))</f>
        <v/>
      </c>
      <c r="I1981" s="8" t="str">
        <f t="shared" si="90"/>
        <v/>
      </c>
      <c r="J1981" s="8" t="str">
        <f t="shared" si="91"/>
        <v/>
      </c>
      <c r="K1981" s="24"/>
      <c r="L1981" s="7" t="str">
        <f t="shared" si="92"/>
        <v/>
      </c>
    </row>
    <row r="1982" spans="1:12" x14ac:dyDescent="0.25">
      <c r="A1982" s="23"/>
      <c r="B1982" s="24"/>
      <c r="C1982" s="24"/>
      <c r="D1982" s="24"/>
      <c r="E1982" s="24"/>
      <c r="F1982" s="24"/>
      <c r="G1982" s="25"/>
      <c r="H1982" s="16" t="str">
        <f>IF(C1982="","",IFERROR(INDEX(Settings!$L$4:$L$56,MATCH(C1982,Settings!$K$4:$K$56,0)),"Unknown"))</f>
        <v/>
      </c>
      <c r="I1982" s="8" t="str">
        <f t="shared" si="90"/>
        <v/>
      </c>
      <c r="J1982" s="8" t="str">
        <f t="shared" si="91"/>
        <v/>
      </c>
      <c r="K1982" s="24"/>
      <c r="L1982" s="7" t="str">
        <f t="shared" si="92"/>
        <v/>
      </c>
    </row>
    <row r="1983" spans="1:12" x14ac:dyDescent="0.25">
      <c r="A1983" s="23"/>
      <c r="B1983" s="24"/>
      <c r="C1983" s="24"/>
      <c r="D1983" s="24"/>
      <c r="E1983" s="24"/>
      <c r="F1983" s="24"/>
      <c r="G1983" s="25"/>
      <c r="H1983" s="16" t="str">
        <f>IF(C1983="","",IFERROR(INDEX(Settings!$L$4:$L$56,MATCH(C1983,Settings!$K$4:$K$56,0)),"Unknown"))</f>
        <v/>
      </c>
      <c r="I1983" s="8" t="str">
        <f t="shared" si="90"/>
        <v/>
      </c>
      <c r="J1983" s="8" t="str">
        <f t="shared" si="91"/>
        <v/>
      </c>
      <c r="K1983" s="24"/>
      <c r="L1983" s="7" t="str">
        <f t="shared" si="92"/>
        <v/>
      </c>
    </row>
    <row r="1984" spans="1:12" x14ac:dyDescent="0.25">
      <c r="A1984" s="23"/>
      <c r="B1984" s="24"/>
      <c r="C1984" s="24"/>
      <c r="D1984" s="24"/>
      <c r="E1984" s="24"/>
      <c r="F1984" s="24"/>
      <c r="G1984" s="25"/>
      <c r="H1984" s="16" t="str">
        <f>IF(C1984="","",IFERROR(INDEX(Settings!$L$4:$L$56,MATCH(C1984,Settings!$K$4:$K$56,0)),"Unknown"))</f>
        <v/>
      </c>
      <c r="I1984" s="8" t="str">
        <f t="shared" si="90"/>
        <v/>
      </c>
      <c r="J1984" s="8" t="str">
        <f t="shared" si="91"/>
        <v/>
      </c>
      <c r="K1984" s="24"/>
      <c r="L1984" s="7" t="str">
        <f t="shared" si="92"/>
        <v/>
      </c>
    </row>
    <row r="1985" spans="1:12" x14ac:dyDescent="0.25">
      <c r="A1985" s="23"/>
      <c r="B1985" s="24"/>
      <c r="C1985" s="24"/>
      <c r="D1985" s="24"/>
      <c r="E1985" s="24"/>
      <c r="F1985" s="24"/>
      <c r="G1985" s="25"/>
      <c r="H1985" s="16" t="str">
        <f>IF(C1985="","",IFERROR(INDEX(Settings!$L$4:$L$56,MATCH(C1985,Settings!$K$4:$K$56,0)),"Unknown"))</f>
        <v/>
      </c>
      <c r="I1985" s="8" t="str">
        <f t="shared" si="90"/>
        <v/>
      </c>
      <c r="J1985" s="8" t="str">
        <f t="shared" si="91"/>
        <v/>
      </c>
      <c r="K1985" s="24"/>
      <c r="L1985" s="7" t="str">
        <f t="shared" si="92"/>
        <v/>
      </c>
    </row>
    <row r="1986" spans="1:12" x14ac:dyDescent="0.25">
      <c r="A1986" s="23"/>
      <c r="B1986" s="24"/>
      <c r="C1986" s="24"/>
      <c r="D1986" s="24"/>
      <c r="E1986" s="24"/>
      <c r="F1986" s="24"/>
      <c r="G1986" s="25"/>
      <c r="H1986" s="16" t="str">
        <f>IF(C1986="","",IFERROR(INDEX(Settings!$L$4:$L$56,MATCH(C1986,Settings!$K$4:$K$56,0)),"Unknown"))</f>
        <v/>
      </c>
      <c r="I1986" s="8" t="str">
        <f t="shared" si="90"/>
        <v/>
      </c>
      <c r="J1986" s="8" t="str">
        <f t="shared" si="91"/>
        <v/>
      </c>
      <c r="K1986" s="24"/>
      <c r="L1986" s="7" t="str">
        <f t="shared" si="92"/>
        <v/>
      </c>
    </row>
    <row r="1987" spans="1:12" x14ac:dyDescent="0.25">
      <c r="A1987" s="23"/>
      <c r="B1987" s="24"/>
      <c r="C1987" s="24"/>
      <c r="D1987" s="24"/>
      <c r="E1987" s="24"/>
      <c r="F1987" s="24"/>
      <c r="G1987" s="25"/>
      <c r="H1987" s="16" t="str">
        <f>IF(C1987="","",IFERROR(INDEX(Settings!$L$4:$L$56,MATCH(C1987,Settings!$K$4:$K$56,0)),"Unknown"))</f>
        <v/>
      </c>
      <c r="I1987" s="8" t="str">
        <f t="shared" si="90"/>
        <v/>
      </c>
      <c r="J1987" s="8" t="str">
        <f t="shared" si="91"/>
        <v/>
      </c>
      <c r="K1987" s="24"/>
      <c r="L1987" s="7" t="str">
        <f t="shared" si="92"/>
        <v/>
      </c>
    </row>
    <row r="1988" spans="1:12" x14ac:dyDescent="0.25">
      <c r="A1988" s="23"/>
      <c r="B1988" s="24"/>
      <c r="C1988" s="24"/>
      <c r="D1988" s="24"/>
      <c r="E1988" s="24"/>
      <c r="F1988" s="24"/>
      <c r="G1988" s="25"/>
      <c r="H1988" s="16" t="str">
        <f>IF(C1988="","",IFERROR(INDEX(Settings!$L$4:$L$56,MATCH(C1988,Settings!$K$4:$K$56,0)),"Unknown"))</f>
        <v/>
      </c>
      <c r="I1988" s="8" t="str">
        <f t="shared" si="90"/>
        <v/>
      </c>
      <c r="J1988" s="8" t="str">
        <f t="shared" si="91"/>
        <v/>
      </c>
      <c r="K1988" s="24"/>
      <c r="L1988" s="7" t="str">
        <f t="shared" si="92"/>
        <v/>
      </c>
    </row>
    <row r="1989" spans="1:12" x14ac:dyDescent="0.25">
      <c r="A1989" s="23"/>
      <c r="B1989" s="24"/>
      <c r="C1989" s="24"/>
      <c r="D1989" s="24"/>
      <c r="E1989" s="24"/>
      <c r="F1989" s="24"/>
      <c r="G1989" s="25"/>
      <c r="H1989" s="16" t="str">
        <f>IF(C1989="","",IFERROR(INDEX(Settings!$L$4:$L$56,MATCH(C1989,Settings!$K$4:$K$56,0)),"Unknown"))</f>
        <v/>
      </c>
      <c r="I1989" s="8" t="str">
        <f t="shared" si="90"/>
        <v/>
      </c>
      <c r="J1989" s="8" t="str">
        <f t="shared" si="91"/>
        <v/>
      </c>
      <c r="K1989" s="24"/>
      <c r="L1989" s="7" t="str">
        <f t="shared" si="92"/>
        <v/>
      </c>
    </row>
    <row r="1990" spans="1:12" x14ac:dyDescent="0.25">
      <c r="A1990" s="23"/>
      <c r="B1990" s="24"/>
      <c r="C1990" s="24"/>
      <c r="D1990" s="24"/>
      <c r="E1990" s="24"/>
      <c r="F1990" s="24"/>
      <c r="G1990" s="25"/>
      <c r="H1990" s="16" t="str">
        <f>IF(C1990="","",IFERROR(INDEX(Settings!$L$4:$L$56,MATCH(C1990,Settings!$K$4:$K$56,0)),"Unknown"))</f>
        <v/>
      </c>
      <c r="I1990" s="8" t="str">
        <f t="shared" ref="I1990:I2005" si="93">IF(A1990="","",MONTH(A1990))</f>
        <v/>
      </c>
      <c r="J1990" s="8" t="str">
        <f t="shared" ref="J1990:J2005" si="94">IF(A1990="","",YEAR(A1990))</f>
        <v/>
      </c>
      <c r="K1990" s="24"/>
      <c r="L1990" s="7" t="str">
        <f t="shared" ref="L1990:L2005" si="95">IF(OR(B1990="",C1990=""),"",IF(AND(B1990="Income",H1990&lt;&gt;"Income"),"Category is not an Income category",IF(AND(B1990="Expense",H1990="Income"),"Category is an Income category","OK")))</f>
        <v/>
      </c>
    </row>
    <row r="1991" spans="1:12" x14ac:dyDescent="0.25">
      <c r="A1991" s="23"/>
      <c r="B1991" s="24"/>
      <c r="C1991" s="24"/>
      <c r="D1991" s="24"/>
      <c r="E1991" s="24"/>
      <c r="F1991" s="24"/>
      <c r="G1991" s="25"/>
      <c r="H1991" s="16" t="str">
        <f>IF(C1991="","",IFERROR(INDEX(Settings!$L$4:$L$56,MATCH(C1991,Settings!$K$4:$K$56,0)),"Unknown"))</f>
        <v/>
      </c>
      <c r="I1991" s="8" t="str">
        <f t="shared" si="93"/>
        <v/>
      </c>
      <c r="J1991" s="8" t="str">
        <f t="shared" si="94"/>
        <v/>
      </c>
      <c r="K1991" s="24"/>
      <c r="L1991" s="7" t="str">
        <f t="shared" si="95"/>
        <v/>
      </c>
    </row>
    <row r="1992" spans="1:12" x14ac:dyDescent="0.25">
      <c r="A1992" s="23"/>
      <c r="B1992" s="24"/>
      <c r="C1992" s="24"/>
      <c r="D1992" s="24"/>
      <c r="E1992" s="24"/>
      <c r="F1992" s="24"/>
      <c r="G1992" s="25"/>
      <c r="H1992" s="16" t="str">
        <f>IF(C1992="","",IFERROR(INDEX(Settings!$L$4:$L$56,MATCH(C1992,Settings!$K$4:$K$56,0)),"Unknown"))</f>
        <v/>
      </c>
      <c r="I1992" s="8" t="str">
        <f t="shared" si="93"/>
        <v/>
      </c>
      <c r="J1992" s="8" t="str">
        <f t="shared" si="94"/>
        <v/>
      </c>
      <c r="K1992" s="24"/>
      <c r="L1992" s="7" t="str">
        <f t="shared" si="95"/>
        <v/>
      </c>
    </row>
    <row r="1993" spans="1:12" x14ac:dyDescent="0.25">
      <c r="A1993" s="23"/>
      <c r="B1993" s="24"/>
      <c r="C1993" s="24"/>
      <c r="D1993" s="24"/>
      <c r="E1993" s="24"/>
      <c r="F1993" s="24"/>
      <c r="G1993" s="25"/>
      <c r="H1993" s="16" t="str">
        <f>IF(C1993="","",IFERROR(INDEX(Settings!$L$4:$L$56,MATCH(C1993,Settings!$K$4:$K$56,0)),"Unknown"))</f>
        <v/>
      </c>
      <c r="I1993" s="8" t="str">
        <f t="shared" si="93"/>
        <v/>
      </c>
      <c r="J1993" s="8" t="str">
        <f t="shared" si="94"/>
        <v/>
      </c>
      <c r="K1993" s="24"/>
      <c r="L1993" s="7" t="str">
        <f t="shared" si="95"/>
        <v/>
      </c>
    </row>
    <row r="1994" spans="1:12" x14ac:dyDescent="0.25">
      <c r="A1994" s="23"/>
      <c r="B1994" s="24"/>
      <c r="C1994" s="24"/>
      <c r="D1994" s="24"/>
      <c r="E1994" s="24"/>
      <c r="F1994" s="24"/>
      <c r="G1994" s="25"/>
      <c r="H1994" s="16" t="str">
        <f>IF(C1994="","",IFERROR(INDEX(Settings!$L$4:$L$56,MATCH(C1994,Settings!$K$4:$K$56,0)),"Unknown"))</f>
        <v/>
      </c>
      <c r="I1994" s="8" t="str">
        <f t="shared" si="93"/>
        <v/>
      </c>
      <c r="J1994" s="8" t="str">
        <f t="shared" si="94"/>
        <v/>
      </c>
      <c r="K1994" s="24"/>
      <c r="L1994" s="7" t="str">
        <f t="shared" si="95"/>
        <v/>
      </c>
    </row>
    <row r="1995" spans="1:12" x14ac:dyDescent="0.25">
      <c r="A1995" s="23"/>
      <c r="B1995" s="24"/>
      <c r="C1995" s="24"/>
      <c r="D1995" s="24"/>
      <c r="E1995" s="24"/>
      <c r="F1995" s="24"/>
      <c r="G1995" s="25"/>
      <c r="H1995" s="16" t="str">
        <f>IF(C1995="","",IFERROR(INDEX(Settings!$L$4:$L$56,MATCH(C1995,Settings!$K$4:$K$56,0)),"Unknown"))</f>
        <v/>
      </c>
      <c r="I1995" s="8" t="str">
        <f t="shared" si="93"/>
        <v/>
      </c>
      <c r="J1995" s="8" t="str">
        <f t="shared" si="94"/>
        <v/>
      </c>
      <c r="K1995" s="24"/>
      <c r="L1995" s="7" t="str">
        <f t="shared" si="95"/>
        <v/>
      </c>
    </row>
    <row r="1996" spans="1:12" x14ac:dyDescent="0.25">
      <c r="A1996" s="23"/>
      <c r="B1996" s="24"/>
      <c r="C1996" s="24"/>
      <c r="D1996" s="24"/>
      <c r="E1996" s="24"/>
      <c r="F1996" s="24"/>
      <c r="G1996" s="25"/>
      <c r="H1996" s="16" t="str">
        <f>IF(C1996="","",IFERROR(INDEX(Settings!$L$4:$L$56,MATCH(C1996,Settings!$K$4:$K$56,0)),"Unknown"))</f>
        <v/>
      </c>
      <c r="I1996" s="8" t="str">
        <f t="shared" si="93"/>
        <v/>
      </c>
      <c r="J1996" s="8" t="str">
        <f t="shared" si="94"/>
        <v/>
      </c>
      <c r="K1996" s="24"/>
      <c r="L1996" s="7" t="str">
        <f t="shared" si="95"/>
        <v/>
      </c>
    </row>
    <row r="1997" spans="1:12" x14ac:dyDescent="0.25">
      <c r="A1997" s="23"/>
      <c r="B1997" s="24"/>
      <c r="C1997" s="24"/>
      <c r="D1997" s="24"/>
      <c r="E1997" s="24"/>
      <c r="F1997" s="24"/>
      <c r="G1997" s="25"/>
      <c r="H1997" s="16" t="str">
        <f>IF(C1997="","",IFERROR(INDEX(Settings!$L$4:$L$56,MATCH(C1997,Settings!$K$4:$K$56,0)),"Unknown"))</f>
        <v/>
      </c>
      <c r="I1997" s="8" t="str">
        <f t="shared" si="93"/>
        <v/>
      </c>
      <c r="J1997" s="8" t="str">
        <f t="shared" si="94"/>
        <v/>
      </c>
      <c r="K1997" s="24"/>
      <c r="L1997" s="7" t="str">
        <f t="shared" si="95"/>
        <v/>
      </c>
    </row>
    <row r="1998" spans="1:12" x14ac:dyDescent="0.25">
      <c r="A1998" s="23"/>
      <c r="B1998" s="24"/>
      <c r="C1998" s="24"/>
      <c r="D1998" s="24"/>
      <c r="E1998" s="24"/>
      <c r="F1998" s="24"/>
      <c r="G1998" s="25"/>
      <c r="H1998" s="16" t="str">
        <f>IF(C1998="","",IFERROR(INDEX(Settings!$L$4:$L$56,MATCH(C1998,Settings!$K$4:$K$56,0)),"Unknown"))</f>
        <v/>
      </c>
      <c r="I1998" s="8" t="str">
        <f t="shared" si="93"/>
        <v/>
      </c>
      <c r="J1998" s="8" t="str">
        <f t="shared" si="94"/>
        <v/>
      </c>
      <c r="K1998" s="24"/>
      <c r="L1998" s="7" t="str">
        <f t="shared" si="95"/>
        <v/>
      </c>
    </row>
    <row r="1999" spans="1:12" x14ac:dyDescent="0.25">
      <c r="A1999" s="23"/>
      <c r="B1999" s="24"/>
      <c r="C1999" s="24"/>
      <c r="D1999" s="24"/>
      <c r="E1999" s="24"/>
      <c r="F1999" s="24"/>
      <c r="G1999" s="25"/>
      <c r="H1999" s="16" t="str">
        <f>IF(C1999="","",IFERROR(INDEX(Settings!$L$4:$L$56,MATCH(C1999,Settings!$K$4:$K$56,0)),"Unknown"))</f>
        <v/>
      </c>
      <c r="I1999" s="8" t="str">
        <f t="shared" si="93"/>
        <v/>
      </c>
      <c r="J1999" s="8" t="str">
        <f t="shared" si="94"/>
        <v/>
      </c>
      <c r="K1999" s="24"/>
      <c r="L1999" s="7" t="str">
        <f t="shared" si="95"/>
        <v/>
      </c>
    </row>
    <row r="2000" spans="1:12" x14ac:dyDescent="0.25">
      <c r="A2000" s="23"/>
      <c r="B2000" s="24"/>
      <c r="C2000" s="24"/>
      <c r="D2000" s="24"/>
      <c r="E2000" s="24"/>
      <c r="F2000" s="24"/>
      <c r="G2000" s="25"/>
      <c r="H2000" s="16" t="str">
        <f>IF(C2000="","",IFERROR(INDEX(Settings!$L$4:$L$56,MATCH(C2000,Settings!$K$4:$K$56,0)),"Unknown"))</f>
        <v/>
      </c>
      <c r="I2000" s="8" t="str">
        <f t="shared" si="93"/>
        <v/>
      </c>
      <c r="J2000" s="8" t="str">
        <f t="shared" si="94"/>
        <v/>
      </c>
      <c r="K2000" s="24"/>
      <c r="L2000" s="7" t="str">
        <f t="shared" si="95"/>
        <v/>
      </c>
    </row>
    <row r="2001" spans="1:12" x14ac:dyDescent="0.25">
      <c r="A2001" s="23"/>
      <c r="B2001" s="24"/>
      <c r="C2001" s="24"/>
      <c r="D2001" s="24"/>
      <c r="E2001" s="24"/>
      <c r="F2001" s="24"/>
      <c r="G2001" s="25"/>
      <c r="H2001" s="16" t="str">
        <f>IF(C2001="","",IFERROR(INDEX(Settings!$L$4:$L$56,MATCH(C2001,Settings!$K$4:$K$56,0)),"Unknown"))</f>
        <v/>
      </c>
      <c r="I2001" s="8" t="str">
        <f t="shared" si="93"/>
        <v/>
      </c>
      <c r="J2001" s="8" t="str">
        <f t="shared" si="94"/>
        <v/>
      </c>
      <c r="K2001" s="24"/>
      <c r="L2001" s="7" t="str">
        <f t="shared" si="95"/>
        <v/>
      </c>
    </row>
    <row r="2002" spans="1:12" x14ac:dyDescent="0.25">
      <c r="A2002" s="23"/>
      <c r="B2002" s="24"/>
      <c r="C2002" s="24"/>
      <c r="D2002" s="24"/>
      <c r="E2002" s="24"/>
      <c r="F2002" s="24"/>
      <c r="G2002" s="25"/>
      <c r="H2002" s="16" t="str">
        <f>IF(C2002="","",IFERROR(INDEX(Settings!$L$4:$L$56,MATCH(C2002,Settings!$K$4:$K$56,0)),"Unknown"))</f>
        <v/>
      </c>
      <c r="I2002" s="8" t="str">
        <f t="shared" si="93"/>
        <v/>
      </c>
      <c r="J2002" s="8" t="str">
        <f t="shared" si="94"/>
        <v/>
      </c>
      <c r="K2002" s="24"/>
      <c r="L2002" s="7" t="str">
        <f t="shared" si="95"/>
        <v/>
      </c>
    </row>
    <row r="2003" spans="1:12" x14ac:dyDescent="0.25">
      <c r="A2003" s="23"/>
      <c r="B2003" s="24"/>
      <c r="C2003" s="24"/>
      <c r="D2003" s="24"/>
      <c r="E2003" s="24"/>
      <c r="F2003" s="24"/>
      <c r="G2003" s="25"/>
      <c r="H2003" s="16" t="str">
        <f>IF(C2003="","",IFERROR(INDEX(Settings!$L$4:$L$56,MATCH(C2003,Settings!$K$4:$K$56,0)),"Unknown"))</f>
        <v/>
      </c>
      <c r="I2003" s="8" t="str">
        <f t="shared" si="93"/>
        <v/>
      </c>
      <c r="J2003" s="8" t="str">
        <f t="shared" si="94"/>
        <v/>
      </c>
      <c r="K2003" s="24"/>
      <c r="L2003" s="7" t="str">
        <f t="shared" si="95"/>
        <v/>
      </c>
    </row>
    <row r="2004" spans="1:12" x14ac:dyDescent="0.25">
      <c r="A2004" s="23"/>
      <c r="B2004" s="24"/>
      <c r="C2004" s="24"/>
      <c r="D2004" s="24"/>
      <c r="E2004" s="24"/>
      <c r="F2004" s="24"/>
      <c r="G2004" s="25"/>
      <c r="H2004" s="16" t="str">
        <f>IF(C2004="","",IFERROR(INDEX(Settings!$L$4:$L$56,MATCH(C2004,Settings!$K$4:$K$56,0)),"Unknown"))</f>
        <v/>
      </c>
      <c r="I2004" s="8" t="str">
        <f t="shared" si="93"/>
        <v/>
      </c>
      <c r="J2004" s="8" t="str">
        <f t="shared" si="94"/>
        <v/>
      </c>
      <c r="K2004" s="24"/>
      <c r="L2004" s="7" t="str">
        <f t="shared" si="95"/>
        <v/>
      </c>
    </row>
    <row r="2005" spans="1:12" x14ac:dyDescent="0.25">
      <c r="A2005" s="23"/>
      <c r="B2005" s="24"/>
      <c r="C2005" s="24"/>
      <c r="D2005" s="24"/>
      <c r="E2005" s="24"/>
      <c r="F2005" s="24"/>
      <c r="G2005" s="25"/>
      <c r="H2005" s="16" t="str">
        <f>IF(C2005="","",IFERROR(INDEX(Settings!$L$4:$L$56,MATCH(C2005,Settings!$K$4:$K$56,0)),"Unknown"))</f>
        <v/>
      </c>
      <c r="I2005" s="8" t="str">
        <f t="shared" si="93"/>
        <v/>
      </c>
      <c r="J2005" s="8" t="str">
        <f t="shared" si="94"/>
        <v/>
      </c>
      <c r="K2005" s="24"/>
      <c r="L2005" s="7" t="str">
        <f t="shared" si="95"/>
        <v/>
      </c>
    </row>
  </sheetData>
  <autoFilter ref="A5:L2005" xr:uid="{00000000-0009-0000-0000-000002000000}"/>
  <mergeCells count="2">
    <mergeCell ref="A1:L1"/>
    <mergeCell ref="A2:L2"/>
  </mergeCells>
  <conditionalFormatting sqref="B6:B2005">
    <cfRule type="cellIs" dxfId="32" priority="3" operator="equal">
      <formula>"Income"</formula>
    </cfRule>
    <cfRule type="cellIs" dxfId="31" priority="4" operator="equal">
      <formula>"Expense"</formula>
    </cfRule>
  </conditionalFormatting>
  <conditionalFormatting sqref="L6:L2005">
    <cfRule type="expression" dxfId="30" priority="2">
      <formula>AND(L6&lt;&gt;"",L6&lt;&gt;"OK")</formula>
    </cfRule>
  </conditionalFormatting>
  <dataValidations count="2">
    <dataValidation type="date" operator="greaterThan" allowBlank="1" showErrorMessage="1" errorTitle="Invalid date" error="Enter a valid date (e.g. 15-Mar-2026)." sqref="A6:A2005" xr:uid="{00000000-0002-0000-0200-000003000000}">
      <formula1>36526</formula1>
      <formula2>0</formula2>
    </dataValidation>
    <dataValidation type="decimal" operator="greaterThanOrEqual" allowBlank="1" showErrorMessage="1" errorTitle="Invalid amount" error="Enter a positive amount in BDT." sqref="G6:G2005" xr:uid="{00000000-0002-0000-0200-000004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pick a value from the dropdown list." xr:uid="{00000000-0002-0000-0200-000000000000}">
          <x14:formula1>
            <xm:f>Settings!$I$4:$I$5</xm:f>
          </x14:formula1>
          <x14:formula2>
            <xm:f>0</xm:f>
          </x14:formula2>
          <xm:sqref>B6:B2005</xm:sqref>
        </x14:dataValidation>
        <x14:dataValidation type="list" allowBlank="1" showErrorMessage="1" errorTitle="Invalid entry" error="Please pick a value from the dropdown list." xr:uid="{00000000-0002-0000-0200-000001000000}">
          <x14:formula1>
            <xm:f>Settings!$K$4:$K$56</xm:f>
          </x14:formula1>
          <x14:formula2>
            <xm:f>0</xm:f>
          </x14:formula2>
          <xm:sqref>C6:C2005</xm:sqref>
        </x14:dataValidation>
        <x14:dataValidation type="list" allowBlank="1" showErrorMessage="1" errorTitle="Invalid entry" error="Please pick a value from the dropdown list." xr:uid="{00000000-0002-0000-0200-000002000000}">
          <x14:formula1>
            <xm:f>Settings!$G$4:$G$13</xm:f>
          </x14:formula1>
          <x14:formula2>
            <xm:f>0</xm:f>
          </x14:formula2>
          <xm:sqref>E6:E2005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A4E"/>
    <pageSetUpPr fitToPage="1"/>
  </sheetPr>
  <dimension ref="A1:M63"/>
  <sheetViews>
    <sheetView showGridLines="0" zoomScaleNormal="100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E59" sqref="E59"/>
    </sheetView>
  </sheetViews>
  <sheetFormatPr defaultColWidth="8.7109375" defaultRowHeight="15" x14ac:dyDescent="0.25"/>
  <cols>
    <col min="1" max="1" width="44" customWidth="1"/>
    <col min="2" max="2" width="22" customWidth="1"/>
    <col min="3" max="3" width="14.5703125" bestFit="1" customWidth="1"/>
    <col min="4" max="5" width="16" customWidth="1"/>
    <col min="6" max="6" width="17" customWidth="1"/>
    <col min="7" max="7" width="10" customWidth="1"/>
    <col min="8" max="8" width="13" customWidth="1"/>
    <col min="9" max="9" width="17.42578125" bestFit="1" customWidth="1"/>
    <col min="10" max="10" width="15.7109375" bestFit="1" customWidth="1"/>
    <col min="11" max="11" width="17.42578125" bestFit="1" customWidth="1"/>
    <col min="12" max="12" width="14" customWidth="1"/>
    <col min="13" max="13" width="11" customWidth="1"/>
  </cols>
  <sheetData>
    <row r="1" spans="1:13" ht="33.75" customHeight="1" x14ac:dyDescent="0.25">
      <c r="A1" s="81" t="s">
        <v>303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 ht="25.5" customHeight="1" x14ac:dyDescent="0.25">
      <c r="A2" s="82" t="s">
        <v>304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x14ac:dyDescent="0.25">
      <c r="A3" s="26" t="s">
        <v>305</v>
      </c>
      <c r="B3" s="27" t="str">
        <f>Dashboard!$D$4</f>
        <v>February</v>
      </c>
    </row>
    <row r="5" spans="1:13" ht="42" customHeight="1" x14ac:dyDescent="0.25">
      <c r="A5" s="13" t="s">
        <v>119</v>
      </c>
      <c r="B5" s="13" t="s">
        <v>144</v>
      </c>
      <c r="C5" s="13" t="s">
        <v>306</v>
      </c>
      <c r="D5" s="13" t="s">
        <v>307</v>
      </c>
      <c r="E5" s="13" t="s">
        <v>308</v>
      </c>
      <c r="F5" s="13" t="s">
        <v>309</v>
      </c>
      <c r="G5" s="13" t="s">
        <v>310</v>
      </c>
      <c r="H5" s="13" t="s">
        <v>118</v>
      </c>
      <c r="I5" s="13" t="s">
        <v>311</v>
      </c>
      <c r="J5" s="13" t="s">
        <v>312</v>
      </c>
      <c r="K5" s="13" t="s">
        <v>313</v>
      </c>
      <c r="L5" s="13" t="s">
        <v>314</v>
      </c>
      <c r="M5" s="13" t="s">
        <v>315</v>
      </c>
    </row>
    <row r="6" spans="1:13" x14ac:dyDescent="0.25">
      <c r="A6" s="16" t="str">
        <f>Settings!$K$16</f>
        <v>House Rent</v>
      </c>
      <c r="B6" s="16" t="str">
        <f>Settings!$L$16</f>
        <v>Housing &amp; Utilities</v>
      </c>
      <c r="C6" s="16" t="str">
        <f>Settings!$M$16</f>
        <v>Needs</v>
      </c>
      <c r="D6" s="70">
        <v>22000</v>
      </c>
      <c r="E6" s="71">
        <f>INDEX('Annual Matrix'!$C21:$N21,Settings!$B$11)</f>
        <v>22000</v>
      </c>
      <c r="F6" s="70">
        <f t="shared" ref="F6:F46" si="0">D6-E6</f>
        <v>0</v>
      </c>
      <c r="G6" s="29">
        <f t="shared" ref="G6:G47" si="1">IF(D6=0,"",E6/D6)</f>
        <v>1</v>
      </c>
      <c r="H6" s="30" t="str">
        <f t="shared" ref="H6:H46" si="2">IF(D6=0,IF(E6&gt;0,"Unbudgeted","-"),IF(E6&gt;D6,"OVER",IF(E6&gt;=0.9*D6,"WATCH","OK")))</f>
        <v>WATCH</v>
      </c>
      <c r="I6" s="70">
        <f t="shared" ref="I6:I46" si="3">D6*12</f>
        <v>264000</v>
      </c>
      <c r="J6" s="70">
        <f>D6*Settings!$B$11</f>
        <v>44000</v>
      </c>
      <c r="K6" s="70">
        <f>'Annual Matrix'!$O21</f>
        <v>220000</v>
      </c>
      <c r="L6" s="28">
        <f t="shared" ref="L6:L46" si="4">J6-K6</f>
        <v>-176000</v>
      </c>
      <c r="M6" s="31">
        <f t="shared" ref="M6:M46" si="5">E6+ROW()/1000000</f>
        <v>22000.000005999998</v>
      </c>
    </row>
    <row r="7" spans="1:13" x14ac:dyDescent="0.25">
      <c r="A7" s="16" t="str">
        <f>Settings!$K$17</f>
        <v>Electricity (DESCO / DPDC / REB)</v>
      </c>
      <c r="B7" s="16" t="str">
        <f>Settings!$L$17</f>
        <v>Housing &amp; Utilities</v>
      </c>
      <c r="C7" s="16" t="str">
        <f>Settings!$M$17</f>
        <v>Needs</v>
      </c>
      <c r="D7" s="70">
        <v>3000</v>
      </c>
      <c r="E7" s="71">
        <f>INDEX('Annual Matrix'!$C22:$N22,Settings!$B$11)</f>
        <v>1930</v>
      </c>
      <c r="F7" s="70">
        <f t="shared" si="0"/>
        <v>1070</v>
      </c>
      <c r="G7" s="29">
        <f t="shared" si="1"/>
        <v>0.64333333333333331</v>
      </c>
      <c r="H7" s="30" t="str">
        <f t="shared" si="2"/>
        <v>OK</v>
      </c>
      <c r="I7" s="70">
        <f t="shared" si="3"/>
        <v>36000</v>
      </c>
      <c r="J7" s="70">
        <f>D7*Settings!$B$11</f>
        <v>6000</v>
      </c>
      <c r="K7" s="70">
        <f>'Annual Matrix'!$O22</f>
        <v>29640</v>
      </c>
      <c r="L7" s="28">
        <f t="shared" si="4"/>
        <v>-23640</v>
      </c>
      <c r="M7" s="31">
        <f t="shared" si="5"/>
        <v>1930.0000070000001</v>
      </c>
    </row>
    <row r="8" spans="1:13" x14ac:dyDescent="0.25">
      <c r="A8" s="16" t="str">
        <f>Settings!$K$18</f>
        <v>Gas (Titas / Bakhrabad / Jalalabad)</v>
      </c>
      <c r="B8" s="16" t="str">
        <f>Settings!$L$18</f>
        <v>Housing &amp; Utilities</v>
      </c>
      <c r="C8" s="16" t="str">
        <f>Settings!$M$18</f>
        <v>Needs</v>
      </c>
      <c r="D8" s="70">
        <v>1080</v>
      </c>
      <c r="E8" s="71">
        <f>INDEX('Annual Matrix'!$C23:$N23,Settings!$B$11)</f>
        <v>1080</v>
      </c>
      <c r="F8" s="70">
        <f t="shared" si="0"/>
        <v>0</v>
      </c>
      <c r="G8" s="29">
        <f t="shared" si="1"/>
        <v>1</v>
      </c>
      <c r="H8" s="30" t="str">
        <f t="shared" si="2"/>
        <v>WATCH</v>
      </c>
      <c r="I8" s="70">
        <f t="shared" si="3"/>
        <v>12960</v>
      </c>
      <c r="J8" s="70">
        <f>D8*Settings!$B$11</f>
        <v>2160</v>
      </c>
      <c r="K8" s="70">
        <f>'Annual Matrix'!$O23</f>
        <v>10800</v>
      </c>
      <c r="L8" s="28">
        <f t="shared" si="4"/>
        <v>-8640</v>
      </c>
      <c r="M8" s="31">
        <f t="shared" si="5"/>
        <v>1080.000008</v>
      </c>
    </row>
    <row r="9" spans="1:13" x14ac:dyDescent="0.25">
      <c r="A9" s="16" t="str">
        <f>Settings!$K$19</f>
        <v>Water &amp; Sewerage (WASA)</v>
      </c>
      <c r="B9" s="16" t="str">
        <f>Settings!$L$19</f>
        <v>Housing &amp; Utilities</v>
      </c>
      <c r="C9" s="16" t="str">
        <f>Settings!$M$19</f>
        <v>Needs</v>
      </c>
      <c r="D9" s="70">
        <v>900</v>
      </c>
      <c r="E9" s="71">
        <f>INDEX('Annual Matrix'!$C24:$N24,Settings!$B$11)</f>
        <v>900</v>
      </c>
      <c r="F9" s="70">
        <f t="shared" si="0"/>
        <v>0</v>
      </c>
      <c r="G9" s="29">
        <f t="shared" si="1"/>
        <v>1</v>
      </c>
      <c r="H9" s="30" t="str">
        <f t="shared" si="2"/>
        <v>WATCH</v>
      </c>
      <c r="I9" s="70">
        <f t="shared" si="3"/>
        <v>10800</v>
      </c>
      <c r="J9" s="70">
        <f>D9*Settings!$B$11</f>
        <v>1800</v>
      </c>
      <c r="K9" s="70">
        <f>'Annual Matrix'!$O24</f>
        <v>9000</v>
      </c>
      <c r="L9" s="28">
        <f t="shared" si="4"/>
        <v>-7200</v>
      </c>
      <c r="M9" s="31">
        <f t="shared" si="5"/>
        <v>900.00000899999998</v>
      </c>
    </row>
    <row r="10" spans="1:13" x14ac:dyDescent="0.25">
      <c r="A10" s="16" t="str">
        <f>Settings!$K$20</f>
        <v>Internet / Broadband</v>
      </c>
      <c r="B10" s="16" t="str">
        <f>Settings!$L$20</f>
        <v>Housing &amp; Utilities</v>
      </c>
      <c r="C10" s="16" t="str">
        <f>Settings!$M$20</f>
        <v>Needs</v>
      </c>
      <c r="D10" s="70">
        <v>1000</v>
      </c>
      <c r="E10" s="71">
        <f>INDEX('Annual Matrix'!$C25:$N25,Settings!$B$11)</f>
        <v>1000</v>
      </c>
      <c r="F10" s="70">
        <f t="shared" si="0"/>
        <v>0</v>
      </c>
      <c r="G10" s="29">
        <f t="shared" si="1"/>
        <v>1</v>
      </c>
      <c r="H10" s="30" t="str">
        <f t="shared" si="2"/>
        <v>WATCH</v>
      </c>
      <c r="I10" s="70">
        <f t="shared" si="3"/>
        <v>12000</v>
      </c>
      <c r="J10" s="70">
        <f>D10*Settings!$B$11</f>
        <v>2000</v>
      </c>
      <c r="K10" s="70">
        <f>'Annual Matrix'!$O25</f>
        <v>10000</v>
      </c>
      <c r="L10" s="28">
        <f t="shared" si="4"/>
        <v>-8000</v>
      </c>
      <c r="M10" s="31">
        <f t="shared" si="5"/>
        <v>1000.00001</v>
      </c>
    </row>
    <row r="11" spans="1:13" x14ac:dyDescent="0.25">
      <c r="A11" s="16" t="str">
        <f>Settings!$K$21</f>
        <v>Mobile Recharge &amp; Data</v>
      </c>
      <c r="B11" s="16" t="str">
        <f>Settings!$L$21</f>
        <v>Housing &amp; Utilities</v>
      </c>
      <c r="C11" s="16" t="str">
        <f>Settings!$M$21</f>
        <v>Needs</v>
      </c>
      <c r="D11" s="70">
        <v>700</v>
      </c>
      <c r="E11" s="71">
        <f>INDEX('Annual Matrix'!$C26:$N26,Settings!$B$11)</f>
        <v>700</v>
      </c>
      <c r="F11" s="70">
        <f t="shared" si="0"/>
        <v>0</v>
      </c>
      <c r="G11" s="29">
        <f t="shared" si="1"/>
        <v>1</v>
      </c>
      <c r="H11" s="30" t="str">
        <f t="shared" si="2"/>
        <v>WATCH</v>
      </c>
      <c r="I11" s="70">
        <f t="shared" si="3"/>
        <v>8400</v>
      </c>
      <c r="J11" s="70">
        <f>D11*Settings!$B$11</f>
        <v>1400</v>
      </c>
      <c r="K11" s="70">
        <f>'Annual Matrix'!$O26</f>
        <v>7000</v>
      </c>
      <c r="L11" s="28">
        <f t="shared" si="4"/>
        <v>-5600</v>
      </c>
      <c r="M11" s="31">
        <f t="shared" si="5"/>
        <v>700.00001099999997</v>
      </c>
    </row>
    <row r="12" spans="1:13" x14ac:dyDescent="0.25">
      <c r="A12" s="16" t="str">
        <f>Settings!$K$22</f>
        <v>Maid / Domestic Help</v>
      </c>
      <c r="B12" s="16" t="str">
        <f>Settings!$L$22</f>
        <v>Housing &amp; Utilities</v>
      </c>
      <c r="C12" s="16" t="str">
        <f>Settings!$M$22</f>
        <v>Needs</v>
      </c>
      <c r="D12" s="70">
        <v>3000</v>
      </c>
      <c r="E12" s="71">
        <f>INDEX('Annual Matrix'!$C27:$N27,Settings!$B$11)</f>
        <v>3000</v>
      </c>
      <c r="F12" s="70">
        <f t="shared" si="0"/>
        <v>0</v>
      </c>
      <c r="G12" s="29">
        <f t="shared" si="1"/>
        <v>1</v>
      </c>
      <c r="H12" s="30" t="str">
        <f t="shared" si="2"/>
        <v>WATCH</v>
      </c>
      <c r="I12" s="70">
        <f t="shared" si="3"/>
        <v>36000</v>
      </c>
      <c r="J12" s="70">
        <f>D12*Settings!$B$11</f>
        <v>6000</v>
      </c>
      <c r="K12" s="70">
        <f>'Annual Matrix'!$O27</f>
        <v>30000</v>
      </c>
      <c r="L12" s="28">
        <f t="shared" si="4"/>
        <v>-24000</v>
      </c>
      <c r="M12" s="31">
        <f t="shared" si="5"/>
        <v>3000.000012</v>
      </c>
    </row>
    <row r="13" spans="1:13" x14ac:dyDescent="0.25">
      <c r="A13" s="16" t="str">
        <f>Settings!$K$23</f>
        <v>Home Repair &amp; Maintenance</v>
      </c>
      <c r="B13" s="16" t="str">
        <f>Settings!$L$23</f>
        <v>Housing &amp; Utilities</v>
      </c>
      <c r="C13" s="16" t="str">
        <f>Settings!$M$23</f>
        <v>Needs</v>
      </c>
      <c r="D13" s="70">
        <v>500</v>
      </c>
      <c r="E13" s="71">
        <f>INDEX('Annual Matrix'!$C28:$N28,Settings!$B$11)</f>
        <v>0</v>
      </c>
      <c r="F13" s="70">
        <f t="shared" si="0"/>
        <v>500</v>
      </c>
      <c r="G13" s="29">
        <f t="shared" si="1"/>
        <v>0</v>
      </c>
      <c r="H13" s="30" t="str">
        <f t="shared" si="2"/>
        <v>OK</v>
      </c>
      <c r="I13" s="70">
        <f t="shared" si="3"/>
        <v>6000</v>
      </c>
      <c r="J13" s="70">
        <f>D13*Settings!$B$11</f>
        <v>1000</v>
      </c>
      <c r="K13" s="70">
        <f>'Annual Matrix'!$O28</f>
        <v>0</v>
      </c>
      <c r="L13" s="28">
        <f t="shared" si="4"/>
        <v>1000</v>
      </c>
      <c r="M13" s="31">
        <f t="shared" si="5"/>
        <v>1.2999999999999999E-5</v>
      </c>
    </row>
    <row r="14" spans="1:13" x14ac:dyDescent="0.25">
      <c r="A14" s="16" t="str">
        <f>Settings!$K$24</f>
        <v>Service Charge &amp; Holding Tax</v>
      </c>
      <c r="B14" s="16" t="str">
        <f>Settings!$L$24</f>
        <v>Housing &amp; Utilities</v>
      </c>
      <c r="C14" s="16" t="str">
        <f>Settings!$M$24</f>
        <v>Needs</v>
      </c>
      <c r="D14" s="70">
        <v>0</v>
      </c>
      <c r="E14" s="71">
        <f>INDEX('Annual Matrix'!$C29:$N29,Settings!$B$11)</f>
        <v>0</v>
      </c>
      <c r="F14" s="70">
        <f t="shared" si="0"/>
        <v>0</v>
      </c>
      <c r="G14" s="29" t="str">
        <f t="shared" si="1"/>
        <v/>
      </c>
      <c r="H14" s="30" t="str">
        <f t="shared" si="2"/>
        <v>-</v>
      </c>
      <c r="I14" s="70">
        <f t="shared" si="3"/>
        <v>0</v>
      </c>
      <c r="J14" s="70">
        <f>D14*Settings!$B$11</f>
        <v>0</v>
      </c>
      <c r="K14" s="70">
        <f>'Annual Matrix'!$O29</f>
        <v>0</v>
      </c>
      <c r="L14" s="28">
        <f t="shared" si="4"/>
        <v>0</v>
      </c>
      <c r="M14" s="31">
        <f t="shared" si="5"/>
        <v>1.4E-5</v>
      </c>
    </row>
    <row r="15" spans="1:13" x14ac:dyDescent="0.25">
      <c r="A15" s="16" t="str">
        <f>Settings!$K$25</f>
        <v>Groceries &amp; Bazar</v>
      </c>
      <c r="B15" s="16" t="str">
        <f>Settings!$L$25</f>
        <v>Food</v>
      </c>
      <c r="C15" s="16" t="str">
        <f>Settings!$M$25</f>
        <v>Needs</v>
      </c>
      <c r="D15" s="70">
        <v>11000</v>
      </c>
      <c r="E15" s="71">
        <f>INDEX('Annual Matrix'!$C30:$N30,Settings!$B$11)</f>
        <v>11610</v>
      </c>
      <c r="F15" s="70">
        <f t="shared" si="0"/>
        <v>-610</v>
      </c>
      <c r="G15" s="29">
        <f t="shared" si="1"/>
        <v>1.0554545454545454</v>
      </c>
      <c r="H15" s="30" t="str">
        <f t="shared" si="2"/>
        <v>OVER</v>
      </c>
      <c r="I15" s="70">
        <f t="shared" si="3"/>
        <v>132000</v>
      </c>
      <c r="J15" s="70">
        <f>D15*Settings!$B$11</f>
        <v>22000</v>
      </c>
      <c r="K15" s="70">
        <f>'Annual Matrix'!$O30</f>
        <v>108460</v>
      </c>
      <c r="L15" s="28">
        <f t="shared" si="4"/>
        <v>-86460</v>
      </c>
      <c r="M15" s="31">
        <f t="shared" si="5"/>
        <v>11610.000015</v>
      </c>
    </row>
    <row r="16" spans="1:13" x14ac:dyDescent="0.25">
      <c r="A16" s="16" t="str">
        <f>Settings!$K$26</f>
        <v>Dining Out &amp; Food Delivery</v>
      </c>
      <c r="B16" s="16" t="str">
        <f>Settings!$L$26</f>
        <v>Food</v>
      </c>
      <c r="C16" s="16" t="str">
        <f>Settings!$M$26</f>
        <v>Wants</v>
      </c>
      <c r="D16" s="70">
        <v>2000</v>
      </c>
      <c r="E16" s="71">
        <f>INDEX('Annual Matrix'!$C31:$N31,Settings!$B$11)</f>
        <v>1060</v>
      </c>
      <c r="F16" s="70">
        <f t="shared" si="0"/>
        <v>940</v>
      </c>
      <c r="G16" s="29">
        <f t="shared" si="1"/>
        <v>0.53</v>
      </c>
      <c r="H16" s="30" t="str">
        <f t="shared" si="2"/>
        <v>OK</v>
      </c>
      <c r="I16" s="70">
        <f t="shared" si="3"/>
        <v>24000</v>
      </c>
      <c r="J16" s="70">
        <f>D16*Settings!$B$11</f>
        <v>4000</v>
      </c>
      <c r="K16" s="70">
        <f>'Annual Matrix'!$O31</f>
        <v>10040</v>
      </c>
      <c r="L16" s="28">
        <f t="shared" si="4"/>
        <v>-6040</v>
      </c>
      <c r="M16" s="31">
        <f t="shared" si="5"/>
        <v>1060.000016</v>
      </c>
    </row>
    <row r="17" spans="1:13" x14ac:dyDescent="0.25">
      <c r="A17" s="16" t="str">
        <f>Settings!$K$27</f>
        <v>Rickshaw / CNG / Ride-share</v>
      </c>
      <c r="B17" s="16" t="str">
        <f>Settings!$L$27</f>
        <v>Transport</v>
      </c>
      <c r="C17" s="16" t="str">
        <f>Settings!$M$27</f>
        <v>Needs</v>
      </c>
      <c r="D17" s="70">
        <v>2500</v>
      </c>
      <c r="E17" s="71">
        <f>INDEX('Annual Matrix'!$C32:$N32,Settings!$B$11)</f>
        <v>1800</v>
      </c>
      <c r="F17" s="70">
        <f t="shared" si="0"/>
        <v>700</v>
      </c>
      <c r="G17" s="29">
        <f t="shared" si="1"/>
        <v>0.72</v>
      </c>
      <c r="H17" s="30" t="str">
        <f t="shared" si="2"/>
        <v>OK</v>
      </c>
      <c r="I17" s="70">
        <f t="shared" si="3"/>
        <v>30000</v>
      </c>
      <c r="J17" s="70">
        <f>D17*Settings!$B$11</f>
        <v>5000</v>
      </c>
      <c r="K17" s="70">
        <f>'Annual Matrix'!$O32</f>
        <v>17130</v>
      </c>
      <c r="L17" s="28">
        <f t="shared" si="4"/>
        <v>-12130</v>
      </c>
      <c r="M17" s="31">
        <f t="shared" si="5"/>
        <v>1800.0000170000001</v>
      </c>
    </row>
    <row r="18" spans="1:13" x14ac:dyDescent="0.25">
      <c r="A18" s="16" t="str">
        <f>Settings!$K$28</f>
        <v>Bus / Metro Rail / Train</v>
      </c>
      <c r="B18" s="16" t="str">
        <f>Settings!$L$28</f>
        <v>Transport</v>
      </c>
      <c r="C18" s="16" t="str">
        <f>Settings!$M$28</f>
        <v>Needs</v>
      </c>
      <c r="D18" s="70">
        <v>500</v>
      </c>
      <c r="E18" s="71">
        <f>INDEX('Annual Matrix'!$C33:$N33,Settings!$B$11)</f>
        <v>0</v>
      </c>
      <c r="F18" s="70">
        <f t="shared" si="0"/>
        <v>500</v>
      </c>
      <c r="G18" s="29">
        <f t="shared" si="1"/>
        <v>0</v>
      </c>
      <c r="H18" s="30" t="str">
        <f t="shared" si="2"/>
        <v>OK</v>
      </c>
      <c r="I18" s="70">
        <f t="shared" si="3"/>
        <v>6000</v>
      </c>
      <c r="J18" s="70">
        <f>D18*Settings!$B$11</f>
        <v>1000</v>
      </c>
      <c r="K18" s="70">
        <f>'Annual Matrix'!$O33</f>
        <v>0</v>
      </c>
      <c r="L18" s="28">
        <f t="shared" si="4"/>
        <v>1000</v>
      </c>
      <c r="M18" s="31">
        <f t="shared" si="5"/>
        <v>1.8E-5</v>
      </c>
    </row>
    <row r="19" spans="1:13" x14ac:dyDescent="0.25">
      <c r="A19" s="16" t="str">
        <f>Settings!$K$29</f>
        <v>Fuel (Octane / Petrol / CNG)</v>
      </c>
      <c r="B19" s="16" t="str">
        <f>Settings!$L$29</f>
        <v>Transport</v>
      </c>
      <c r="C19" s="16" t="str">
        <f>Settings!$M$29</f>
        <v>Needs</v>
      </c>
      <c r="D19" s="70">
        <v>1500</v>
      </c>
      <c r="E19" s="71">
        <f>INDEX('Annual Matrix'!$C34:$N34,Settings!$B$11)</f>
        <v>1290</v>
      </c>
      <c r="F19" s="70">
        <f t="shared" si="0"/>
        <v>210</v>
      </c>
      <c r="G19" s="29">
        <f t="shared" si="1"/>
        <v>0.86</v>
      </c>
      <c r="H19" s="30" t="str">
        <f t="shared" si="2"/>
        <v>OK</v>
      </c>
      <c r="I19" s="70">
        <f t="shared" si="3"/>
        <v>18000</v>
      </c>
      <c r="J19" s="70">
        <f>D19*Settings!$B$11</f>
        <v>3000</v>
      </c>
      <c r="K19" s="70">
        <f>'Annual Matrix'!$O34</f>
        <v>13760</v>
      </c>
      <c r="L19" s="28">
        <f t="shared" si="4"/>
        <v>-10760</v>
      </c>
      <c r="M19" s="31">
        <f t="shared" si="5"/>
        <v>1290.0000190000001</v>
      </c>
    </row>
    <row r="20" spans="1:13" x14ac:dyDescent="0.25">
      <c r="A20" s="16" t="str">
        <f>Settings!$K$30</f>
        <v>Vehicle Maintenance &amp; Parking</v>
      </c>
      <c r="B20" s="16" t="str">
        <f>Settings!$L$30</f>
        <v>Transport</v>
      </c>
      <c r="C20" s="16" t="str">
        <f>Settings!$M$30</f>
        <v>Needs</v>
      </c>
      <c r="D20" s="70">
        <v>800</v>
      </c>
      <c r="E20" s="71">
        <f>INDEX('Annual Matrix'!$C35:$N35,Settings!$B$11)</f>
        <v>0</v>
      </c>
      <c r="F20" s="70">
        <f t="shared" si="0"/>
        <v>800</v>
      </c>
      <c r="G20" s="29">
        <f t="shared" si="1"/>
        <v>0</v>
      </c>
      <c r="H20" s="30" t="str">
        <f t="shared" si="2"/>
        <v>OK</v>
      </c>
      <c r="I20" s="70">
        <f t="shared" si="3"/>
        <v>9600</v>
      </c>
      <c r="J20" s="70">
        <f>D20*Settings!$B$11</f>
        <v>1600</v>
      </c>
      <c r="K20" s="70">
        <f>'Annual Matrix'!$O35</f>
        <v>6420</v>
      </c>
      <c r="L20" s="28">
        <f t="shared" si="4"/>
        <v>-4820</v>
      </c>
      <c r="M20" s="31">
        <f t="shared" si="5"/>
        <v>2.0000000000000002E-5</v>
      </c>
    </row>
    <row r="21" spans="1:13" x14ac:dyDescent="0.25">
      <c r="A21" s="16" t="str">
        <f>Settings!$K$31</f>
        <v>School / College / University Fees</v>
      </c>
      <c r="B21" s="16" t="str">
        <f>Settings!$L$31</f>
        <v>Family &amp; Education</v>
      </c>
      <c r="C21" s="16" t="str">
        <f>Settings!$M$31</f>
        <v>Needs</v>
      </c>
      <c r="D21" s="70">
        <v>3500</v>
      </c>
      <c r="E21" s="71">
        <f>INDEX('Annual Matrix'!$C36:$N36,Settings!$B$11)</f>
        <v>3500</v>
      </c>
      <c r="F21" s="70">
        <f t="shared" si="0"/>
        <v>0</v>
      </c>
      <c r="G21" s="29">
        <f t="shared" si="1"/>
        <v>1</v>
      </c>
      <c r="H21" s="30" t="str">
        <f t="shared" si="2"/>
        <v>WATCH</v>
      </c>
      <c r="I21" s="70">
        <f t="shared" si="3"/>
        <v>42000</v>
      </c>
      <c r="J21" s="70">
        <f>D21*Settings!$B$11</f>
        <v>7000</v>
      </c>
      <c r="K21" s="70">
        <f>'Annual Matrix'!$O36</f>
        <v>35000</v>
      </c>
      <c r="L21" s="28">
        <f t="shared" si="4"/>
        <v>-28000</v>
      </c>
      <c r="M21" s="31">
        <f t="shared" si="5"/>
        <v>3500.0000209999998</v>
      </c>
    </row>
    <row r="22" spans="1:13" x14ac:dyDescent="0.25">
      <c r="A22" s="16" t="str">
        <f>Settings!$K$32</f>
        <v>Coaching &amp; Books</v>
      </c>
      <c r="B22" s="16" t="str">
        <f>Settings!$L$32</f>
        <v>Family &amp; Education</v>
      </c>
      <c r="C22" s="16" t="str">
        <f>Settings!$M$32</f>
        <v>Needs</v>
      </c>
      <c r="D22" s="70">
        <v>0</v>
      </c>
      <c r="E22" s="71">
        <f>INDEX('Annual Matrix'!$C37:$N37,Settings!$B$11)</f>
        <v>0</v>
      </c>
      <c r="F22" s="70">
        <f t="shared" si="0"/>
        <v>0</v>
      </c>
      <c r="G22" s="29" t="str">
        <f t="shared" si="1"/>
        <v/>
      </c>
      <c r="H22" s="30" t="str">
        <f t="shared" si="2"/>
        <v>-</v>
      </c>
      <c r="I22" s="70">
        <f t="shared" si="3"/>
        <v>0</v>
      </c>
      <c r="J22" s="70">
        <f>D22*Settings!$B$11</f>
        <v>0</v>
      </c>
      <c r="K22" s="70">
        <f>'Annual Matrix'!$O37</f>
        <v>0</v>
      </c>
      <c r="L22" s="28">
        <f t="shared" si="4"/>
        <v>0</v>
      </c>
      <c r="M22" s="31">
        <f t="shared" si="5"/>
        <v>2.1999999999999999E-5</v>
      </c>
    </row>
    <row r="23" spans="1:13" x14ac:dyDescent="0.25">
      <c r="A23" s="16" t="str">
        <f>Settings!$K$33</f>
        <v>Child Care &amp; Baby Needs</v>
      </c>
      <c r="B23" s="16" t="str">
        <f>Settings!$L$33</f>
        <v>Family &amp; Education</v>
      </c>
      <c r="C23" s="16" t="str">
        <f>Settings!$M$33</f>
        <v>Needs</v>
      </c>
      <c r="D23" s="70">
        <v>1000</v>
      </c>
      <c r="E23" s="71">
        <f>INDEX('Annual Matrix'!$C38:$N38,Settings!$B$11)</f>
        <v>0</v>
      </c>
      <c r="F23" s="70">
        <f t="shared" si="0"/>
        <v>1000</v>
      </c>
      <c r="G23" s="29">
        <f t="shared" si="1"/>
        <v>0</v>
      </c>
      <c r="H23" s="30" t="str">
        <f t="shared" si="2"/>
        <v>OK</v>
      </c>
      <c r="I23" s="70">
        <f t="shared" si="3"/>
        <v>12000</v>
      </c>
      <c r="J23" s="70">
        <f>D23*Settings!$B$11</f>
        <v>2000</v>
      </c>
      <c r="K23" s="70">
        <f>'Annual Matrix'!$O38</f>
        <v>0</v>
      </c>
      <c r="L23" s="28">
        <f t="shared" si="4"/>
        <v>2000</v>
      </c>
      <c r="M23" s="31">
        <f t="shared" si="5"/>
        <v>2.3E-5</v>
      </c>
    </row>
    <row r="24" spans="1:13" x14ac:dyDescent="0.25">
      <c r="A24" s="16" t="str">
        <f>Settings!$K$34</f>
        <v>Parents / Family Support</v>
      </c>
      <c r="B24" s="16" t="str">
        <f>Settings!$L$34</f>
        <v>Family &amp; Education</v>
      </c>
      <c r="C24" s="16" t="str">
        <f>Settings!$M$34</f>
        <v>Needs</v>
      </c>
      <c r="D24" s="70">
        <v>5000</v>
      </c>
      <c r="E24" s="71">
        <f>INDEX('Annual Matrix'!$C39:$N39,Settings!$B$11)</f>
        <v>5000</v>
      </c>
      <c r="F24" s="70">
        <f t="shared" si="0"/>
        <v>0</v>
      </c>
      <c r="G24" s="29">
        <f t="shared" si="1"/>
        <v>1</v>
      </c>
      <c r="H24" s="30" t="str">
        <f t="shared" si="2"/>
        <v>WATCH</v>
      </c>
      <c r="I24" s="70">
        <f t="shared" si="3"/>
        <v>60000</v>
      </c>
      <c r="J24" s="70">
        <f>D24*Settings!$B$11</f>
        <v>10000</v>
      </c>
      <c r="K24" s="70">
        <f>'Annual Matrix'!$O39</f>
        <v>50000</v>
      </c>
      <c r="L24" s="28">
        <f t="shared" si="4"/>
        <v>-40000</v>
      </c>
      <c r="M24" s="31">
        <f t="shared" si="5"/>
        <v>5000.0000239999999</v>
      </c>
    </row>
    <row r="25" spans="1:13" x14ac:dyDescent="0.25">
      <c r="A25" s="16" t="str">
        <f>Settings!$K$35</f>
        <v>Medicine &amp; Doctor Visits</v>
      </c>
      <c r="B25" s="16" t="str">
        <f>Settings!$L$35</f>
        <v>Health</v>
      </c>
      <c r="C25" s="16" t="str">
        <f>Settings!$M$35</f>
        <v>Needs</v>
      </c>
      <c r="D25" s="70">
        <v>1500</v>
      </c>
      <c r="E25" s="71">
        <f>INDEX('Annual Matrix'!$C40:$N40,Settings!$B$11)</f>
        <v>1770</v>
      </c>
      <c r="F25" s="70">
        <f t="shared" si="0"/>
        <v>-270</v>
      </c>
      <c r="G25" s="29">
        <f t="shared" si="1"/>
        <v>1.18</v>
      </c>
      <c r="H25" s="30" t="str">
        <f t="shared" si="2"/>
        <v>OVER</v>
      </c>
      <c r="I25" s="70">
        <f t="shared" si="3"/>
        <v>18000</v>
      </c>
      <c r="J25" s="70">
        <f>D25*Settings!$B$11</f>
        <v>3000</v>
      </c>
      <c r="K25" s="70">
        <f>'Annual Matrix'!$O40</f>
        <v>14170</v>
      </c>
      <c r="L25" s="28">
        <f t="shared" si="4"/>
        <v>-11170</v>
      </c>
      <c r="M25" s="31">
        <f t="shared" si="5"/>
        <v>1770.0000250000001</v>
      </c>
    </row>
    <row r="26" spans="1:13" x14ac:dyDescent="0.25">
      <c r="A26" s="16" t="str">
        <f>Settings!$K$36</f>
        <v>Medical Tests &amp; Hospital</v>
      </c>
      <c r="B26" s="16" t="str">
        <f>Settings!$L$36</f>
        <v>Health</v>
      </c>
      <c r="C26" s="16" t="str">
        <f>Settings!$M$36</f>
        <v>Needs</v>
      </c>
      <c r="D26" s="70">
        <v>500</v>
      </c>
      <c r="E26" s="71">
        <f>INDEX('Annual Matrix'!$C41:$N41,Settings!$B$11)</f>
        <v>0</v>
      </c>
      <c r="F26" s="70">
        <f t="shared" si="0"/>
        <v>500</v>
      </c>
      <c r="G26" s="29">
        <f t="shared" si="1"/>
        <v>0</v>
      </c>
      <c r="H26" s="30" t="str">
        <f t="shared" si="2"/>
        <v>OK</v>
      </c>
      <c r="I26" s="70">
        <f t="shared" si="3"/>
        <v>6000</v>
      </c>
      <c r="J26" s="70">
        <f>D26*Settings!$B$11</f>
        <v>1000</v>
      </c>
      <c r="K26" s="70">
        <f>'Annual Matrix'!$O41</f>
        <v>3600</v>
      </c>
      <c r="L26" s="28">
        <f t="shared" si="4"/>
        <v>-2600</v>
      </c>
      <c r="M26" s="31">
        <f t="shared" si="5"/>
        <v>2.5999999999999998E-5</v>
      </c>
    </row>
    <row r="27" spans="1:13" x14ac:dyDescent="0.25">
      <c r="A27" s="16" t="str">
        <f>Settings!$K$37</f>
        <v>Clothing &amp; Footwear</v>
      </c>
      <c r="B27" s="16" t="str">
        <f>Settings!$L$37</f>
        <v>Lifestyle</v>
      </c>
      <c r="C27" s="16" t="str">
        <f>Settings!$M$37</f>
        <v>Wants</v>
      </c>
      <c r="D27" s="70">
        <v>2000</v>
      </c>
      <c r="E27" s="71">
        <f>INDEX('Annual Matrix'!$C42:$N42,Settings!$B$11)</f>
        <v>0</v>
      </c>
      <c r="F27" s="70">
        <f t="shared" si="0"/>
        <v>2000</v>
      </c>
      <c r="G27" s="29">
        <f t="shared" si="1"/>
        <v>0</v>
      </c>
      <c r="H27" s="30" t="str">
        <f t="shared" si="2"/>
        <v>OK</v>
      </c>
      <c r="I27" s="70">
        <f t="shared" si="3"/>
        <v>24000</v>
      </c>
      <c r="J27" s="70">
        <f>D27*Settings!$B$11</f>
        <v>4000</v>
      </c>
      <c r="K27" s="70">
        <f>'Annual Matrix'!$O42</f>
        <v>22000</v>
      </c>
      <c r="L27" s="28">
        <f t="shared" si="4"/>
        <v>-18000</v>
      </c>
      <c r="M27" s="31">
        <f t="shared" si="5"/>
        <v>2.6999999999999999E-5</v>
      </c>
    </row>
    <row r="28" spans="1:13" x14ac:dyDescent="0.25">
      <c r="A28" s="16" t="str">
        <f>Settings!$K$38</f>
        <v>Personal Care &amp; Salon</v>
      </c>
      <c r="B28" s="16" t="str">
        <f>Settings!$L$38</f>
        <v>Lifestyle</v>
      </c>
      <c r="C28" s="16" t="str">
        <f>Settings!$M$38</f>
        <v>Wants</v>
      </c>
      <c r="D28" s="70">
        <v>800</v>
      </c>
      <c r="E28" s="71">
        <f>INDEX('Annual Matrix'!$C43:$N43,Settings!$B$11)</f>
        <v>760</v>
      </c>
      <c r="F28" s="70">
        <f t="shared" si="0"/>
        <v>40</v>
      </c>
      <c r="G28" s="29">
        <f t="shared" si="1"/>
        <v>0.95</v>
      </c>
      <c r="H28" s="30" t="str">
        <f t="shared" si="2"/>
        <v>WATCH</v>
      </c>
      <c r="I28" s="70">
        <f t="shared" si="3"/>
        <v>9600</v>
      </c>
      <c r="J28" s="70">
        <f>D28*Settings!$B$11</f>
        <v>1600</v>
      </c>
      <c r="K28" s="70">
        <f>'Annual Matrix'!$O43</f>
        <v>7840</v>
      </c>
      <c r="L28" s="28">
        <f t="shared" si="4"/>
        <v>-6240</v>
      </c>
      <c r="M28" s="31">
        <f t="shared" si="5"/>
        <v>760.00002800000004</v>
      </c>
    </row>
    <row r="29" spans="1:13" x14ac:dyDescent="0.25">
      <c r="A29" s="16" t="str">
        <f>Settings!$K$39</f>
        <v>Entertainment &amp; Subscriptions</v>
      </c>
      <c r="B29" s="16" t="str">
        <f>Settings!$L$39</f>
        <v>Lifestyle</v>
      </c>
      <c r="C29" s="16" t="str">
        <f>Settings!$M$39</f>
        <v>Wants</v>
      </c>
      <c r="D29" s="70">
        <v>1100</v>
      </c>
      <c r="E29" s="71">
        <f>INDEX('Annual Matrix'!$C44:$N44,Settings!$B$11)</f>
        <v>1100</v>
      </c>
      <c r="F29" s="70">
        <f t="shared" si="0"/>
        <v>0</v>
      </c>
      <c r="G29" s="29">
        <f t="shared" si="1"/>
        <v>1</v>
      </c>
      <c r="H29" s="30" t="str">
        <f t="shared" si="2"/>
        <v>WATCH</v>
      </c>
      <c r="I29" s="70">
        <f t="shared" si="3"/>
        <v>13200</v>
      </c>
      <c r="J29" s="70">
        <f>D29*Settings!$B$11</f>
        <v>2200</v>
      </c>
      <c r="K29" s="70">
        <f>'Annual Matrix'!$O44</f>
        <v>11000</v>
      </c>
      <c r="L29" s="28">
        <f t="shared" si="4"/>
        <v>-8800</v>
      </c>
      <c r="M29" s="31">
        <f t="shared" si="5"/>
        <v>1100.000029</v>
      </c>
    </row>
    <row r="30" spans="1:13" x14ac:dyDescent="0.25">
      <c r="A30" s="16" t="str">
        <f>Settings!$K$40</f>
        <v>Travel &amp; Holidays</v>
      </c>
      <c r="B30" s="16" t="str">
        <f>Settings!$L$40</f>
        <v>Lifestyle</v>
      </c>
      <c r="C30" s="16" t="str">
        <f>Settings!$M$40</f>
        <v>Wants</v>
      </c>
      <c r="D30" s="70">
        <v>2000</v>
      </c>
      <c r="E30" s="71">
        <f>INDEX('Annual Matrix'!$C45:$N45,Settings!$B$11)</f>
        <v>12000</v>
      </c>
      <c r="F30" s="70">
        <f t="shared" si="0"/>
        <v>-10000</v>
      </c>
      <c r="G30" s="29">
        <f t="shared" si="1"/>
        <v>6</v>
      </c>
      <c r="H30" s="30" t="str">
        <f t="shared" si="2"/>
        <v>OVER</v>
      </c>
      <c r="I30" s="70">
        <f t="shared" si="3"/>
        <v>24000</v>
      </c>
      <c r="J30" s="70">
        <f>D30*Settings!$B$11</f>
        <v>4000</v>
      </c>
      <c r="K30" s="70">
        <f>'Annual Matrix'!$O45</f>
        <v>21000</v>
      </c>
      <c r="L30" s="28">
        <f t="shared" si="4"/>
        <v>-17000</v>
      </c>
      <c r="M30" s="31">
        <f t="shared" si="5"/>
        <v>12000.000029999999</v>
      </c>
    </row>
    <row r="31" spans="1:13" x14ac:dyDescent="0.25">
      <c r="A31" s="16" t="str">
        <f>Settings!$K$41</f>
        <v>Gifts &amp; Social Events</v>
      </c>
      <c r="B31" s="16" t="str">
        <f>Settings!$L$41</f>
        <v>Lifestyle</v>
      </c>
      <c r="C31" s="16" t="str">
        <f>Settings!$M$41</f>
        <v>Wants</v>
      </c>
      <c r="D31" s="70">
        <v>1000</v>
      </c>
      <c r="E31" s="71">
        <f>INDEX('Annual Matrix'!$C46:$N46,Settings!$B$11)</f>
        <v>1690</v>
      </c>
      <c r="F31" s="70">
        <f t="shared" si="0"/>
        <v>-690</v>
      </c>
      <c r="G31" s="29">
        <f t="shared" si="1"/>
        <v>1.69</v>
      </c>
      <c r="H31" s="30" t="str">
        <f t="shared" si="2"/>
        <v>OVER</v>
      </c>
      <c r="I31" s="70">
        <f t="shared" si="3"/>
        <v>12000</v>
      </c>
      <c r="J31" s="70">
        <f>D31*Settings!$B$11</f>
        <v>2000</v>
      </c>
      <c r="K31" s="70">
        <f>'Annual Matrix'!$O46</f>
        <v>7690</v>
      </c>
      <c r="L31" s="28">
        <f t="shared" si="4"/>
        <v>-5690</v>
      </c>
      <c r="M31" s="31">
        <f t="shared" si="5"/>
        <v>1690.000031</v>
      </c>
    </row>
    <row r="32" spans="1:13" x14ac:dyDescent="0.25">
      <c r="A32" s="16" t="str">
        <f>Settings!$K$42</f>
        <v>Zakat, Fitra &amp; Sadaqah</v>
      </c>
      <c r="B32" s="16" t="str">
        <f>Settings!$L$42</f>
        <v>Religious &amp; Social</v>
      </c>
      <c r="C32" s="16" t="str">
        <f>Settings!$M$42</f>
        <v>Needs</v>
      </c>
      <c r="D32" s="70">
        <v>3000</v>
      </c>
      <c r="E32" s="71">
        <f>INDEX('Annual Matrix'!$C47:$N47,Settings!$B$11)</f>
        <v>0</v>
      </c>
      <c r="F32" s="70">
        <f t="shared" si="0"/>
        <v>3000</v>
      </c>
      <c r="G32" s="29">
        <f t="shared" si="1"/>
        <v>0</v>
      </c>
      <c r="H32" s="30" t="str">
        <f t="shared" si="2"/>
        <v>OK</v>
      </c>
      <c r="I32" s="70">
        <f t="shared" si="3"/>
        <v>36000</v>
      </c>
      <c r="J32" s="70">
        <f>D32*Settings!$B$11</f>
        <v>6000</v>
      </c>
      <c r="K32" s="70">
        <f>'Annual Matrix'!$O47</f>
        <v>36650</v>
      </c>
      <c r="L32" s="28">
        <f t="shared" si="4"/>
        <v>-30650</v>
      </c>
      <c r="M32" s="31">
        <f t="shared" si="5"/>
        <v>3.1999999999999999E-5</v>
      </c>
    </row>
    <row r="33" spans="1:13" x14ac:dyDescent="0.25">
      <c r="A33" s="16" t="str">
        <f>Settings!$K$43</f>
        <v>Qurbani (Eid-ul-Adha)</v>
      </c>
      <c r="B33" s="16" t="str">
        <f>Settings!$L$43</f>
        <v>Religious &amp; Social</v>
      </c>
      <c r="C33" s="16" t="str">
        <f>Settings!$M$43</f>
        <v>Wants</v>
      </c>
      <c r="D33" s="70">
        <v>1500</v>
      </c>
      <c r="E33" s="71">
        <f>INDEX('Annual Matrix'!$C48:$N48,Settings!$B$11)</f>
        <v>0</v>
      </c>
      <c r="F33" s="70">
        <f t="shared" si="0"/>
        <v>1500</v>
      </c>
      <c r="G33" s="29">
        <f t="shared" si="1"/>
        <v>0</v>
      </c>
      <c r="H33" s="30" t="str">
        <f t="shared" si="2"/>
        <v>OK</v>
      </c>
      <c r="I33" s="70">
        <f t="shared" si="3"/>
        <v>18000</v>
      </c>
      <c r="J33" s="70">
        <f>D33*Settings!$B$11</f>
        <v>3000</v>
      </c>
      <c r="K33" s="70">
        <f>'Annual Matrix'!$O48</f>
        <v>20000</v>
      </c>
      <c r="L33" s="28">
        <f t="shared" si="4"/>
        <v>-17000</v>
      </c>
      <c r="M33" s="31">
        <f t="shared" si="5"/>
        <v>3.3000000000000003E-5</v>
      </c>
    </row>
    <row r="34" spans="1:13" x14ac:dyDescent="0.25">
      <c r="A34" s="16" t="str">
        <f>Settings!$K$44</f>
        <v>Festival Expenses (Eid / Puja / Boishakh)</v>
      </c>
      <c r="B34" s="16" t="str">
        <f>Settings!$L$44</f>
        <v>Religious &amp; Social</v>
      </c>
      <c r="C34" s="16" t="str">
        <f>Settings!$M$44</f>
        <v>Wants</v>
      </c>
      <c r="D34" s="70">
        <v>1000</v>
      </c>
      <c r="E34" s="71">
        <f>INDEX('Annual Matrix'!$C49:$N49,Settings!$B$11)</f>
        <v>0</v>
      </c>
      <c r="F34" s="70">
        <f t="shared" si="0"/>
        <v>1000</v>
      </c>
      <c r="G34" s="29">
        <f t="shared" si="1"/>
        <v>0</v>
      </c>
      <c r="H34" s="30" t="str">
        <f t="shared" si="2"/>
        <v>OK</v>
      </c>
      <c r="I34" s="70">
        <f t="shared" si="3"/>
        <v>12000</v>
      </c>
      <c r="J34" s="70">
        <f>D34*Settings!$B$11</f>
        <v>2000</v>
      </c>
      <c r="K34" s="70">
        <f>'Annual Matrix'!$O49</f>
        <v>18500</v>
      </c>
      <c r="L34" s="28">
        <f t="shared" si="4"/>
        <v>-16500</v>
      </c>
      <c r="M34" s="31">
        <f t="shared" si="5"/>
        <v>3.4E-5</v>
      </c>
    </row>
    <row r="35" spans="1:13" x14ac:dyDescent="0.25">
      <c r="A35" s="16" t="str">
        <f>Settings!$K$45</f>
        <v>Loan EMI</v>
      </c>
      <c r="B35" s="16" t="str">
        <f>Settings!$L$45</f>
        <v>Financial Obligations</v>
      </c>
      <c r="C35" s="16" t="str">
        <f>Settings!$M$45</f>
        <v>Needs</v>
      </c>
      <c r="D35" s="70">
        <v>15300</v>
      </c>
      <c r="E35" s="71">
        <f>INDEX('Annual Matrix'!$C50:$N50,Settings!$B$11)</f>
        <v>15300</v>
      </c>
      <c r="F35" s="70">
        <f t="shared" si="0"/>
        <v>0</v>
      </c>
      <c r="G35" s="29">
        <f t="shared" si="1"/>
        <v>1</v>
      </c>
      <c r="H35" s="30" t="str">
        <f t="shared" si="2"/>
        <v>WATCH</v>
      </c>
      <c r="I35" s="70">
        <f t="shared" si="3"/>
        <v>183600</v>
      </c>
      <c r="J35" s="70">
        <f>D35*Settings!$B$11</f>
        <v>30600</v>
      </c>
      <c r="K35" s="70">
        <f>'Annual Matrix'!$O50</f>
        <v>153000</v>
      </c>
      <c r="L35" s="28">
        <f t="shared" si="4"/>
        <v>-122400</v>
      </c>
      <c r="M35" s="31">
        <f t="shared" si="5"/>
        <v>15300.000034999999</v>
      </c>
    </row>
    <row r="36" spans="1:13" x14ac:dyDescent="0.25">
      <c r="A36" s="16" t="str">
        <f>Settings!$K$46</f>
        <v>Credit Card Payment</v>
      </c>
      <c r="B36" s="16" t="str">
        <f>Settings!$L$46</f>
        <v>Financial Obligations</v>
      </c>
      <c r="C36" s="16" t="str">
        <f>Settings!$M$46</f>
        <v>Needs</v>
      </c>
      <c r="D36" s="70">
        <v>2800</v>
      </c>
      <c r="E36" s="71">
        <f>INDEX('Annual Matrix'!$C51:$N51,Settings!$B$11)</f>
        <v>2800</v>
      </c>
      <c r="F36" s="70">
        <f t="shared" si="0"/>
        <v>0</v>
      </c>
      <c r="G36" s="29">
        <f t="shared" si="1"/>
        <v>1</v>
      </c>
      <c r="H36" s="30" t="str">
        <f t="shared" si="2"/>
        <v>WATCH</v>
      </c>
      <c r="I36" s="70">
        <f t="shared" si="3"/>
        <v>33600</v>
      </c>
      <c r="J36" s="70">
        <f>D36*Settings!$B$11</f>
        <v>5600</v>
      </c>
      <c r="K36" s="70">
        <f>'Annual Matrix'!$O51</f>
        <v>25200</v>
      </c>
      <c r="L36" s="28">
        <f t="shared" si="4"/>
        <v>-19600</v>
      </c>
      <c r="M36" s="31">
        <f t="shared" si="5"/>
        <v>2800.0000359999999</v>
      </c>
    </row>
    <row r="37" spans="1:13" x14ac:dyDescent="0.25">
      <c r="A37" s="16" t="str">
        <f>Settings!$K$47</f>
        <v>Insurance Premium</v>
      </c>
      <c r="B37" s="16" t="str">
        <f>Settings!$L$47</f>
        <v>Financial Obligations</v>
      </c>
      <c r="C37" s="16" t="str">
        <f>Settings!$M$47</f>
        <v>Needs</v>
      </c>
      <c r="D37" s="70">
        <v>2500</v>
      </c>
      <c r="E37" s="71">
        <f>INDEX('Annual Matrix'!$C52:$N52,Settings!$B$11)</f>
        <v>2500</v>
      </c>
      <c r="F37" s="70">
        <f t="shared" si="0"/>
        <v>0</v>
      </c>
      <c r="G37" s="29">
        <f t="shared" si="1"/>
        <v>1</v>
      </c>
      <c r="H37" s="30" t="str">
        <f t="shared" si="2"/>
        <v>WATCH</v>
      </c>
      <c r="I37" s="70">
        <f t="shared" si="3"/>
        <v>30000</v>
      </c>
      <c r="J37" s="70">
        <f>D37*Settings!$B$11</f>
        <v>5000</v>
      </c>
      <c r="K37" s="70">
        <f>'Annual Matrix'!$O52</f>
        <v>25000</v>
      </c>
      <c r="L37" s="28">
        <f t="shared" si="4"/>
        <v>-20000</v>
      </c>
      <c r="M37" s="31">
        <f t="shared" si="5"/>
        <v>2500.0000369999998</v>
      </c>
    </row>
    <row r="38" spans="1:13" x14ac:dyDescent="0.25">
      <c r="A38" s="16" t="str">
        <f>Settings!$K$48</f>
        <v>Income Tax &amp; Govt Fees</v>
      </c>
      <c r="B38" s="16" t="str">
        <f>Settings!$L$48</f>
        <v>Financial Obligations</v>
      </c>
      <c r="C38" s="16" t="str">
        <f>Settings!$M$48</f>
        <v>Needs</v>
      </c>
      <c r="D38" s="70">
        <v>500</v>
      </c>
      <c r="E38" s="71">
        <f>INDEX('Annual Matrix'!$C53:$N53,Settings!$B$11)</f>
        <v>1200</v>
      </c>
      <c r="F38" s="70">
        <f t="shared" si="0"/>
        <v>-700</v>
      </c>
      <c r="G38" s="29">
        <f t="shared" si="1"/>
        <v>2.4</v>
      </c>
      <c r="H38" s="30" t="str">
        <f t="shared" si="2"/>
        <v>OVER</v>
      </c>
      <c r="I38" s="70">
        <f t="shared" si="3"/>
        <v>6000</v>
      </c>
      <c r="J38" s="70">
        <f>D38*Settings!$B$11</f>
        <v>1000</v>
      </c>
      <c r="K38" s="70">
        <f>'Annual Matrix'!$O53</f>
        <v>6200</v>
      </c>
      <c r="L38" s="28">
        <f t="shared" si="4"/>
        <v>-5200</v>
      </c>
      <c r="M38" s="31">
        <f t="shared" si="5"/>
        <v>1200.0000379999999</v>
      </c>
    </row>
    <row r="39" spans="1:13" x14ac:dyDescent="0.25">
      <c r="A39" s="16" t="str">
        <f>Settings!$K$49</f>
        <v>Bank / MFS Charges</v>
      </c>
      <c r="B39" s="16" t="str">
        <f>Settings!$L$49</f>
        <v>Financial Obligations</v>
      </c>
      <c r="C39" s="16" t="str">
        <f>Settings!$M$49</f>
        <v>Needs</v>
      </c>
      <c r="D39" s="70">
        <v>250</v>
      </c>
      <c r="E39" s="71">
        <f>INDEX('Annual Matrix'!$C54:$N54,Settings!$B$11)</f>
        <v>250</v>
      </c>
      <c r="F39" s="70">
        <f t="shared" si="0"/>
        <v>0</v>
      </c>
      <c r="G39" s="29">
        <f t="shared" si="1"/>
        <v>1</v>
      </c>
      <c r="H39" s="30" t="str">
        <f t="shared" si="2"/>
        <v>WATCH</v>
      </c>
      <c r="I39" s="70">
        <f t="shared" si="3"/>
        <v>3000</v>
      </c>
      <c r="J39" s="70">
        <f>D39*Settings!$B$11</f>
        <v>500</v>
      </c>
      <c r="K39" s="70">
        <f>'Annual Matrix'!$O54</f>
        <v>2250</v>
      </c>
      <c r="L39" s="28">
        <f t="shared" si="4"/>
        <v>-1750</v>
      </c>
      <c r="M39" s="31">
        <f t="shared" si="5"/>
        <v>250.00003899999999</v>
      </c>
    </row>
    <row r="40" spans="1:13" x14ac:dyDescent="0.25">
      <c r="A40" s="16" t="str">
        <f>Settings!$K$50</f>
        <v>DPS Deposit</v>
      </c>
      <c r="B40" s="16" t="str">
        <f>Settings!$L$50</f>
        <v>Savings &amp; Investments</v>
      </c>
      <c r="C40" s="16" t="str">
        <f>Settings!$M$50</f>
        <v>Savings</v>
      </c>
      <c r="D40" s="70">
        <v>5000</v>
      </c>
      <c r="E40" s="71">
        <f>INDEX('Annual Matrix'!$C55:$N55,Settings!$B$11)</f>
        <v>5000</v>
      </c>
      <c r="F40" s="70">
        <f t="shared" si="0"/>
        <v>0</v>
      </c>
      <c r="G40" s="29">
        <f t="shared" si="1"/>
        <v>1</v>
      </c>
      <c r="H40" s="30" t="str">
        <f t="shared" si="2"/>
        <v>WATCH</v>
      </c>
      <c r="I40" s="70">
        <f t="shared" si="3"/>
        <v>60000</v>
      </c>
      <c r="J40" s="70">
        <f>D40*Settings!$B$11</f>
        <v>10000</v>
      </c>
      <c r="K40" s="70">
        <f>'Annual Matrix'!$O55</f>
        <v>50000</v>
      </c>
      <c r="L40" s="28">
        <f t="shared" si="4"/>
        <v>-40000</v>
      </c>
      <c r="M40" s="31">
        <f t="shared" si="5"/>
        <v>5000.0000399999999</v>
      </c>
    </row>
    <row r="41" spans="1:13" x14ac:dyDescent="0.25">
      <c r="A41" s="16" t="str">
        <f>Settings!$K$51</f>
        <v>FDR / Sanchayapatra Purchase</v>
      </c>
      <c r="B41" s="16" t="str">
        <f>Settings!$L$51</f>
        <v>Savings &amp; Investments</v>
      </c>
      <c r="C41" s="16" t="str">
        <f>Settings!$M$51</f>
        <v>Savings</v>
      </c>
      <c r="D41" s="70">
        <v>0</v>
      </c>
      <c r="E41" s="71">
        <f>INDEX('Annual Matrix'!$C56:$N56,Settings!$B$11)</f>
        <v>0</v>
      </c>
      <c r="F41" s="70">
        <f t="shared" si="0"/>
        <v>0</v>
      </c>
      <c r="G41" s="29" t="str">
        <f t="shared" si="1"/>
        <v/>
      </c>
      <c r="H41" s="30" t="str">
        <f t="shared" si="2"/>
        <v>-</v>
      </c>
      <c r="I41" s="70">
        <f t="shared" si="3"/>
        <v>0</v>
      </c>
      <c r="J41" s="70">
        <f>D41*Settings!$B$11</f>
        <v>0</v>
      </c>
      <c r="K41" s="70">
        <f>'Annual Matrix'!$O56</f>
        <v>50000</v>
      </c>
      <c r="L41" s="28">
        <f t="shared" si="4"/>
        <v>-50000</v>
      </c>
      <c r="M41" s="31">
        <f t="shared" si="5"/>
        <v>4.1E-5</v>
      </c>
    </row>
    <row r="42" spans="1:13" x14ac:dyDescent="0.25">
      <c r="A42" s="16" t="str">
        <f>Settings!$K$52</f>
        <v>Stocks &amp; Mutual Funds (DSE)</v>
      </c>
      <c r="B42" s="16" t="str">
        <f>Settings!$L$52</f>
        <v>Savings &amp; Investments</v>
      </c>
      <c r="C42" s="16" t="str">
        <f>Settings!$M$52</f>
        <v>Savings</v>
      </c>
      <c r="D42" s="70">
        <v>1500</v>
      </c>
      <c r="E42" s="71">
        <f>INDEX('Annual Matrix'!$C57:$N57,Settings!$B$11)</f>
        <v>0</v>
      </c>
      <c r="F42" s="70">
        <f t="shared" si="0"/>
        <v>1500</v>
      </c>
      <c r="G42" s="29">
        <f t="shared" si="1"/>
        <v>0</v>
      </c>
      <c r="H42" s="30" t="str">
        <f t="shared" si="2"/>
        <v>OK</v>
      </c>
      <c r="I42" s="70">
        <f t="shared" si="3"/>
        <v>18000</v>
      </c>
      <c r="J42" s="70">
        <f>D42*Settings!$B$11</f>
        <v>3000</v>
      </c>
      <c r="K42" s="70">
        <f>'Annual Matrix'!$O57</f>
        <v>15000</v>
      </c>
      <c r="L42" s="28">
        <f t="shared" si="4"/>
        <v>-12000</v>
      </c>
      <c r="M42" s="31">
        <f t="shared" si="5"/>
        <v>4.1999999999999998E-5</v>
      </c>
    </row>
    <row r="43" spans="1:13" x14ac:dyDescent="0.25">
      <c r="A43" s="16" t="str">
        <f>Settings!$K$53</f>
        <v>Gold Purchase</v>
      </c>
      <c r="B43" s="16" t="str">
        <f>Settings!$L$53</f>
        <v>Savings &amp; Investments</v>
      </c>
      <c r="C43" s="16" t="str">
        <f>Settings!$M$53</f>
        <v>Savings</v>
      </c>
      <c r="D43" s="70">
        <v>0</v>
      </c>
      <c r="E43" s="71">
        <f>INDEX('Annual Matrix'!$C58:$N58,Settings!$B$11)</f>
        <v>0</v>
      </c>
      <c r="F43" s="70">
        <f t="shared" si="0"/>
        <v>0</v>
      </c>
      <c r="G43" s="29" t="str">
        <f t="shared" si="1"/>
        <v/>
      </c>
      <c r="H43" s="30" t="str">
        <f t="shared" si="2"/>
        <v>-</v>
      </c>
      <c r="I43" s="70">
        <f t="shared" si="3"/>
        <v>0</v>
      </c>
      <c r="J43" s="70">
        <f>D43*Settings!$B$11</f>
        <v>0</v>
      </c>
      <c r="K43" s="70">
        <f>'Annual Matrix'!$O58</f>
        <v>0</v>
      </c>
      <c r="L43" s="28">
        <f t="shared" si="4"/>
        <v>0</v>
      </c>
      <c r="M43" s="31">
        <f t="shared" si="5"/>
        <v>4.3000000000000002E-5</v>
      </c>
    </row>
    <row r="44" spans="1:13" x14ac:dyDescent="0.25">
      <c r="A44" s="16" t="str">
        <f>Settings!$K$54</f>
        <v>Emergency Fund Deposit</v>
      </c>
      <c r="B44" s="16" t="str">
        <f>Settings!$L$54</f>
        <v>Savings &amp; Investments</v>
      </c>
      <c r="C44" s="16" t="str">
        <f>Settings!$M$54</f>
        <v>Savings</v>
      </c>
      <c r="D44" s="70">
        <v>3000</v>
      </c>
      <c r="E44" s="71">
        <f>INDEX('Annual Matrix'!$C59:$N59,Settings!$B$11)</f>
        <v>3000</v>
      </c>
      <c r="F44" s="70">
        <f t="shared" si="0"/>
        <v>0</v>
      </c>
      <c r="G44" s="29">
        <f t="shared" si="1"/>
        <v>1</v>
      </c>
      <c r="H44" s="30" t="str">
        <f t="shared" si="2"/>
        <v>WATCH</v>
      </c>
      <c r="I44" s="70">
        <f t="shared" si="3"/>
        <v>36000</v>
      </c>
      <c r="J44" s="70">
        <f>D44*Settings!$B$11</f>
        <v>6000</v>
      </c>
      <c r="K44" s="70">
        <f>'Annual Matrix'!$O59</f>
        <v>27000</v>
      </c>
      <c r="L44" s="28">
        <f t="shared" si="4"/>
        <v>-21000</v>
      </c>
      <c r="M44" s="31">
        <f t="shared" si="5"/>
        <v>3000.0000439999999</v>
      </c>
    </row>
    <row r="45" spans="1:13" x14ac:dyDescent="0.25">
      <c r="A45" s="16" t="str">
        <f>Settings!$K$55</f>
        <v>Provident / Pension Contribution</v>
      </c>
      <c r="B45" s="16" t="str">
        <f>Settings!$L$55</f>
        <v>Savings &amp; Investments</v>
      </c>
      <c r="C45" s="16" t="str">
        <f>Settings!$M$55</f>
        <v>Savings</v>
      </c>
      <c r="D45" s="70">
        <v>0</v>
      </c>
      <c r="E45" s="71">
        <f>INDEX('Annual Matrix'!$C60:$N60,Settings!$B$11)</f>
        <v>0</v>
      </c>
      <c r="F45" s="70">
        <f t="shared" si="0"/>
        <v>0</v>
      </c>
      <c r="G45" s="29" t="str">
        <f t="shared" si="1"/>
        <v/>
      </c>
      <c r="H45" s="30" t="str">
        <f t="shared" si="2"/>
        <v>-</v>
      </c>
      <c r="I45" s="70">
        <f t="shared" si="3"/>
        <v>0</v>
      </c>
      <c r="J45" s="70">
        <f>D45*Settings!$B$11</f>
        <v>0</v>
      </c>
      <c r="K45" s="70">
        <f>'Annual Matrix'!$O60</f>
        <v>0</v>
      </c>
      <c r="L45" s="28">
        <f t="shared" si="4"/>
        <v>0</v>
      </c>
      <c r="M45" s="31">
        <f t="shared" si="5"/>
        <v>4.5000000000000003E-5</v>
      </c>
    </row>
    <row r="46" spans="1:13" x14ac:dyDescent="0.25">
      <c r="A46" s="16" t="str">
        <f>Settings!$K$56</f>
        <v>Miscellaneous</v>
      </c>
      <c r="B46" s="16" t="str">
        <f>Settings!$L$56</f>
        <v>Other</v>
      </c>
      <c r="C46" s="16" t="str">
        <f>Settings!$M$56</f>
        <v>Wants</v>
      </c>
      <c r="D46" s="70">
        <v>1000</v>
      </c>
      <c r="E46" s="71">
        <f>INDEX('Annual Matrix'!$C61:$N61,Settings!$B$11)</f>
        <v>0</v>
      </c>
      <c r="F46" s="70">
        <f t="shared" si="0"/>
        <v>1000</v>
      </c>
      <c r="G46" s="29">
        <f t="shared" si="1"/>
        <v>0</v>
      </c>
      <c r="H46" s="30" t="str">
        <f t="shared" si="2"/>
        <v>OK</v>
      </c>
      <c r="I46" s="70">
        <f t="shared" si="3"/>
        <v>12000</v>
      </c>
      <c r="J46" s="70">
        <f>D46*Settings!$B$11</f>
        <v>2000</v>
      </c>
      <c r="K46" s="70">
        <f>'Annual Matrix'!$O61</f>
        <v>1600</v>
      </c>
      <c r="L46" s="28">
        <f t="shared" si="4"/>
        <v>400</v>
      </c>
      <c r="M46" s="31">
        <f t="shared" si="5"/>
        <v>4.6E-5</v>
      </c>
    </row>
    <row r="47" spans="1:13" x14ac:dyDescent="0.25">
      <c r="A47" s="19" t="s">
        <v>59</v>
      </c>
      <c r="B47" s="19"/>
      <c r="C47" s="19"/>
      <c r="D47" s="72">
        <f>SUM(D6:D46)</f>
        <v>106230</v>
      </c>
      <c r="E47" s="72">
        <f>SUM(E6:E46)</f>
        <v>102240</v>
      </c>
      <c r="F47" s="72">
        <f>SUM(F6:F46)</f>
        <v>3990</v>
      </c>
      <c r="G47" s="33">
        <f t="shared" si="1"/>
        <v>0.96243998870375602</v>
      </c>
      <c r="H47" s="19"/>
      <c r="I47" s="72">
        <f>SUM(I6:I46)</f>
        <v>1274760</v>
      </c>
      <c r="J47" s="72">
        <f>SUM(J6:J46)</f>
        <v>212460</v>
      </c>
      <c r="K47" s="72">
        <f>SUM(K6:K46)</f>
        <v>1074950</v>
      </c>
      <c r="L47" s="32">
        <f>SUM(L6:L46)</f>
        <v>-862490</v>
      </c>
    </row>
    <row r="50" spans="1:6" x14ac:dyDescent="0.25">
      <c r="A50" s="1" t="s">
        <v>316</v>
      </c>
      <c r="B50" s="1"/>
      <c r="C50" s="1"/>
      <c r="D50" s="1"/>
    </row>
    <row r="51" spans="1:6" x14ac:dyDescent="0.25">
      <c r="A51" s="7" t="s">
        <v>317</v>
      </c>
      <c r="D51" s="25">
        <v>115000</v>
      </c>
    </row>
    <row r="52" spans="1:6" x14ac:dyDescent="0.25">
      <c r="A52" s="7" t="s">
        <v>318</v>
      </c>
      <c r="D52" s="34">
        <f>INDEX('Annual Matrix'!$C$18:$N$18,Settings!$B$11)</f>
        <v>128330</v>
      </c>
    </row>
    <row r="53" spans="1:6" x14ac:dyDescent="0.25">
      <c r="A53" s="7" t="s">
        <v>319</v>
      </c>
      <c r="D53" s="35">
        <f>D47</f>
        <v>106230</v>
      </c>
    </row>
    <row r="54" spans="1:6" x14ac:dyDescent="0.25">
      <c r="A54" s="19" t="s">
        <v>320</v>
      </c>
      <c r="D54" s="32">
        <f>D51-D53</f>
        <v>8770</v>
      </c>
    </row>
    <row r="57" spans="1:6" x14ac:dyDescent="0.25">
      <c r="A57" s="1" t="s">
        <v>321</v>
      </c>
      <c r="B57" s="1"/>
      <c r="C57" s="1"/>
      <c r="D57" s="1"/>
      <c r="E57" s="1"/>
      <c r="F57" s="1"/>
    </row>
    <row r="58" spans="1:6" x14ac:dyDescent="0.25">
      <c r="A58" s="13" t="s">
        <v>322</v>
      </c>
      <c r="B58" s="13"/>
      <c r="C58" s="13" t="s">
        <v>133</v>
      </c>
      <c r="D58" s="13" t="s">
        <v>323</v>
      </c>
      <c r="E58" s="13" t="s">
        <v>324</v>
      </c>
      <c r="F58" s="13" t="s">
        <v>118</v>
      </c>
    </row>
    <row r="59" spans="1:6" x14ac:dyDescent="0.25">
      <c r="A59" s="26" t="s">
        <v>325</v>
      </c>
      <c r="B59" s="7"/>
      <c r="C59" s="73">
        <f>SUMIF($C$6:$C$46,"Needs",$E$6:$E$46)</f>
        <v>77630</v>
      </c>
      <c r="D59" s="36">
        <f>IF($D$52=0,0,C59/$D$52)</f>
        <v>0.60492480324164266</v>
      </c>
      <c r="E59" s="37">
        <f>Settings!$B$12</f>
        <v>0.5</v>
      </c>
      <c r="F59" s="30" t="str">
        <f>IF($D$52=0,"-",IF(D59&lt;=E59,"On Target","Over Target"))</f>
        <v>Over Target</v>
      </c>
    </row>
    <row r="60" spans="1:6" x14ac:dyDescent="0.25">
      <c r="A60" s="26" t="s">
        <v>326</v>
      </c>
      <c r="B60" s="7"/>
      <c r="C60" s="73">
        <f>SUMIF($C$6:$C$46,"Wants",$E$6:$E$46)</f>
        <v>16610</v>
      </c>
      <c r="D60" s="36">
        <f>IF($D$52=0,0,C60/$D$52)</f>
        <v>0.12943193329696875</v>
      </c>
      <c r="E60" s="37">
        <f>Settings!$B$13</f>
        <v>0.3</v>
      </c>
      <c r="F60" s="30" t="str">
        <f>IF($D$52=0,"-",IF(D60&lt;=E60,"On Target","Over Target"))</f>
        <v>On Target</v>
      </c>
    </row>
    <row r="61" spans="1:6" x14ac:dyDescent="0.25">
      <c r="A61" s="26" t="s">
        <v>327</v>
      </c>
      <c r="B61" s="7"/>
      <c r="C61" s="73">
        <f>SUMIF($C$6:$C$46,"Savings",$E$6:$E$46)</f>
        <v>8000</v>
      </c>
      <c r="D61" s="36">
        <f>IF($D$52=0,0,C61/$D$52)</f>
        <v>6.2339281539780252E-2</v>
      </c>
      <c r="E61" s="37">
        <f>Settings!$B$14</f>
        <v>0.2</v>
      </c>
      <c r="F61" s="30" t="str">
        <f>IF($D$52=0,"-",IF(D61&gt;=E61,"On Target","Below Target"))</f>
        <v>Below Target</v>
      </c>
    </row>
    <row r="63" spans="1:6" x14ac:dyDescent="0.25">
      <c r="A63" s="21" t="s">
        <v>328</v>
      </c>
    </row>
  </sheetData>
  <mergeCells count="2">
    <mergeCell ref="A1:M1"/>
    <mergeCell ref="A2:M2"/>
  </mergeCells>
  <conditionalFormatting sqref="F59:F61">
    <cfRule type="cellIs" dxfId="29" priority="9" operator="equal">
      <formula>"On Target"</formula>
    </cfRule>
    <cfRule type="cellIs" dxfId="28" priority="10" operator="equal">
      <formula>"Over Target"</formula>
    </cfRule>
    <cfRule type="cellIs" dxfId="27" priority="11" operator="equal">
      <formula>"Below Target"</formula>
    </cfRule>
  </conditionalFormatting>
  <conditionalFormatting sqref="G6:G46">
    <cfRule type="dataBar" priority="8">
      <dataBar>
        <cfvo type="num" val="0"/>
        <cfvo type="num" val="1.5"/>
        <color rgb="FF7FC4AB"/>
      </dataBar>
      <extLst>
        <ext xmlns:x14="http://schemas.microsoft.com/office/spreadsheetml/2009/9/main" uri="{B025F937-C7B1-47D3-B67F-A62EFF666E3E}">
          <x14:id>{CD273C14-4A18-4EEC-ACC9-E431C1284C62}</x14:id>
        </ext>
      </extLst>
    </cfRule>
  </conditionalFormatting>
  <conditionalFormatting sqref="H6:H46">
    <cfRule type="cellIs" dxfId="26" priority="2" operator="equal">
      <formula>"OVER"</formula>
    </cfRule>
    <cfRule type="cellIs" dxfId="25" priority="3" operator="equal">
      <formula>"WATCH"</formula>
    </cfRule>
    <cfRule type="cellIs" dxfId="24" priority="4" operator="equal">
      <formula>"OK"</formula>
    </cfRule>
    <cfRule type="cellIs" dxfId="23" priority="5" operator="equal">
      <formula>"Unbudgeted"</formula>
    </cfRule>
  </conditionalFormatting>
  <conditionalFormatting sqref="L6:L47">
    <cfRule type="cellIs" dxfId="22" priority="7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273C14-4A18-4EEC-ACC9-E431C1284C62}">
            <x14:dataBar axisPosition="none">
              <x14:cfvo type="num">
                <xm:f>0</xm:f>
              </x14:cfvo>
              <x14:cfvo type="num">
                <xm:f>1.5</xm:f>
              </x14:cfvo>
              <x14:negativeFillColor rgb="FF7FC4AB"/>
            </x14:dataBar>
          </x14:cfRule>
          <xm:sqref>G6:G46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A4E"/>
    <pageSetUpPr fitToPage="1"/>
  </sheetPr>
  <dimension ref="A1:R6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R1"/>
    </sheetView>
  </sheetViews>
  <sheetFormatPr defaultColWidth="8.7109375" defaultRowHeight="15" x14ac:dyDescent="0.25"/>
  <cols>
    <col min="1" max="1" width="44" customWidth="1"/>
    <col min="2" max="2" width="22" customWidth="1"/>
    <col min="3" max="12" width="15.7109375" bestFit="1" customWidth="1"/>
    <col min="13" max="14" width="9" bestFit="1" customWidth="1"/>
    <col min="15" max="16" width="17.42578125" bestFit="1" customWidth="1"/>
    <col min="17" max="17" width="15.7109375" bestFit="1" customWidth="1"/>
    <col min="18" max="18" width="8" bestFit="1" customWidth="1"/>
  </cols>
  <sheetData>
    <row r="1" spans="1:18" ht="33.75" customHeight="1" x14ac:dyDescent="0.25">
      <c r="A1" s="81" t="s">
        <v>329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25.5" customHeight="1" x14ac:dyDescent="0.25">
      <c r="A2" s="82" t="s">
        <v>330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25">
      <c r="A3" s="21" t="s">
        <v>331</v>
      </c>
      <c r="C3" s="38">
        <v>1</v>
      </c>
      <c r="D3" s="38">
        <v>2</v>
      </c>
      <c r="E3" s="38">
        <v>3</v>
      </c>
      <c r="F3" s="38">
        <v>4</v>
      </c>
      <c r="G3" s="38">
        <v>5</v>
      </c>
      <c r="H3" s="38">
        <v>6</v>
      </c>
      <c r="I3" s="38">
        <v>7</v>
      </c>
      <c r="J3" s="38">
        <v>8</v>
      </c>
      <c r="K3" s="38">
        <v>9</v>
      </c>
      <c r="L3" s="38">
        <v>10</v>
      </c>
      <c r="M3" s="38">
        <v>11</v>
      </c>
      <c r="N3" s="38">
        <v>12</v>
      </c>
    </row>
    <row r="4" spans="1:18" ht="38.25" x14ac:dyDescent="0.25">
      <c r="A4" s="13" t="s">
        <v>119</v>
      </c>
      <c r="B4" s="13" t="s">
        <v>144</v>
      </c>
      <c r="C4" s="13" t="s">
        <v>332</v>
      </c>
      <c r="D4" s="13" t="s">
        <v>333</v>
      </c>
      <c r="E4" s="13" t="s">
        <v>334</v>
      </c>
      <c r="F4" s="13" t="s">
        <v>335</v>
      </c>
      <c r="G4" s="13" t="s">
        <v>336</v>
      </c>
      <c r="H4" s="13" t="s">
        <v>337</v>
      </c>
      <c r="I4" s="13" t="s">
        <v>338</v>
      </c>
      <c r="J4" s="13" t="s">
        <v>339</v>
      </c>
      <c r="K4" s="13" t="s">
        <v>340</v>
      </c>
      <c r="L4" s="13" t="s">
        <v>341</v>
      </c>
      <c r="M4" s="13" t="s">
        <v>342</v>
      </c>
      <c r="N4" s="13" t="s">
        <v>343</v>
      </c>
      <c r="O4" s="13" t="s">
        <v>344</v>
      </c>
      <c r="P4" s="13" t="s">
        <v>311</v>
      </c>
      <c r="Q4" s="13" t="s">
        <v>345</v>
      </c>
      <c r="R4" s="13" t="s">
        <v>346</v>
      </c>
    </row>
    <row r="5" spans="1:18" x14ac:dyDescent="0.25">
      <c r="A5" s="1" t="s">
        <v>347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6" t="str">
        <f>Settings!$K$4</f>
        <v>Salary</v>
      </c>
      <c r="B6" s="7" t="s">
        <v>148</v>
      </c>
      <c r="C6" s="71">
        <f>SUMIFS(Transactions!$G$6:$G$2005,Transactions!$B$6:$B$2005,"Income",Transactions!$C$6:$C$2005,$A6,Transactions!$I$6:$I$2005,C$3,Transactions!$J$6:$J$2005,Settings!$B$5)</f>
        <v>115000</v>
      </c>
      <c r="D6" s="71">
        <f>SUMIFS(Transactions!$G$6:$G$2005,Transactions!$B$6:$B$2005,"Income",Transactions!$C$6:$C$2005,$A6,Transactions!$I$6:$I$2005,D$3,Transactions!$J$6:$J$2005,Settings!$B$5)</f>
        <v>115000</v>
      </c>
      <c r="E6" s="71">
        <f>SUMIFS(Transactions!$G$6:$G$2005,Transactions!$B$6:$B$2005,"Income",Transactions!$C$6:$C$2005,$A6,Transactions!$I$6:$I$2005,E$3,Transactions!$J$6:$J$2005,Settings!$B$5)</f>
        <v>115000</v>
      </c>
      <c r="F6" s="71">
        <f>SUMIFS(Transactions!$G$6:$G$2005,Transactions!$B$6:$B$2005,"Income",Transactions!$C$6:$C$2005,$A6,Transactions!$I$6:$I$2005,F$3,Transactions!$J$6:$J$2005,Settings!$B$5)</f>
        <v>115000</v>
      </c>
      <c r="G6" s="71">
        <f>SUMIFS(Transactions!$G$6:$G$2005,Transactions!$B$6:$B$2005,"Income",Transactions!$C$6:$C$2005,$A6,Transactions!$I$6:$I$2005,G$3,Transactions!$J$6:$J$2005,Settings!$B$5)</f>
        <v>115000</v>
      </c>
      <c r="H6" s="71">
        <f>SUMIFS(Transactions!$G$6:$G$2005,Transactions!$B$6:$B$2005,"Income",Transactions!$C$6:$C$2005,$A6,Transactions!$I$6:$I$2005,H$3,Transactions!$J$6:$J$2005,Settings!$B$5)</f>
        <v>115000</v>
      </c>
      <c r="I6" s="71">
        <f>SUMIFS(Transactions!$G$6:$G$2005,Transactions!$B$6:$B$2005,"Income",Transactions!$C$6:$C$2005,$A6,Transactions!$I$6:$I$2005,I$3,Transactions!$J$6:$J$2005,Settings!$B$5)</f>
        <v>115000</v>
      </c>
      <c r="J6" s="71">
        <f>SUMIFS(Transactions!$G$6:$G$2005,Transactions!$B$6:$B$2005,"Income",Transactions!$C$6:$C$2005,$A6,Transactions!$I$6:$I$2005,J$3,Transactions!$J$6:$J$2005,Settings!$B$5)</f>
        <v>115000</v>
      </c>
      <c r="K6" s="71">
        <f>SUMIFS(Transactions!$G$6:$G$2005,Transactions!$B$6:$B$2005,"Income",Transactions!$C$6:$C$2005,$A6,Transactions!$I$6:$I$2005,K$3,Transactions!$J$6:$J$2005,Settings!$B$5)</f>
        <v>115000</v>
      </c>
      <c r="L6" s="71">
        <f>SUMIFS(Transactions!$G$6:$G$2005,Transactions!$B$6:$B$2005,"Income",Transactions!$C$6:$C$2005,$A6,Transactions!$I$6:$I$2005,L$3,Transactions!$J$6:$J$2005,Settings!$B$5)</f>
        <v>115000</v>
      </c>
      <c r="M6" s="71">
        <f>SUMIFS(Transactions!$G$6:$G$2005,Transactions!$B$6:$B$2005,"Income",Transactions!$C$6:$C$2005,$A6,Transactions!$I$6:$I$2005,M$3,Transactions!$J$6:$J$2005,Settings!$B$5)</f>
        <v>0</v>
      </c>
      <c r="N6" s="71">
        <f>SUMIFS(Transactions!$G$6:$G$2005,Transactions!$B$6:$B$2005,"Income",Transactions!$C$6:$C$2005,$A6,Transactions!$I$6:$I$2005,N$3,Transactions!$J$6:$J$2005,Settings!$B$5)</f>
        <v>0</v>
      </c>
      <c r="O6" s="74">
        <f t="shared" ref="O6:O17" si="0">SUM(C6:N6)</f>
        <v>1150000</v>
      </c>
      <c r="P6" s="75"/>
      <c r="Q6" s="75"/>
      <c r="R6" s="7"/>
    </row>
    <row r="7" spans="1:18" x14ac:dyDescent="0.25">
      <c r="A7" s="16" t="str">
        <f>Settings!$K$5</f>
        <v>Festival Bonus (Eid)</v>
      </c>
      <c r="B7" s="7" t="s">
        <v>148</v>
      </c>
      <c r="C7" s="71">
        <f>SUMIFS(Transactions!$G$6:$G$2005,Transactions!$B$6:$B$2005,"Income",Transactions!$C$6:$C$2005,$A7,Transactions!$I$6:$I$2005,C$3,Transactions!$J$6:$J$2005,Settings!$B$5)</f>
        <v>0</v>
      </c>
      <c r="D7" s="71">
        <f>SUMIFS(Transactions!$G$6:$G$2005,Transactions!$B$6:$B$2005,"Income",Transactions!$C$6:$C$2005,$A7,Transactions!$I$6:$I$2005,D$3,Transactions!$J$6:$J$2005,Settings!$B$5)</f>
        <v>0</v>
      </c>
      <c r="E7" s="71">
        <f>SUMIFS(Transactions!$G$6:$G$2005,Transactions!$B$6:$B$2005,"Income",Transactions!$C$6:$C$2005,$A7,Transactions!$I$6:$I$2005,E$3,Transactions!$J$6:$J$2005,Settings!$B$5)</f>
        <v>72000</v>
      </c>
      <c r="F7" s="71">
        <f>SUMIFS(Transactions!$G$6:$G$2005,Transactions!$B$6:$B$2005,"Income",Transactions!$C$6:$C$2005,$A7,Transactions!$I$6:$I$2005,F$3,Transactions!$J$6:$J$2005,Settings!$B$5)</f>
        <v>0</v>
      </c>
      <c r="G7" s="71">
        <f>SUMIFS(Transactions!$G$6:$G$2005,Transactions!$B$6:$B$2005,"Income",Transactions!$C$6:$C$2005,$A7,Transactions!$I$6:$I$2005,G$3,Transactions!$J$6:$J$2005,Settings!$B$5)</f>
        <v>72000</v>
      </c>
      <c r="H7" s="71">
        <f>SUMIFS(Transactions!$G$6:$G$2005,Transactions!$B$6:$B$2005,"Income",Transactions!$C$6:$C$2005,$A7,Transactions!$I$6:$I$2005,H$3,Transactions!$J$6:$J$2005,Settings!$B$5)</f>
        <v>0</v>
      </c>
      <c r="I7" s="71">
        <f>SUMIFS(Transactions!$G$6:$G$2005,Transactions!$B$6:$B$2005,"Income",Transactions!$C$6:$C$2005,$A7,Transactions!$I$6:$I$2005,I$3,Transactions!$J$6:$J$2005,Settings!$B$5)</f>
        <v>0</v>
      </c>
      <c r="J7" s="71">
        <f>SUMIFS(Transactions!$G$6:$G$2005,Transactions!$B$6:$B$2005,"Income",Transactions!$C$6:$C$2005,$A7,Transactions!$I$6:$I$2005,J$3,Transactions!$J$6:$J$2005,Settings!$B$5)</f>
        <v>0</v>
      </c>
      <c r="K7" s="71">
        <f>SUMIFS(Transactions!$G$6:$G$2005,Transactions!$B$6:$B$2005,"Income",Transactions!$C$6:$C$2005,$A7,Transactions!$I$6:$I$2005,K$3,Transactions!$J$6:$J$2005,Settings!$B$5)</f>
        <v>0</v>
      </c>
      <c r="L7" s="71">
        <f>SUMIFS(Transactions!$G$6:$G$2005,Transactions!$B$6:$B$2005,"Income",Transactions!$C$6:$C$2005,$A7,Transactions!$I$6:$I$2005,L$3,Transactions!$J$6:$J$2005,Settings!$B$5)</f>
        <v>0</v>
      </c>
      <c r="M7" s="71">
        <f>SUMIFS(Transactions!$G$6:$G$2005,Transactions!$B$6:$B$2005,"Income",Transactions!$C$6:$C$2005,$A7,Transactions!$I$6:$I$2005,M$3,Transactions!$J$6:$J$2005,Settings!$B$5)</f>
        <v>0</v>
      </c>
      <c r="N7" s="71">
        <f>SUMIFS(Transactions!$G$6:$G$2005,Transactions!$B$6:$B$2005,"Income",Transactions!$C$6:$C$2005,$A7,Transactions!$I$6:$I$2005,N$3,Transactions!$J$6:$J$2005,Settings!$B$5)</f>
        <v>0</v>
      </c>
      <c r="O7" s="74">
        <f t="shared" si="0"/>
        <v>144000</v>
      </c>
      <c r="P7" s="75"/>
      <c r="Q7" s="75"/>
      <c r="R7" s="7"/>
    </row>
    <row r="8" spans="1:18" x14ac:dyDescent="0.25">
      <c r="A8" s="16" t="str">
        <f>Settings!$K$6</f>
        <v>Business / Trade Income</v>
      </c>
      <c r="B8" s="7" t="s">
        <v>148</v>
      </c>
      <c r="C8" s="71">
        <f>SUMIFS(Transactions!$G$6:$G$2005,Transactions!$B$6:$B$2005,"Income",Transactions!$C$6:$C$2005,$A8,Transactions!$I$6:$I$2005,C$3,Transactions!$J$6:$J$2005,Settings!$B$5)</f>
        <v>0</v>
      </c>
      <c r="D8" s="71">
        <f>SUMIFS(Transactions!$G$6:$G$2005,Transactions!$B$6:$B$2005,"Income",Transactions!$C$6:$C$2005,$A8,Transactions!$I$6:$I$2005,D$3,Transactions!$J$6:$J$2005,Settings!$B$5)</f>
        <v>0</v>
      </c>
      <c r="E8" s="71">
        <f>SUMIFS(Transactions!$G$6:$G$2005,Transactions!$B$6:$B$2005,"Income",Transactions!$C$6:$C$2005,$A8,Transactions!$I$6:$I$2005,E$3,Transactions!$J$6:$J$2005,Settings!$B$5)</f>
        <v>0</v>
      </c>
      <c r="F8" s="71">
        <f>SUMIFS(Transactions!$G$6:$G$2005,Transactions!$B$6:$B$2005,"Income",Transactions!$C$6:$C$2005,$A8,Transactions!$I$6:$I$2005,F$3,Transactions!$J$6:$J$2005,Settings!$B$5)</f>
        <v>0</v>
      </c>
      <c r="G8" s="71">
        <f>SUMIFS(Transactions!$G$6:$G$2005,Transactions!$B$6:$B$2005,"Income",Transactions!$C$6:$C$2005,$A8,Transactions!$I$6:$I$2005,G$3,Transactions!$J$6:$J$2005,Settings!$B$5)</f>
        <v>0</v>
      </c>
      <c r="H8" s="71">
        <f>SUMIFS(Transactions!$G$6:$G$2005,Transactions!$B$6:$B$2005,"Income",Transactions!$C$6:$C$2005,$A8,Transactions!$I$6:$I$2005,H$3,Transactions!$J$6:$J$2005,Settings!$B$5)</f>
        <v>0</v>
      </c>
      <c r="I8" s="71">
        <f>SUMIFS(Transactions!$G$6:$G$2005,Transactions!$B$6:$B$2005,"Income",Transactions!$C$6:$C$2005,$A8,Transactions!$I$6:$I$2005,I$3,Transactions!$J$6:$J$2005,Settings!$B$5)</f>
        <v>0</v>
      </c>
      <c r="J8" s="71">
        <f>SUMIFS(Transactions!$G$6:$G$2005,Transactions!$B$6:$B$2005,"Income",Transactions!$C$6:$C$2005,$A8,Transactions!$I$6:$I$2005,J$3,Transactions!$J$6:$J$2005,Settings!$B$5)</f>
        <v>0</v>
      </c>
      <c r="K8" s="71">
        <f>SUMIFS(Transactions!$G$6:$G$2005,Transactions!$B$6:$B$2005,"Income",Transactions!$C$6:$C$2005,$A8,Transactions!$I$6:$I$2005,K$3,Transactions!$J$6:$J$2005,Settings!$B$5)</f>
        <v>0</v>
      </c>
      <c r="L8" s="71">
        <f>SUMIFS(Transactions!$G$6:$G$2005,Transactions!$B$6:$B$2005,"Income",Transactions!$C$6:$C$2005,$A8,Transactions!$I$6:$I$2005,L$3,Transactions!$J$6:$J$2005,Settings!$B$5)</f>
        <v>0</v>
      </c>
      <c r="M8" s="71">
        <f>SUMIFS(Transactions!$G$6:$G$2005,Transactions!$B$6:$B$2005,"Income",Transactions!$C$6:$C$2005,$A8,Transactions!$I$6:$I$2005,M$3,Transactions!$J$6:$J$2005,Settings!$B$5)</f>
        <v>0</v>
      </c>
      <c r="N8" s="71">
        <f>SUMIFS(Transactions!$G$6:$G$2005,Transactions!$B$6:$B$2005,"Income",Transactions!$C$6:$C$2005,$A8,Transactions!$I$6:$I$2005,N$3,Transactions!$J$6:$J$2005,Settings!$B$5)</f>
        <v>0</v>
      </c>
      <c r="O8" s="74">
        <f t="shared" si="0"/>
        <v>0</v>
      </c>
      <c r="P8" s="75"/>
      <c r="Q8" s="75"/>
      <c r="R8" s="7"/>
    </row>
    <row r="9" spans="1:18" x14ac:dyDescent="0.25">
      <c r="A9" s="16" t="str">
        <f>Settings!$K$7</f>
        <v>Freelance / Side Income</v>
      </c>
      <c r="B9" s="7" t="s">
        <v>148</v>
      </c>
      <c r="C9" s="71">
        <f>SUMIFS(Transactions!$G$6:$G$2005,Transactions!$B$6:$B$2005,"Income",Transactions!$C$6:$C$2005,$A9,Transactions!$I$6:$I$2005,C$3,Transactions!$J$6:$J$2005,Settings!$B$5)</f>
        <v>0</v>
      </c>
      <c r="D9" s="71">
        <f>SUMIFS(Transactions!$G$6:$G$2005,Transactions!$B$6:$B$2005,"Income",Transactions!$C$6:$C$2005,$A9,Transactions!$I$6:$I$2005,D$3,Transactions!$J$6:$J$2005,Settings!$B$5)</f>
        <v>13330</v>
      </c>
      <c r="E9" s="71">
        <f>SUMIFS(Transactions!$G$6:$G$2005,Transactions!$B$6:$B$2005,"Income",Transactions!$C$6:$C$2005,$A9,Transactions!$I$6:$I$2005,E$3,Transactions!$J$6:$J$2005,Settings!$B$5)</f>
        <v>0</v>
      </c>
      <c r="F9" s="71">
        <f>SUMIFS(Transactions!$G$6:$G$2005,Transactions!$B$6:$B$2005,"Income",Transactions!$C$6:$C$2005,$A9,Transactions!$I$6:$I$2005,F$3,Transactions!$J$6:$J$2005,Settings!$B$5)</f>
        <v>14480</v>
      </c>
      <c r="G9" s="71">
        <f>SUMIFS(Transactions!$G$6:$G$2005,Transactions!$B$6:$B$2005,"Income",Transactions!$C$6:$C$2005,$A9,Transactions!$I$6:$I$2005,G$3,Transactions!$J$6:$J$2005,Settings!$B$5)</f>
        <v>0</v>
      </c>
      <c r="H9" s="71">
        <f>SUMIFS(Transactions!$G$6:$G$2005,Transactions!$B$6:$B$2005,"Income",Transactions!$C$6:$C$2005,$A9,Transactions!$I$6:$I$2005,H$3,Transactions!$J$6:$J$2005,Settings!$B$5)</f>
        <v>13120</v>
      </c>
      <c r="I9" s="71">
        <f>SUMIFS(Transactions!$G$6:$G$2005,Transactions!$B$6:$B$2005,"Income",Transactions!$C$6:$C$2005,$A9,Transactions!$I$6:$I$2005,I$3,Transactions!$J$6:$J$2005,Settings!$B$5)</f>
        <v>0</v>
      </c>
      <c r="J9" s="71">
        <f>SUMIFS(Transactions!$G$6:$G$2005,Transactions!$B$6:$B$2005,"Income",Transactions!$C$6:$C$2005,$A9,Transactions!$I$6:$I$2005,J$3,Transactions!$J$6:$J$2005,Settings!$B$5)</f>
        <v>12840</v>
      </c>
      <c r="K9" s="71">
        <f>SUMIFS(Transactions!$G$6:$G$2005,Transactions!$B$6:$B$2005,"Income",Transactions!$C$6:$C$2005,$A9,Transactions!$I$6:$I$2005,K$3,Transactions!$J$6:$J$2005,Settings!$B$5)</f>
        <v>0</v>
      </c>
      <c r="L9" s="71">
        <f>SUMIFS(Transactions!$G$6:$G$2005,Transactions!$B$6:$B$2005,"Income",Transactions!$C$6:$C$2005,$A9,Transactions!$I$6:$I$2005,L$3,Transactions!$J$6:$J$2005,Settings!$B$5)</f>
        <v>13400</v>
      </c>
      <c r="M9" s="71">
        <f>SUMIFS(Transactions!$G$6:$G$2005,Transactions!$B$6:$B$2005,"Income",Transactions!$C$6:$C$2005,$A9,Transactions!$I$6:$I$2005,M$3,Transactions!$J$6:$J$2005,Settings!$B$5)</f>
        <v>0</v>
      </c>
      <c r="N9" s="71">
        <f>SUMIFS(Transactions!$G$6:$G$2005,Transactions!$B$6:$B$2005,"Income",Transactions!$C$6:$C$2005,$A9,Transactions!$I$6:$I$2005,N$3,Transactions!$J$6:$J$2005,Settings!$B$5)</f>
        <v>0</v>
      </c>
      <c r="O9" s="74">
        <f t="shared" si="0"/>
        <v>67170</v>
      </c>
      <c r="P9" s="75"/>
      <c r="Q9" s="75"/>
      <c r="R9" s="7"/>
    </row>
    <row r="10" spans="1:18" x14ac:dyDescent="0.25">
      <c r="A10" s="16" t="str">
        <f>Settings!$K$8</f>
        <v>Remittance (Foreign)</v>
      </c>
      <c r="B10" s="7" t="s">
        <v>148</v>
      </c>
      <c r="C10" s="71">
        <f>SUMIFS(Transactions!$G$6:$G$2005,Transactions!$B$6:$B$2005,"Income",Transactions!$C$6:$C$2005,$A10,Transactions!$I$6:$I$2005,C$3,Transactions!$J$6:$J$2005,Settings!$B$5)</f>
        <v>0</v>
      </c>
      <c r="D10" s="71">
        <f>SUMIFS(Transactions!$G$6:$G$2005,Transactions!$B$6:$B$2005,"Income",Transactions!$C$6:$C$2005,$A10,Transactions!$I$6:$I$2005,D$3,Transactions!$J$6:$J$2005,Settings!$B$5)</f>
        <v>0</v>
      </c>
      <c r="E10" s="71">
        <f>SUMIFS(Transactions!$G$6:$G$2005,Transactions!$B$6:$B$2005,"Income",Transactions!$C$6:$C$2005,$A10,Transactions!$I$6:$I$2005,E$3,Transactions!$J$6:$J$2005,Settings!$B$5)</f>
        <v>0</v>
      </c>
      <c r="F10" s="71">
        <f>SUMIFS(Transactions!$G$6:$G$2005,Transactions!$B$6:$B$2005,"Income",Transactions!$C$6:$C$2005,$A10,Transactions!$I$6:$I$2005,F$3,Transactions!$J$6:$J$2005,Settings!$B$5)</f>
        <v>0</v>
      </c>
      <c r="G10" s="71">
        <f>SUMIFS(Transactions!$G$6:$G$2005,Transactions!$B$6:$B$2005,"Income",Transactions!$C$6:$C$2005,$A10,Transactions!$I$6:$I$2005,G$3,Transactions!$J$6:$J$2005,Settings!$B$5)</f>
        <v>0</v>
      </c>
      <c r="H10" s="71">
        <f>SUMIFS(Transactions!$G$6:$G$2005,Transactions!$B$6:$B$2005,"Income",Transactions!$C$6:$C$2005,$A10,Transactions!$I$6:$I$2005,H$3,Transactions!$J$6:$J$2005,Settings!$B$5)</f>
        <v>0</v>
      </c>
      <c r="I10" s="71">
        <f>SUMIFS(Transactions!$G$6:$G$2005,Transactions!$B$6:$B$2005,"Income",Transactions!$C$6:$C$2005,$A10,Transactions!$I$6:$I$2005,I$3,Transactions!$J$6:$J$2005,Settings!$B$5)</f>
        <v>0</v>
      </c>
      <c r="J10" s="71">
        <f>SUMIFS(Transactions!$G$6:$G$2005,Transactions!$B$6:$B$2005,"Income",Transactions!$C$6:$C$2005,$A10,Transactions!$I$6:$I$2005,J$3,Transactions!$J$6:$J$2005,Settings!$B$5)</f>
        <v>0</v>
      </c>
      <c r="K10" s="71">
        <f>SUMIFS(Transactions!$G$6:$G$2005,Transactions!$B$6:$B$2005,"Income",Transactions!$C$6:$C$2005,$A10,Transactions!$I$6:$I$2005,K$3,Transactions!$J$6:$J$2005,Settings!$B$5)</f>
        <v>0</v>
      </c>
      <c r="L10" s="71">
        <f>SUMIFS(Transactions!$G$6:$G$2005,Transactions!$B$6:$B$2005,"Income",Transactions!$C$6:$C$2005,$A10,Transactions!$I$6:$I$2005,L$3,Transactions!$J$6:$J$2005,Settings!$B$5)</f>
        <v>0</v>
      </c>
      <c r="M10" s="71">
        <f>SUMIFS(Transactions!$G$6:$G$2005,Transactions!$B$6:$B$2005,"Income",Transactions!$C$6:$C$2005,$A10,Transactions!$I$6:$I$2005,M$3,Transactions!$J$6:$J$2005,Settings!$B$5)</f>
        <v>0</v>
      </c>
      <c r="N10" s="71">
        <f>SUMIFS(Transactions!$G$6:$G$2005,Transactions!$B$6:$B$2005,"Income",Transactions!$C$6:$C$2005,$A10,Transactions!$I$6:$I$2005,N$3,Transactions!$J$6:$J$2005,Settings!$B$5)</f>
        <v>0</v>
      </c>
      <c r="O10" s="74">
        <f t="shared" si="0"/>
        <v>0</v>
      </c>
      <c r="P10" s="75"/>
      <c r="Q10" s="75"/>
      <c r="R10" s="7"/>
    </row>
    <row r="11" spans="1:18" x14ac:dyDescent="0.25">
      <c r="A11" s="16" t="str">
        <f>Settings!$K$9</f>
        <v>Rental Income</v>
      </c>
      <c r="B11" s="7" t="s">
        <v>148</v>
      </c>
      <c r="C11" s="71">
        <f>SUMIFS(Transactions!$G$6:$G$2005,Transactions!$B$6:$B$2005,"Income",Transactions!$C$6:$C$2005,$A11,Transactions!$I$6:$I$2005,C$3,Transactions!$J$6:$J$2005,Settings!$B$5)</f>
        <v>0</v>
      </c>
      <c r="D11" s="71">
        <f>SUMIFS(Transactions!$G$6:$G$2005,Transactions!$B$6:$B$2005,"Income",Transactions!$C$6:$C$2005,$A11,Transactions!$I$6:$I$2005,D$3,Transactions!$J$6:$J$2005,Settings!$B$5)</f>
        <v>0</v>
      </c>
      <c r="E11" s="71">
        <f>SUMIFS(Transactions!$G$6:$G$2005,Transactions!$B$6:$B$2005,"Income",Transactions!$C$6:$C$2005,$A11,Transactions!$I$6:$I$2005,E$3,Transactions!$J$6:$J$2005,Settings!$B$5)</f>
        <v>0</v>
      </c>
      <c r="F11" s="71">
        <f>SUMIFS(Transactions!$G$6:$G$2005,Transactions!$B$6:$B$2005,"Income",Transactions!$C$6:$C$2005,$A11,Transactions!$I$6:$I$2005,F$3,Transactions!$J$6:$J$2005,Settings!$B$5)</f>
        <v>0</v>
      </c>
      <c r="G11" s="71">
        <f>SUMIFS(Transactions!$G$6:$G$2005,Transactions!$B$6:$B$2005,"Income",Transactions!$C$6:$C$2005,$A11,Transactions!$I$6:$I$2005,G$3,Transactions!$J$6:$J$2005,Settings!$B$5)</f>
        <v>0</v>
      </c>
      <c r="H11" s="71">
        <f>SUMIFS(Transactions!$G$6:$G$2005,Transactions!$B$6:$B$2005,"Income",Transactions!$C$6:$C$2005,$A11,Transactions!$I$6:$I$2005,H$3,Transactions!$J$6:$J$2005,Settings!$B$5)</f>
        <v>0</v>
      </c>
      <c r="I11" s="71">
        <f>SUMIFS(Transactions!$G$6:$G$2005,Transactions!$B$6:$B$2005,"Income",Transactions!$C$6:$C$2005,$A11,Transactions!$I$6:$I$2005,I$3,Transactions!$J$6:$J$2005,Settings!$B$5)</f>
        <v>0</v>
      </c>
      <c r="J11" s="71">
        <f>SUMIFS(Transactions!$G$6:$G$2005,Transactions!$B$6:$B$2005,"Income",Transactions!$C$6:$C$2005,$A11,Transactions!$I$6:$I$2005,J$3,Transactions!$J$6:$J$2005,Settings!$B$5)</f>
        <v>0</v>
      </c>
      <c r="K11" s="71">
        <f>SUMIFS(Transactions!$G$6:$G$2005,Transactions!$B$6:$B$2005,"Income",Transactions!$C$6:$C$2005,$A11,Transactions!$I$6:$I$2005,K$3,Transactions!$J$6:$J$2005,Settings!$B$5)</f>
        <v>0</v>
      </c>
      <c r="L11" s="71">
        <f>SUMIFS(Transactions!$G$6:$G$2005,Transactions!$B$6:$B$2005,"Income",Transactions!$C$6:$C$2005,$A11,Transactions!$I$6:$I$2005,L$3,Transactions!$J$6:$J$2005,Settings!$B$5)</f>
        <v>0</v>
      </c>
      <c r="M11" s="71">
        <f>SUMIFS(Transactions!$G$6:$G$2005,Transactions!$B$6:$B$2005,"Income",Transactions!$C$6:$C$2005,$A11,Transactions!$I$6:$I$2005,M$3,Transactions!$J$6:$J$2005,Settings!$B$5)</f>
        <v>0</v>
      </c>
      <c r="N11" s="71">
        <f>SUMIFS(Transactions!$G$6:$G$2005,Transactions!$B$6:$B$2005,"Income",Transactions!$C$6:$C$2005,$A11,Transactions!$I$6:$I$2005,N$3,Transactions!$J$6:$J$2005,Settings!$B$5)</f>
        <v>0</v>
      </c>
      <c r="O11" s="74">
        <f t="shared" si="0"/>
        <v>0</v>
      </c>
      <c r="P11" s="75"/>
      <c r="Q11" s="75"/>
      <c r="R11" s="7"/>
    </row>
    <row r="12" spans="1:18" x14ac:dyDescent="0.25">
      <c r="A12" s="16" t="str">
        <f>Settings!$K$10</f>
        <v>Agricultural Income</v>
      </c>
      <c r="B12" s="7" t="s">
        <v>148</v>
      </c>
      <c r="C12" s="71">
        <f>SUMIFS(Transactions!$G$6:$G$2005,Transactions!$B$6:$B$2005,"Income",Transactions!$C$6:$C$2005,$A12,Transactions!$I$6:$I$2005,C$3,Transactions!$J$6:$J$2005,Settings!$B$5)</f>
        <v>0</v>
      </c>
      <c r="D12" s="71">
        <f>SUMIFS(Transactions!$G$6:$G$2005,Transactions!$B$6:$B$2005,"Income",Transactions!$C$6:$C$2005,$A12,Transactions!$I$6:$I$2005,D$3,Transactions!$J$6:$J$2005,Settings!$B$5)</f>
        <v>0</v>
      </c>
      <c r="E12" s="71">
        <f>SUMIFS(Transactions!$G$6:$G$2005,Transactions!$B$6:$B$2005,"Income",Transactions!$C$6:$C$2005,$A12,Transactions!$I$6:$I$2005,E$3,Transactions!$J$6:$J$2005,Settings!$B$5)</f>
        <v>0</v>
      </c>
      <c r="F12" s="71">
        <f>SUMIFS(Transactions!$G$6:$G$2005,Transactions!$B$6:$B$2005,"Income",Transactions!$C$6:$C$2005,$A12,Transactions!$I$6:$I$2005,F$3,Transactions!$J$6:$J$2005,Settings!$B$5)</f>
        <v>0</v>
      </c>
      <c r="G12" s="71">
        <f>SUMIFS(Transactions!$G$6:$G$2005,Transactions!$B$6:$B$2005,"Income",Transactions!$C$6:$C$2005,$A12,Transactions!$I$6:$I$2005,G$3,Transactions!$J$6:$J$2005,Settings!$B$5)</f>
        <v>0</v>
      </c>
      <c r="H12" s="71">
        <f>SUMIFS(Transactions!$G$6:$G$2005,Transactions!$B$6:$B$2005,"Income",Transactions!$C$6:$C$2005,$A12,Transactions!$I$6:$I$2005,H$3,Transactions!$J$6:$J$2005,Settings!$B$5)</f>
        <v>0</v>
      </c>
      <c r="I12" s="71">
        <f>SUMIFS(Transactions!$G$6:$G$2005,Transactions!$B$6:$B$2005,"Income",Transactions!$C$6:$C$2005,$A12,Transactions!$I$6:$I$2005,I$3,Transactions!$J$6:$J$2005,Settings!$B$5)</f>
        <v>0</v>
      </c>
      <c r="J12" s="71">
        <f>SUMIFS(Transactions!$G$6:$G$2005,Transactions!$B$6:$B$2005,"Income",Transactions!$C$6:$C$2005,$A12,Transactions!$I$6:$I$2005,J$3,Transactions!$J$6:$J$2005,Settings!$B$5)</f>
        <v>0</v>
      </c>
      <c r="K12" s="71">
        <f>SUMIFS(Transactions!$G$6:$G$2005,Transactions!$B$6:$B$2005,"Income",Transactions!$C$6:$C$2005,$A12,Transactions!$I$6:$I$2005,K$3,Transactions!$J$6:$J$2005,Settings!$B$5)</f>
        <v>0</v>
      </c>
      <c r="L12" s="71">
        <f>SUMIFS(Transactions!$G$6:$G$2005,Transactions!$B$6:$B$2005,"Income",Transactions!$C$6:$C$2005,$A12,Transactions!$I$6:$I$2005,L$3,Transactions!$J$6:$J$2005,Settings!$B$5)</f>
        <v>0</v>
      </c>
      <c r="M12" s="71">
        <f>SUMIFS(Transactions!$G$6:$G$2005,Transactions!$B$6:$B$2005,"Income",Transactions!$C$6:$C$2005,$A12,Transactions!$I$6:$I$2005,M$3,Transactions!$J$6:$J$2005,Settings!$B$5)</f>
        <v>0</v>
      </c>
      <c r="N12" s="71">
        <f>SUMIFS(Transactions!$G$6:$G$2005,Transactions!$B$6:$B$2005,"Income",Transactions!$C$6:$C$2005,$A12,Transactions!$I$6:$I$2005,N$3,Transactions!$J$6:$J$2005,Settings!$B$5)</f>
        <v>0</v>
      </c>
      <c r="O12" s="74">
        <f t="shared" si="0"/>
        <v>0</v>
      </c>
      <c r="P12" s="75"/>
      <c r="Q12" s="75"/>
      <c r="R12" s="7"/>
    </row>
    <row r="13" spans="1:18" x14ac:dyDescent="0.25">
      <c r="A13" s="16" t="str">
        <f>Settings!$K$11</f>
        <v>Bank Interest</v>
      </c>
      <c r="B13" s="7" t="s">
        <v>148</v>
      </c>
      <c r="C13" s="71">
        <f>SUMIFS(Transactions!$G$6:$G$2005,Transactions!$B$6:$B$2005,"Income",Transactions!$C$6:$C$2005,$A13,Transactions!$I$6:$I$2005,C$3,Transactions!$J$6:$J$2005,Settings!$B$5)</f>
        <v>0</v>
      </c>
      <c r="D13" s="71">
        <f>SUMIFS(Transactions!$G$6:$G$2005,Transactions!$B$6:$B$2005,"Income",Transactions!$C$6:$C$2005,$A13,Transactions!$I$6:$I$2005,D$3,Transactions!$J$6:$J$2005,Settings!$B$5)</f>
        <v>0</v>
      </c>
      <c r="E13" s="71">
        <f>SUMIFS(Transactions!$G$6:$G$2005,Transactions!$B$6:$B$2005,"Income",Transactions!$C$6:$C$2005,$A13,Transactions!$I$6:$I$2005,E$3,Transactions!$J$6:$J$2005,Settings!$B$5)</f>
        <v>3200</v>
      </c>
      <c r="F13" s="71">
        <f>SUMIFS(Transactions!$G$6:$G$2005,Transactions!$B$6:$B$2005,"Income",Transactions!$C$6:$C$2005,$A13,Transactions!$I$6:$I$2005,F$3,Transactions!$J$6:$J$2005,Settings!$B$5)</f>
        <v>0</v>
      </c>
      <c r="G13" s="71">
        <f>SUMIFS(Transactions!$G$6:$G$2005,Transactions!$B$6:$B$2005,"Income",Transactions!$C$6:$C$2005,$A13,Transactions!$I$6:$I$2005,G$3,Transactions!$J$6:$J$2005,Settings!$B$5)</f>
        <v>0</v>
      </c>
      <c r="H13" s="71">
        <f>SUMIFS(Transactions!$G$6:$G$2005,Transactions!$B$6:$B$2005,"Income",Transactions!$C$6:$C$2005,$A13,Transactions!$I$6:$I$2005,H$3,Transactions!$J$6:$J$2005,Settings!$B$5)</f>
        <v>3200</v>
      </c>
      <c r="I13" s="71">
        <f>SUMIFS(Transactions!$G$6:$G$2005,Transactions!$B$6:$B$2005,"Income",Transactions!$C$6:$C$2005,$A13,Transactions!$I$6:$I$2005,I$3,Transactions!$J$6:$J$2005,Settings!$B$5)</f>
        <v>0</v>
      </c>
      <c r="J13" s="71">
        <f>SUMIFS(Transactions!$G$6:$G$2005,Transactions!$B$6:$B$2005,"Income",Transactions!$C$6:$C$2005,$A13,Transactions!$I$6:$I$2005,J$3,Transactions!$J$6:$J$2005,Settings!$B$5)</f>
        <v>0</v>
      </c>
      <c r="K13" s="71">
        <f>SUMIFS(Transactions!$G$6:$G$2005,Transactions!$B$6:$B$2005,"Income",Transactions!$C$6:$C$2005,$A13,Transactions!$I$6:$I$2005,K$3,Transactions!$J$6:$J$2005,Settings!$B$5)</f>
        <v>3200</v>
      </c>
      <c r="L13" s="71">
        <f>SUMIFS(Transactions!$G$6:$G$2005,Transactions!$B$6:$B$2005,"Income",Transactions!$C$6:$C$2005,$A13,Transactions!$I$6:$I$2005,L$3,Transactions!$J$6:$J$2005,Settings!$B$5)</f>
        <v>0</v>
      </c>
      <c r="M13" s="71">
        <f>SUMIFS(Transactions!$G$6:$G$2005,Transactions!$B$6:$B$2005,"Income",Transactions!$C$6:$C$2005,$A13,Transactions!$I$6:$I$2005,M$3,Transactions!$J$6:$J$2005,Settings!$B$5)</f>
        <v>0</v>
      </c>
      <c r="N13" s="71">
        <f>SUMIFS(Transactions!$G$6:$G$2005,Transactions!$B$6:$B$2005,"Income",Transactions!$C$6:$C$2005,$A13,Transactions!$I$6:$I$2005,N$3,Transactions!$J$6:$J$2005,Settings!$B$5)</f>
        <v>0</v>
      </c>
      <c r="O13" s="74">
        <f t="shared" si="0"/>
        <v>9600</v>
      </c>
      <c r="P13" s="75"/>
      <c r="Q13" s="75"/>
      <c r="R13" s="7"/>
    </row>
    <row r="14" spans="1:18" x14ac:dyDescent="0.25">
      <c r="A14" s="16" t="str">
        <f>Settings!$K$12</f>
        <v>Sanchayapatra Profit</v>
      </c>
      <c r="B14" s="7" t="s">
        <v>148</v>
      </c>
      <c r="C14" s="71">
        <f>SUMIFS(Transactions!$G$6:$G$2005,Transactions!$B$6:$B$2005,"Income",Transactions!$C$6:$C$2005,$A14,Transactions!$I$6:$I$2005,C$3,Transactions!$J$6:$J$2005,Settings!$B$5)</f>
        <v>7776</v>
      </c>
      <c r="D14" s="71">
        <f>SUMIFS(Transactions!$G$6:$G$2005,Transactions!$B$6:$B$2005,"Income",Transactions!$C$6:$C$2005,$A14,Transactions!$I$6:$I$2005,D$3,Transactions!$J$6:$J$2005,Settings!$B$5)</f>
        <v>0</v>
      </c>
      <c r="E14" s="71">
        <f>SUMIFS(Transactions!$G$6:$G$2005,Transactions!$B$6:$B$2005,"Income",Transactions!$C$6:$C$2005,$A14,Transactions!$I$6:$I$2005,E$3,Transactions!$J$6:$J$2005,Settings!$B$5)</f>
        <v>0</v>
      </c>
      <c r="F14" s="71">
        <f>SUMIFS(Transactions!$G$6:$G$2005,Transactions!$B$6:$B$2005,"Income",Transactions!$C$6:$C$2005,$A14,Transactions!$I$6:$I$2005,F$3,Transactions!$J$6:$J$2005,Settings!$B$5)</f>
        <v>7776</v>
      </c>
      <c r="G14" s="71">
        <f>SUMIFS(Transactions!$G$6:$G$2005,Transactions!$B$6:$B$2005,"Income",Transactions!$C$6:$C$2005,$A14,Transactions!$I$6:$I$2005,G$3,Transactions!$J$6:$J$2005,Settings!$B$5)</f>
        <v>0</v>
      </c>
      <c r="H14" s="71">
        <f>SUMIFS(Transactions!$G$6:$G$2005,Transactions!$B$6:$B$2005,"Income",Transactions!$C$6:$C$2005,$A14,Transactions!$I$6:$I$2005,H$3,Transactions!$J$6:$J$2005,Settings!$B$5)</f>
        <v>0</v>
      </c>
      <c r="I14" s="71">
        <f>SUMIFS(Transactions!$G$6:$G$2005,Transactions!$B$6:$B$2005,"Income",Transactions!$C$6:$C$2005,$A14,Transactions!$I$6:$I$2005,I$3,Transactions!$J$6:$J$2005,Settings!$B$5)</f>
        <v>7776</v>
      </c>
      <c r="J14" s="71">
        <f>SUMIFS(Transactions!$G$6:$G$2005,Transactions!$B$6:$B$2005,"Income",Transactions!$C$6:$C$2005,$A14,Transactions!$I$6:$I$2005,J$3,Transactions!$J$6:$J$2005,Settings!$B$5)</f>
        <v>0</v>
      </c>
      <c r="K14" s="71">
        <f>SUMIFS(Transactions!$G$6:$G$2005,Transactions!$B$6:$B$2005,"Income",Transactions!$C$6:$C$2005,$A14,Transactions!$I$6:$I$2005,K$3,Transactions!$J$6:$J$2005,Settings!$B$5)</f>
        <v>0</v>
      </c>
      <c r="L14" s="71">
        <f>SUMIFS(Transactions!$G$6:$G$2005,Transactions!$B$6:$B$2005,"Income",Transactions!$C$6:$C$2005,$A14,Transactions!$I$6:$I$2005,L$3,Transactions!$J$6:$J$2005,Settings!$B$5)</f>
        <v>7776</v>
      </c>
      <c r="M14" s="71">
        <f>SUMIFS(Transactions!$G$6:$G$2005,Transactions!$B$6:$B$2005,"Income",Transactions!$C$6:$C$2005,$A14,Transactions!$I$6:$I$2005,M$3,Transactions!$J$6:$J$2005,Settings!$B$5)</f>
        <v>0</v>
      </c>
      <c r="N14" s="71">
        <f>SUMIFS(Transactions!$G$6:$G$2005,Transactions!$B$6:$B$2005,"Income",Transactions!$C$6:$C$2005,$A14,Transactions!$I$6:$I$2005,N$3,Transactions!$J$6:$J$2005,Settings!$B$5)</f>
        <v>0</v>
      </c>
      <c r="O14" s="74">
        <f t="shared" si="0"/>
        <v>31104</v>
      </c>
      <c r="P14" s="75"/>
      <c r="Q14" s="75"/>
      <c r="R14" s="7"/>
    </row>
    <row r="15" spans="1:18" x14ac:dyDescent="0.25">
      <c r="A15" s="16" t="str">
        <f>Settings!$K$13</f>
        <v>Dividend (DSE / Mutual Fund)</v>
      </c>
      <c r="B15" s="7" t="s">
        <v>148</v>
      </c>
      <c r="C15" s="71">
        <f>SUMIFS(Transactions!$G$6:$G$2005,Transactions!$B$6:$B$2005,"Income",Transactions!$C$6:$C$2005,$A15,Transactions!$I$6:$I$2005,C$3,Transactions!$J$6:$J$2005,Settings!$B$5)</f>
        <v>0</v>
      </c>
      <c r="D15" s="71">
        <f>SUMIFS(Transactions!$G$6:$G$2005,Transactions!$B$6:$B$2005,"Income",Transactions!$C$6:$C$2005,$A15,Transactions!$I$6:$I$2005,D$3,Transactions!$J$6:$J$2005,Settings!$B$5)</f>
        <v>0</v>
      </c>
      <c r="E15" s="71">
        <f>SUMIFS(Transactions!$G$6:$G$2005,Transactions!$B$6:$B$2005,"Income",Transactions!$C$6:$C$2005,$A15,Transactions!$I$6:$I$2005,E$3,Transactions!$J$6:$J$2005,Settings!$B$5)</f>
        <v>0</v>
      </c>
      <c r="F15" s="71">
        <f>SUMIFS(Transactions!$G$6:$G$2005,Transactions!$B$6:$B$2005,"Income",Transactions!$C$6:$C$2005,$A15,Transactions!$I$6:$I$2005,F$3,Transactions!$J$6:$J$2005,Settings!$B$5)</f>
        <v>0</v>
      </c>
      <c r="G15" s="71">
        <f>SUMIFS(Transactions!$G$6:$G$2005,Transactions!$B$6:$B$2005,"Income",Transactions!$C$6:$C$2005,$A15,Transactions!$I$6:$I$2005,G$3,Transactions!$J$6:$J$2005,Settings!$B$5)</f>
        <v>0</v>
      </c>
      <c r="H15" s="71">
        <f>SUMIFS(Transactions!$G$6:$G$2005,Transactions!$B$6:$B$2005,"Income",Transactions!$C$6:$C$2005,$A15,Transactions!$I$6:$I$2005,H$3,Transactions!$J$6:$J$2005,Settings!$B$5)</f>
        <v>0</v>
      </c>
      <c r="I15" s="71">
        <f>SUMIFS(Transactions!$G$6:$G$2005,Transactions!$B$6:$B$2005,"Income",Transactions!$C$6:$C$2005,$A15,Transactions!$I$6:$I$2005,I$3,Transactions!$J$6:$J$2005,Settings!$B$5)</f>
        <v>0</v>
      </c>
      <c r="J15" s="71">
        <f>SUMIFS(Transactions!$G$6:$G$2005,Transactions!$B$6:$B$2005,"Income",Transactions!$C$6:$C$2005,$A15,Transactions!$I$6:$I$2005,J$3,Transactions!$J$6:$J$2005,Settings!$B$5)</f>
        <v>0</v>
      </c>
      <c r="K15" s="71">
        <f>SUMIFS(Transactions!$G$6:$G$2005,Transactions!$B$6:$B$2005,"Income",Transactions!$C$6:$C$2005,$A15,Transactions!$I$6:$I$2005,K$3,Transactions!$J$6:$J$2005,Settings!$B$5)</f>
        <v>0</v>
      </c>
      <c r="L15" s="71">
        <f>SUMIFS(Transactions!$G$6:$G$2005,Transactions!$B$6:$B$2005,"Income",Transactions!$C$6:$C$2005,$A15,Transactions!$I$6:$I$2005,L$3,Transactions!$J$6:$J$2005,Settings!$B$5)</f>
        <v>0</v>
      </c>
      <c r="M15" s="71">
        <f>SUMIFS(Transactions!$G$6:$G$2005,Transactions!$B$6:$B$2005,"Income",Transactions!$C$6:$C$2005,$A15,Transactions!$I$6:$I$2005,M$3,Transactions!$J$6:$J$2005,Settings!$B$5)</f>
        <v>0</v>
      </c>
      <c r="N15" s="71">
        <f>SUMIFS(Transactions!$G$6:$G$2005,Transactions!$B$6:$B$2005,"Income",Transactions!$C$6:$C$2005,$A15,Transactions!$I$6:$I$2005,N$3,Transactions!$J$6:$J$2005,Settings!$B$5)</f>
        <v>0</v>
      </c>
      <c r="O15" s="74">
        <f t="shared" si="0"/>
        <v>0</v>
      </c>
      <c r="P15" s="75"/>
      <c r="Q15" s="75"/>
      <c r="R15" s="7"/>
    </row>
    <row r="16" spans="1:18" x14ac:dyDescent="0.25">
      <c r="A16" s="16" t="str">
        <f>Settings!$K$14</f>
        <v>DPS / FDR Maturity</v>
      </c>
      <c r="B16" s="7" t="s">
        <v>148</v>
      </c>
      <c r="C16" s="71">
        <f>SUMIFS(Transactions!$G$6:$G$2005,Transactions!$B$6:$B$2005,"Income",Transactions!$C$6:$C$2005,$A16,Transactions!$I$6:$I$2005,C$3,Transactions!$J$6:$J$2005,Settings!$B$5)</f>
        <v>0</v>
      </c>
      <c r="D16" s="71">
        <f>SUMIFS(Transactions!$G$6:$G$2005,Transactions!$B$6:$B$2005,"Income",Transactions!$C$6:$C$2005,$A16,Transactions!$I$6:$I$2005,D$3,Transactions!$J$6:$J$2005,Settings!$B$5)</f>
        <v>0</v>
      </c>
      <c r="E16" s="71">
        <f>SUMIFS(Transactions!$G$6:$G$2005,Transactions!$B$6:$B$2005,"Income",Transactions!$C$6:$C$2005,$A16,Transactions!$I$6:$I$2005,E$3,Transactions!$J$6:$J$2005,Settings!$B$5)</f>
        <v>0</v>
      </c>
      <c r="F16" s="71">
        <f>SUMIFS(Transactions!$G$6:$G$2005,Transactions!$B$6:$B$2005,"Income",Transactions!$C$6:$C$2005,$A16,Transactions!$I$6:$I$2005,F$3,Transactions!$J$6:$J$2005,Settings!$B$5)</f>
        <v>0</v>
      </c>
      <c r="G16" s="71">
        <f>SUMIFS(Transactions!$G$6:$G$2005,Transactions!$B$6:$B$2005,"Income",Transactions!$C$6:$C$2005,$A16,Transactions!$I$6:$I$2005,G$3,Transactions!$J$6:$J$2005,Settings!$B$5)</f>
        <v>0</v>
      </c>
      <c r="H16" s="71">
        <f>SUMIFS(Transactions!$G$6:$G$2005,Transactions!$B$6:$B$2005,"Income",Transactions!$C$6:$C$2005,$A16,Transactions!$I$6:$I$2005,H$3,Transactions!$J$6:$J$2005,Settings!$B$5)</f>
        <v>0</v>
      </c>
      <c r="I16" s="71">
        <f>SUMIFS(Transactions!$G$6:$G$2005,Transactions!$B$6:$B$2005,"Income",Transactions!$C$6:$C$2005,$A16,Transactions!$I$6:$I$2005,I$3,Transactions!$J$6:$J$2005,Settings!$B$5)</f>
        <v>0</v>
      </c>
      <c r="J16" s="71">
        <f>SUMIFS(Transactions!$G$6:$G$2005,Transactions!$B$6:$B$2005,"Income",Transactions!$C$6:$C$2005,$A16,Transactions!$I$6:$I$2005,J$3,Transactions!$J$6:$J$2005,Settings!$B$5)</f>
        <v>0</v>
      </c>
      <c r="K16" s="71">
        <f>SUMIFS(Transactions!$G$6:$G$2005,Transactions!$B$6:$B$2005,"Income",Transactions!$C$6:$C$2005,$A16,Transactions!$I$6:$I$2005,K$3,Transactions!$J$6:$J$2005,Settings!$B$5)</f>
        <v>0</v>
      </c>
      <c r="L16" s="71">
        <f>SUMIFS(Transactions!$G$6:$G$2005,Transactions!$B$6:$B$2005,"Income",Transactions!$C$6:$C$2005,$A16,Transactions!$I$6:$I$2005,L$3,Transactions!$J$6:$J$2005,Settings!$B$5)</f>
        <v>0</v>
      </c>
      <c r="M16" s="71">
        <f>SUMIFS(Transactions!$G$6:$G$2005,Transactions!$B$6:$B$2005,"Income",Transactions!$C$6:$C$2005,$A16,Transactions!$I$6:$I$2005,M$3,Transactions!$J$6:$J$2005,Settings!$B$5)</f>
        <v>0</v>
      </c>
      <c r="N16" s="71">
        <f>SUMIFS(Transactions!$G$6:$G$2005,Transactions!$B$6:$B$2005,"Income",Transactions!$C$6:$C$2005,$A16,Transactions!$I$6:$I$2005,N$3,Transactions!$J$6:$J$2005,Settings!$B$5)</f>
        <v>0</v>
      </c>
      <c r="O16" s="74">
        <f t="shared" si="0"/>
        <v>0</v>
      </c>
      <c r="P16" s="75"/>
      <c r="Q16" s="75"/>
      <c r="R16" s="7"/>
    </row>
    <row r="17" spans="1:18" x14ac:dyDescent="0.25">
      <c r="A17" s="16" t="str">
        <f>Settings!$K$15</f>
        <v>Gift / Other Income</v>
      </c>
      <c r="B17" s="7" t="s">
        <v>148</v>
      </c>
      <c r="C17" s="71">
        <f>SUMIFS(Transactions!$G$6:$G$2005,Transactions!$B$6:$B$2005,"Income",Transactions!$C$6:$C$2005,$A17,Transactions!$I$6:$I$2005,C$3,Transactions!$J$6:$J$2005,Settings!$B$5)</f>
        <v>0</v>
      </c>
      <c r="D17" s="71">
        <f>SUMIFS(Transactions!$G$6:$G$2005,Transactions!$B$6:$B$2005,"Income",Transactions!$C$6:$C$2005,$A17,Transactions!$I$6:$I$2005,D$3,Transactions!$J$6:$J$2005,Settings!$B$5)</f>
        <v>0</v>
      </c>
      <c r="E17" s="71">
        <f>SUMIFS(Transactions!$G$6:$G$2005,Transactions!$B$6:$B$2005,"Income",Transactions!$C$6:$C$2005,$A17,Transactions!$I$6:$I$2005,E$3,Transactions!$J$6:$J$2005,Settings!$B$5)</f>
        <v>0</v>
      </c>
      <c r="F17" s="71">
        <f>SUMIFS(Transactions!$G$6:$G$2005,Transactions!$B$6:$B$2005,"Income",Transactions!$C$6:$C$2005,$A17,Transactions!$I$6:$I$2005,F$3,Transactions!$J$6:$J$2005,Settings!$B$5)</f>
        <v>0</v>
      </c>
      <c r="G17" s="71">
        <f>SUMIFS(Transactions!$G$6:$G$2005,Transactions!$B$6:$B$2005,"Income",Transactions!$C$6:$C$2005,$A17,Transactions!$I$6:$I$2005,G$3,Transactions!$J$6:$J$2005,Settings!$B$5)</f>
        <v>0</v>
      </c>
      <c r="H17" s="71">
        <f>SUMIFS(Transactions!$G$6:$G$2005,Transactions!$B$6:$B$2005,"Income",Transactions!$C$6:$C$2005,$A17,Transactions!$I$6:$I$2005,H$3,Transactions!$J$6:$J$2005,Settings!$B$5)</f>
        <v>0</v>
      </c>
      <c r="I17" s="71">
        <f>SUMIFS(Transactions!$G$6:$G$2005,Transactions!$B$6:$B$2005,"Income",Transactions!$C$6:$C$2005,$A17,Transactions!$I$6:$I$2005,I$3,Transactions!$J$6:$J$2005,Settings!$B$5)</f>
        <v>0</v>
      </c>
      <c r="J17" s="71">
        <f>SUMIFS(Transactions!$G$6:$G$2005,Transactions!$B$6:$B$2005,"Income",Transactions!$C$6:$C$2005,$A17,Transactions!$I$6:$I$2005,J$3,Transactions!$J$6:$J$2005,Settings!$B$5)</f>
        <v>0</v>
      </c>
      <c r="K17" s="71">
        <f>SUMIFS(Transactions!$G$6:$G$2005,Transactions!$B$6:$B$2005,"Income",Transactions!$C$6:$C$2005,$A17,Transactions!$I$6:$I$2005,K$3,Transactions!$J$6:$J$2005,Settings!$B$5)</f>
        <v>0</v>
      </c>
      <c r="L17" s="71">
        <f>SUMIFS(Transactions!$G$6:$G$2005,Transactions!$B$6:$B$2005,"Income",Transactions!$C$6:$C$2005,$A17,Transactions!$I$6:$I$2005,L$3,Transactions!$J$6:$J$2005,Settings!$B$5)</f>
        <v>0</v>
      </c>
      <c r="M17" s="71">
        <f>SUMIFS(Transactions!$G$6:$G$2005,Transactions!$B$6:$B$2005,"Income",Transactions!$C$6:$C$2005,$A17,Transactions!$I$6:$I$2005,M$3,Transactions!$J$6:$J$2005,Settings!$B$5)</f>
        <v>0</v>
      </c>
      <c r="N17" s="71">
        <f>SUMIFS(Transactions!$G$6:$G$2005,Transactions!$B$6:$B$2005,"Income",Transactions!$C$6:$C$2005,$A17,Transactions!$I$6:$I$2005,N$3,Transactions!$J$6:$J$2005,Settings!$B$5)</f>
        <v>0</v>
      </c>
      <c r="O17" s="74">
        <f t="shared" si="0"/>
        <v>0</v>
      </c>
      <c r="P17" s="75"/>
      <c r="Q17" s="75"/>
      <c r="R17" s="7"/>
    </row>
    <row r="18" spans="1:18" x14ac:dyDescent="0.25">
      <c r="A18" s="19" t="s">
        <v>348</v>
      </c>
      <c r="B18" s="19"/>
      <c r="C18" s="72">
        <f t="shared" ref="C18:O18" si="1">SUM(C6:C17)</f>
        <v>122776</v>
      </c>
      <c r="D18" s="72">
        <f t="shared" si="1"/>
        <v>128330</v>
      </c>
      <c r="E18" s="72">
        <f t="shared" si="1"/>
        <v>190200</v>
      </c>
      <c r="F18" s="72">
        <f t="shared" si="1"/>
        <v>137256</v>
      </c>
      <c r="G18" s="72">
        <f t="shared" si="1"/>
        <v>187000</v>
      </c>
      <c r="H18" s="72">
        <f t="shared" si="1"/>
        <v>131320</v>
      </c>
      <c r="I18" s="72">
        <f t="shared" si="1"/>
        <v>122776</v>
      </c>
      <c r="J18" s="72">
        <f t="shared" si="1"/>
        <v>127840</v>
      </c>
      <c r="K18" s="72">
        <f t="shared" si="1"/>
        <v>118200</v>
      </c>
      <c r="L18" s="72">
        <f t="shared" si="1"/>
        <v>136176</v>
      </c>
      <c r="M18" s="72">
        <f t="shared" si="1"/>
        <v>0</v>
      </c>
      <c r="N18" s="72">
        <f t="shared" si="1"/>
        <v>0</v>
      </c>
      <c r="O18" s="72">
        <f t="shared" si="1"/>
        <v>1401874</v>
      </c>
      <c r="P18" s="72"/>
      <c r="Q18" s="72"/>
      <c r="R18" s="19"/>
    </row>
    <row r="20" spans="1:18" x14ac:dyDescent="0.25">
      <c r="A20" s="1" t="s">
        <v>349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 t="str">
        <f>Settings!$K$16</f>
        <v>House Rent</v>
      </c>
      <c r="B21" s="16" t="str">
        <f>Settings!$L$16</f>
        <v>Housing &amp; Utilities</v>
      </c>
      <c r="C21" s="71">
        <f>SUMIFS(Transactions!$G$6:$G$2005,Transactions!$B$6:$B$2005,"Expense",Transactions!$C$6:$C$2005,$A21,Transactions!$I$6:$I$2005,C$3,Transactions!$J$6:$J$2005,Settings!$B$5)</f>
        <v>22000</v>
      </c>
      <c r="D21" s="71">
        <f>SUMIFS(Transactions!$G$6:$G$2005,Transactions!$B$6:$B$2005,"Expense",Transactions!$C$6:$C$2005,$A21,Transactions!$I$6:$I$2005,D$3,Transactions!$J$6:$J$2005,Settings!$B$5)</f>
        <v>22000</v>
      </c>
      <c r="E21" s="71">
        <f>SUMIFS(Transactions!$G$6:$G$2005,Transactions!$B$6:$B$2005,"Expense",Transactions!$C$6:$C$2005,$A21,Transactions!$I$6:$I$2005,E$3,Transactions!$J$6:$J$2005,Settings!$B$5)</f>
        <v>22000</v>
      </c>
      <c r="F21" s="71">
        <f>SUMIFS(Transactions!$G$6:$G$2005,Transactions!$B$6:$B$2005,"Expense",Transactions!$C$6:$C$2005,$A21,Transactions!$I$6:$I$2005,F$3,Transactions!$J$6:$J$2005,Settings!$B$5)</f>
        <v>22000</v>
      </c>
      <c r="G21" s="71">
        <f>SUMIFS(Transactions!$G$6:$G$2005,Transactions!$B$6:$B$2005,"Expense",Transactions!$C$6:$C$2005,$A21,Transactions!$I$6:$I$2005,G$3,Transactions!$J$6:$J$2005,Settings!$B$5)</f>
        <v>22000</v>
      </c>
      <c r="H21" s="71">
        <f>SUMIFS(Transactions!$G$6:$G$2005,Transactions!$B$6:$B$2005,"Expense",Transactions!$C$6:$C$2005,$A21,Transactions!$I$6:$I$2005,H$3,Transactions!$J$6:$J$2005,Settings!$B$5)</f>
        <v>22000</v>
      </c>
      <c r="I21" s="71">
        <f>SUMIFS(Transactions!$G$6:$G$2005,Transactions!$B$6:$B$2005,"Expense",Transactions!$C$6:$C$2005,$A21,Transactions!$I$6:$I$2005,I$3,Transactions!$J$6:$J$2005,Settings!$B$5)</f>
        <v>22000</v>
      </c>
      <c r="J21" s="71">
        <f>SUMIFS(Transactions!$G$6:$G$2005,Transactions!$B$6:$B$2005,"Expense",Transactions!$C$6:$C$2005,$A21,Transactions!$I$6:$I$2005,J$3,Transactions!$J$6:$J$2005,Settings!$B$5)</f>
        <v>22000</v>
      </c>
      <c r="K21" s="71">
        <f>SUMIFS(Transactions!$G$6:$G$2005,Transactions!$B$6:$B$2005,"Expense",Transactions!$C$6:$C$2005,$A21,Transactions!$I$6:$I$2005,K$3,Transactions!$J$6:$J$2005,Settings!$B$5)</f>
        <v>22000</v>
      </c>
      <c r="L21" s="71">
        <f>SUMIFS(Transactions!$G$6:$G$2005,Transactions!$B$6:$B$2005,"Expense",Transactions!$C$6:$C$2005,$A21,Transactions!$I$6:$I$2005,L$3,Transactions!$J$6:$J$2005,Settings!$B$5)</f>
        <v>22000</v>
      </c>
      <c r="M21" s="71">
        <f>SUMIFS(Transactions!$G$6:$G$2005,Transactions!$B$6:$B$2005,"Expense",Transactions!$C$6:$C$2005,$A21,Transactions!$I$6:$I$2005,M$3,Transactions!$J$6:$J$2005,Settings!$B$5)</f>
        <v>0</v>
      </c>
      <c r="N21" s="71">
        <f>SUMIFS(Transactions!$G$6:$G$2005,Transactions!$B$6:$B$2005,"Expense",Transactions!$C$6:$C$2005,$A21,Transactions!$I$6:$I$2005,N$3,Transactions!$J$6:$J$2005,Settings!$B$5)</f>
        <v>0</v>
      </c>
      <c r="O21" s="74">
        <f t="shared" ref="O21:O61" si="2">SUM(C21:N21)</f>
        <v>220000</v>
      </c>
      <c r="P21" s="71">
        <f>Budget!$I$6</f>
        <v>264000</v>
      </c>
      <c r="Q21" s="75">
        <f t="shared" ref="Q21:Q62" si="3">P21-O21</f>
        <v>44000</v>
      </c>
      <c r="R21" s="29">
        <f t="shared" ref="R21:R62" si="4">IF(P21=0,"",O21/P21)</f>
        <v>0.83333333333333337</v>
      </c>
    </row>
    <row r="22" spans="1:18" x14ac:dyDescent="0.25">
      <c r="A22" s="16" t="str">
        <f>Settings!$K$17</f>
        <v>Electricity (DESCO / DPDC / REB)</v>
      </c>
      <c r="B22" s="16" t="str">
        <f>Settings!$L$17</f>
        <v>Housing &amp; Utilities</v>
      </c>
      <c r="C22" s="71">
        <f>SUMIFS(Transactions!$G$6:$G$2005,Transactions!$B$6:$B$2005,"Expense",Transactions!$C$6:$C$2005,$A22,Transactions!$I$6:$I$2005,C$3,Transactions!$J$6:$J$2005,Settings!$B$5)</f>
        <v>2150</v>
      </c>
      <c r="D22" s="71">
        <f>SUMIFS(Transactions!$G$6:$G$2005,Transactions!$B$6:$B$2005,"Expense",Transactions!$C$6:$C$2005,$A22,Transactions!$I$6:$I$2005,D$3,Transactions!$J$6:$J$2005,Settings!$B$5)</f>
        <v>1930</v>
      </c>
      <c r="E22" s="71">
        <f>SUMIFS(Transactions!$G$6:$G$2005,Transactions!$B$6:$B$2005,"Expense",Transactions!$C$6:$C$2005,$A22,Transactions!$I$6:$I$2005,E$3,Transactions!$J$6:$J$2005,Settings!$B$5)</f>
        <v>2270</v>
      </c>
      <c r="F22" s="71">
        <f>SUMIFS(Transactions!$G$6:$G$2005,Transactions!$B$6:$B$2005,"Expense",Transactions!$C$6:$C$2005,$A22,Transactions!$I$6:$I$2005,F$3,Transactions!$J$6:$J$2005,Settings!$B$5)</f>
        <v>2830</v>
      </c>
      <c r="G22" s="71">
        <f>SUMIFS(Transactions!$G$6:$G$2005,Transactions!$B$6:$B$2005,"Expense",Transactions!$C$6:$C$2005,$A22,Transactions!$I$6:$I$2005,G$3,Transactions!$J$6:$J$2005,Settings!$B$5)</f>
        <v>3410</v>
      </c>
      <c r="H22" s="71">
        <f>SUMIFS(Transactions!$G$6:$G$2005,Transactions!$B$6:$B$2005,"Expense",Transactions!$C$6:$C$2005,$A22,Transactions!$I$6:$I$2005,H$3,Transactions!$J$6:$J$2005,Settings!$B$5)</f>
        <v>3640</v>
      </c>
      <c r="I22" s="71">
        <f>SUMIFS(Transactions!$G$6:$G$2005,Transactions!$B$6:$B$2005,"Expense",Transactions!$C$6:$C$2005,$A22,Transactions!$I$6:$I$2005,I$3,Transactions!$J$6:$J$2005,Settings!$B$5)</f>
        <v>3840</v>
      </c>
      <c r="J22" s="71">
        <f>SUMIFS(Transactions!$G$6:$G$2005,Transactions!$B$6:$B$2005,"Expense",Transactions!$C$6:$C$2005,$A22,Transactions!$I$6:$I$2005,J$3,Transactions!$J$6:$J$2005,Settings!$B$5)</f>
        <v>3630</v>
      </c>
      <c r="K22" s="71">
        <f>SUMIFS(Transactions!$G$6:$G$2005,Transactions!$B$6:$B$2005,"Expense",Transactions!$C$6:$C$2005,$A22,Transactions!$I$6:$I$2005,K$3,Transactions!$J$6:$J$2005,Settings!$B$5)</f>
        <v>3230</v>
      </c>
      <c r="L22" s="71">
        <f>SUMIFS(Transactions!$G$6:$G$2005,Transactions!$B$6:$B$2005,"Expense",Transactions!$C$6:$C$2005,$A22,Transactions!$I$6:$I$2005,L$3,Transactions!$J$6:$J$2005,Settings!$B$5)</f>
        <v>2710</v>
      </c>
      <c r="M22" s="71">
        <f>SUMIFS(Transactions!$G$6:$G$2005,Transactions!$B$6:$B$2005,"Expense",Transactions!$C$6:$C$2005,$A22,Transactions!$I$6:$I$2005,M$3,Transactions!$J$6:$J$2005,Settings!$B$5)</f>
        <v>0</v>
      </c>
      <c r="N22" s="71">
        <f>SUMIFS(Transactions!$G$6:$G$2005,Transactions!$B$6:$B$2005,"Expense",Transactions!$C$6:$C$2005,$A22,Transactions!$I$6:$I$2005,N$3,Transactions!$J$6:$J$2005,Settings!$B$5)</f>
        <v>0</v>
      </c>
      <c r="O22" s="74">
        <f t="shared" si="2"/>
        <v>29640</v>
      </c>
      <c r="P22" s="71">
        <f>Budget!$I$7</f>
        <v>36000</v>
      </c>
      <c r="Q22" s="75">
        <f t="shared" si="3"/>
        <v>6360</v>
      </c>
      <c r="R22" s="29">
        <f t="shared" si="4"/>
        <v>0.82333333333333336</v>
      </c>
    </row>
    <row r="23" spans="1:18" x14ac:dyDescent="0.25">
      <c r="A23" s="16" t="str">
        <f>Settings!$K$18</f>
        <v>Gas (Titas / Bakhrabad / Jalalabad)</v>
      </c>
      <c r="B23" s="16" t="str">
        <f>Settings!$L$18</f>
        <v>Housing &amp; Utilities</v>
      </c>
      <c r="C23" s="71">
        <f>SUMIFS(Transactions!$G$6:$G$2005,Transactions!$B$6:$B$2005,"Expense",Transactions!$C$6:$C$2005,$A23,Transactions!$I$6:$I$2005,C$3,Transactions!$J$6:$J$2005,Settings!$B$5)</f>
        <v>1080</v>
      </c>
      <c r="D23" s="71">
        <f>SUMIFS(Transactions!$G$6:$G$2005,Transactions!$B$6:$B$2005,"Expense",Transactions!$C$6:$C$2005,$A23,Transactions!$I$6:$I$2005,D$3,Transactions!$J$6:$J$2005,Settings!$B$5)</f>
        <v>1080</v>
      </c>
      <c r="E23" s="71">
        <f>SUMIFS(Transactions!$G$6:$G$2005,Transactions!$B$6:$B$2005,"Expense",Transactions!$C$6:$C$2005,$A23,Transactions!$I$6:$I$2005,E$3,Transactions!$J$6:$J$2005,Settings!$B$5)</f>
        <v>1080</v>
      </c>
      <c r="F23" s="71">
        <f>SUMIFS(Transactions!$G$6:$G$2005,Transactions!$B$6:$B$2005,"Expense",Transactions!$C$6:$C$2005,$A23,Transactions!$I$6:$I$2005,F$3,Transactions!$J$6:$J$2005,Settings!$B$5)</f>
        <v>1080</v>
      </c>
      <c r="G23" s="71">
        <f>SUMIFS(Transactions!$G$6:$G$2005,Transactions!$B$6:$B$2005,"Expense",Transactions!$C$6:$C$2005,$A23,Transactions!$I$6:$I$2005,G$3,Transactions!$J$6:$J$2005,Settings!$B$5)</f>
        <v>1080</v>
      </c>
      <c r="H23" s="71">
        <f>SUMIFS(Transactions!$G$6:$G$2005,Transactions!$B$6:$B$2005,"Expense",Transactions!$C$6:$C$2005,$A23,Transactions!$I$6:$I$2005,H$3,Transactions!$J$6:$J$2005,Settings!$B$5)</f>
        <v>1080</v>
      </c>
      <c r="I23" s="71">
        <f>SUMIFS(Transactions!$G$6:$G$2005,Transactions!$B$6:$B$2005,"Expense",Transactions!$C$6:$C$2005,$A23,Transactions!$I$6:$I$2005,I$3,Transactions!$J$6:$J$2005,Settings!$B$5)</f>
        <v>1080</v>
      </c>
      <c r="J23" s="71">
        <f>SUMIFS(Transactions!$G$6:$G$2005,Transactions!$B$6:$B$2005,"Expense",Transactions!$C$6:$C$2005,$A23,Transactions!$I$6:$I$2005,J$3,Transactions!$J$6:$J$2005,Settings!$B$5)</f>
        <v>1080</v>
      </c>
      <c r="K23" s="71">
        <f>SUMIFS(Transactions!$G$6:$G$2005,Transactions!$B$6:$B$2005,"Expense",Transactions!$C$6:$C$2005,$A23,Transactions!$I$6:$I$2005,K$3,Transactions!$J$6:$J$2005,Settings!$B$5)</f>
        <v>1080</v>
      </c>
      <c r="L23" s="71">
        <f>SUMIFS(Transactions!$G$6:$G$2005,Transactions!$B$6:$B$2005,"Expense",Transactions!$C$6:$C$2005,$A23,Transactions!$I$6:$I$2005,L$3,Transactions!$J$6:$J$2005,Settings!$B$5)</f>
        <v>1080</v>
      </c>
      <c r="M23" s="71">
        <f>SUMIFS(Transactions!$G$6:$G$2005,Transactions!$B$6:$B$2005,"Expense",Transactions!$C$6:$C$2005,$A23,Transactions!$I$6:$I$2005,M$3,Transactions!$J$6:$J$2005,Settings!$B$5)</f>
        <v>0</v>
      </c>
      <c r="N23" s="71">
        <f>SUMIFS(Transactions!$G$6:$G$2005,Transactions!$B$6:$B$2005,"Expense",Transactions!$C$6:$C$2005,$A23,Transactions!$I$6:$I$2005,N$3,Transactions!$J$6:$J$2005,Settings!$B$5)</f>
        <v>0</v>
      </c>
      <c r="O23" s="74">
        <f t="shared" si="2"/>
        <v>10800</v>
      </c>
      <c r="P23" s="71">
        <f>Budget!$I$8</f>
        <v>12960</v>
      </c>
      <c r="Q23" s="75">
        <f t="shared" si="3"/>
        <v>2160</v>
      </c>
      <c r="R23" s="29">
        <f t="shared" si="4"/>
        <v>0.83333333333333337</v>
      </c>
    </row>
    <row r="24" spans="1:18" x14ac:dyDescent="0.25">
      <c r="A24" s="16" t="str">
        <f>Settings!$K$19</f>
        <v>Water &amp; Sewerage (WASA)</v>
      </c>
      <c r="B24" s="16" t="str">
        <f>Settings!$L$19</f>
        <v>Housing &amp; Utilities</v>
      </c>
      <c r="C24" s="71">
        <f>SUMIFS(Transactions!$G$6:$G$2005,Transactions!$B$6:$B$2005,"Expense",Transactions!$C$6:$C$2005,$A24,Transactions!$I$6:$I$2005,C$3,Transactions!$J$6:$J$2005,Settings!$B$5)</f>
        <v>900</v>
      </c>
      <c r="D24" s="71">
        <f>SUMIFS(Transactions!$G$6:$G$2005,Transactions!$B$6:$B$2005,"Expense",Transactions!$C$6:$C$2005,$A24,Transactions!$I$6:$I$2005,D$3,Transactions!$J$6:$J$2005,Settings!$B$5)</f>
        <v>900</v>
      </c>
      <c r="E24" s="71">
        <f>SUMIFS(Transactions!$G$6:$G$2005,Transactions!$B$6:$B$2005,"Expense",Transactions!$C$6:$C$2005,$A24,Transactions!$I$6:$I$2005,E$3,Transactions!$J$6:$J$2005,Settings!$B$5)</f>
        <v>900</v>
      </c>
      <c r="F24" s="71">
        <f>SUMIFS(Transactions!$G$6:$G$2005,Transactions!$B$6:$B$2005,"Expense",Transactions!$C$6:$C$2005,$A24,Transactions!$I$6:$I$2005,F$3,Transactions!$J$6:$J$2005,Settings!$B$5)</f>
        <v>900</v>
      </c>
      <c r="G24" s="71">
        <f>SUMIFS(Transactions!$G$6:$G$2005,Transactions!$B$6:$B$2005,"Expense",Transactions!$C$6:$C$2005,$A24,Transactions!$I$6:$I$2005,G$3,Transactions!$J$6:$J$2005,Settings!$B$5)</f>
        <v>900</v>
      </c>
      <c r="H24" s="71">
        <f>SUMIFS(Transactions!$G$6:$G$2005,Transactions!$B$6:$B$2005,"Expense",Transactions!$C$6:$C$2005,$A24,Transactions!$I$6:$I$2005,H$3,Transactions!$J$6:$J$2005,Settings!$B$5)</f>
        <v>900</v>
      </c>
      <c r="I24" s="71">
        <f>SUMIFS(Transactions!$G$6:$G$2005,Transactions!$B$6:$B$2005,"Expense",Transactions!$C$6:$C$2005,$A24,Transactions!$I$6:$I$2005,I$3,Transactions!$J$6:$J$2005,Settings!$B$5)</f>
        <v>900</v>
      </c>
      <c r="J24" s="71">
        <f>SUMIFS(Transactions!$G$6:$G$2005,Transactions!$B$6:$B$2005,"Expense",Transactions!$C$6:$C$2005,$A24,Transactions!$I$6:$I$2005,J$3,Transactions!$J$6:$J$2005,Settings!$B$5)</f>
        <v>900</v>
      </c>
      <c r="K24" s="71">
        <f>SUMIFS(Transactions!$G$6:$G$2005,Transactions!$B$6:$B$2005,"Expense",Transactions!$C$6:$C$2005,$A24,Transactions!$I$6:$I$2005,K$3,Transactions!$J$6:$J$2005,Settings!$B$5)</f>
        <v>900</v>
      </c>
      <c r="L24" s="71">
        <f>SUMIFS(Transactions!$G$6:$G$2005,Transactions!$B$6:$B$2005,"Expense",Transactions!$C$6:$C$2005,$A24,Transactions!$I$6:$I$2005,L$3,Transactions!$J$6:$J$2005,Settings!$B$5)</f>
        <v>900</v>
      </c>
      <c r="M24" s="71">
        <f>SUMIFS(Transactions!$G$6:$G$2005,Transactions!$B$6:$B$2005,"Expense",Transactions!$C$6:$C$2005,$A24,Transactions!$I$6:$I$2005,M$3,Transactions!$J$6:$J$2005,Settings!$B$5)</f>
        <v>0</v>
      </c>
      <c r="N24" s="71">
        <f>SUMIFS(Transactions!$G$6:$G$2005,Transactions!$B$6:$B$2005,"Expense",Transactions!$C$6:$C$2005,$A24,Transactions!$I$6:$I$2005,N$3,Transactions!$J$6:$J$2005,Settings!$B$5)</f>
        <v>0</v>
      </c>
      <c r="O24" s="74">
        <f t="shared" si="2"/>
        <v>9000</v>
      </c>
      <c r="P24" s="71">
        <f>Budget!$I$9</f>
        <v>10800</v>
      </c>
      <c r="Q24" s="75">
        <f t="shared" si="3"/>
        <v>1800</v>
      </c>
      <c r="R24" s="29">
        <f t="shared" si="4"/>
        <v>0.83333333333333337</v>
      </c>
    </row>
    <row r="25" spans="1:18" x14ac:dyDescent="0.25">
      <c r="A25" s="16" t="str">
        <f>Settings!$K$20</f>
        <v>Internet / Broadband</v>
      </c>
      <c r="B25" s="16" t="str">
        <f>Settings!$L$20</f>
        <v>Housing &amp; Utilities</v>
      </c>
      <c r="C25" s="71">
        <f>SUMIFS(Transactions!$G$6:$G$2005,Transactions!$B$6:$B$2005,"Expense",Transactions!$C$6:$C$2005,$A25,Transactions!$I$6:$I$2005,C$3,Transactions!$J$6:$J$2005,Settings!$B$5)</f>
        <v>1000</v>
      </c>
      <c r="D25" s="71">
        <f>SUMIFS(Transactions!$G$6:$G$2005,Transactions!$B$6:$B$2005,"Expense",Transactions!$C$6:$C$2005,$A25,Transactions!$I$6:$I$2005,D$3,Transactions!$J$6:$J$2005,Settings!$B$5)</f>
        <v>1000</v>
      </c>
      <c r="E25" s="71">
        <f>SUMIFS(Transactions!$G$6:$G$2005,Transactions!$B$6:$B$2005,"Expense",Transactions!$C$6:$C$2005,$A25,Transactions!$I$6:$I$2005,E$3,Transactions!$J$6:$J$2005,Settings!$B$5)</f>
        <v>1000</v>
      </c>
      <c r="F25" s="71">
        <f>SUMIFS(Transactions!$G$6:$G$2005,Transactions!$B$6:$B$2005,"Expense",Transactions!$C$6:$C$2005,$A25,Transactions!$I$6:$I$2005,F$3,Transactions!$J$6:$J$2005,Settings!$B$5)</f>
        <v>1000</v>
      </c>
      <c r="G25" s="71">
        <f>SUMIFS(Transactions!$G$6:$G$2005,Transactions!$B$6:$B$2005,"Expense",Transactions!$C$6:$C$2005,$A25,Transactions!$I$6:$I$2005,G$3,Transactions!$J$6:$J$2005,Settings!$B$5)</f>
        <v>1000</v>
      </c>
      <c r="H25" s="71">
        <f>SUMIFS(Transactions!$G$6:$G$2005,Transactions!$B$6:$B$2005,"Expense",Transactions!$C$6:$C$2005,$A25,Transactions!$I$6:$I$2005,H$3,Transactions!$J$6:$J$2005,Settings!$B$5)</f>
        <v>1000</v>
      </c>
      <c r="I25" s="71">
        <f>SUMIFS(Transactions!$G$6:$G$2005,Transactions!$B$6:$B$2005,"Expense",Transactions!$C$6:$C$2005,$A25,Transactions!$I$6:$I$2005,I$3,Transactions!$J$6:$J$2005,Settings!$B$5)</f>
        <v>1000</v>
      </c>
      <c r="J25" s="71">
        <f>SUMIFS(Transactions!$G$6:$G$2005,Transactions!$B$6:$B$2005,"Expense",Transactions!$C$6:$C$2005,$A25,Transactions!$I$6:$I$2005,J$3,Transactions!$J$6:$J$2005,Settings!$B$5)</f>
        <v>1000</v>
      </c>
      <c r="K25" s="71">
        <f>SUMIFS(Transactions!$G$6:$G$2005,Transactions!$B$6:$B$2005,"Expense",Transactions!$C$6:$C$2005,$A25,Transactions!$I$6:$I$2005,K$3,Transactions!$J$6:$J$2005,Settings!$B$5)</f>
        <v>1000</v>
      </c>
      <c r="L25" s="71">
        <f>SUMIFS(Transactions!$G$6:$G$2005,Transactions!$B$6:$B$2005,"Expense",Transactions!$C$6:$C$2005,$A25,Transactions!$I$6:$I$2005,L$3,Transactions!$J$6:$J$2005,Settings!$B$5)</f>
        <v>1000</v>
      </c>
      <c r="M25" s="71">
        <f>SUMIFS(Transactions!$G$6:$G$2005,Transactions!$B$6:$B$2005,"Expense",Transactions!$C$6:$C$2005,$A25,Transactions!$I$6:$I$2005,M$3,Transactions!$J$6:$J$2005,Settings!$B$5)</f>
        <v>0</v>
      </c>
      <c r="N25" s="71">
        <f>SUMIFS(Transactions!$G$6:$G$2005,Transactions!$B$6:$B$2005,"Expense",Transactions!$C$6:$C$2005,$A25,Transactions!$I$6:$I$2005,N$3,Transactions!$J$6:$J$2005,Settings!$B$5)</f>
        <v>0</v>
      </c>
      <c r="O25" s="74">
        <f t="shared" si="2"/>
        <v>10000</v>
      </c>
      <c r="P25" s="71">
        <f>Budget!$I$10</f>
        <v>12000</v>
      </c>
      <c r="Q25" s="75">
        <f t="shared" si="3"/>
        <v>2000</v>
      </c>
      <c r="R25" s="29">
        <f t="shared" si="4"/>
        <v>0.83333333333333337</v>
      </c>
    </row>
    <row r="26" spans="1:18" x14ac:dyDescent="0.25">
      <c r="A26" s="16" t="str">
        <f>Settings!$K$21</f>
        <v>Mobile Recharge &amp; Data</v>
      </c>
      <c r="B26" s="16" t="str">
        <f>Settings!$L$21</f>
        <v>Housing &amp; Utilities</v>
      </c>
      <c r="C26" s="71">
        <f>SUMIFS(Transactions!$G$6:$G$2005,Transactions!$B$6:$B$2005,"Expense",Transactions!$C$6:$C$2005,$A26,Transactions!$I$6:$I$2005,C$3,Transactions!$J$6:$J$2005,Settings!$B$5)</f>
        <v>700</v>
      </c>
      <c r="D26" s="71">
        <f>SUMIFS(Transactions!$G$6:$G$2005,Transactions!$B$6:$B$2005,"Expense",Transactions!$C$6:$C$2005,$A26,Transactions!$I$6:$I$2005,D$3,Transactions!$J$6:$J$2005,Settings!$B$5)</f>
        <v>700</v>
      </c>
      <c r="E26" s="71">
        <f>SUMIFS(Transactions!$G$6:$G$2005,Transactions!$B$6:$B$2005,"Expense",Transactions!$C$6:$C$2005,$A26,Transactions!$I$6:$I$2005,E$3,Transactions!$J$6:$J$2005,Settings!$B$5)</f>
        <v>700</v>
      </c>
      <c r="F26" s="71">
        <f>SUMIFS(Transactions!$G$6:$G$2005,Transactions!$B$6:$B$2005,"Expense",Transactions!$C$6:$C$2005,$A26,Transactions!$I$6:$I$2005,F$3,Transactions!$J$6:$J$2005,Settings!$B$5)</f>
        <v>700</v>
      </c>
      <c r="G26" s="71">
        <f>SUMIFS(Transactions!$G$6:$G$2005,Transactions!$B$6:$B$2005,"Expense",Transactions!$C$6:$C$2005,$A26,Transactions!$I$6:$I$2005,G$3,Transactions!$J$6:$J$2005,Settings!$B$5)</f>
        <v>700</v>
      </c>
      <c r="H26" s="71">
        <f>SUMIFS(Transactions!$G$6:$G$2005,Transactions!$B$6:$B$2005,"Expense",Transactions!$C$6:$C$2005,$A26,Transactions!$I$6:$I$2005,H$3,Transactions!$J$6:$J$2005,Settings!$B$5)</f>
        <v>700</v>
      </c>
      <c r="I26" s="71">
        <f>SUMIFS(Transactions!$G$6:$G$2005,Transactions!$B$6:$B$2005,"Expense",Transactions!$C$6:$C$2005,$A26,Transactions!$I$6:$I$2005,I$3,Transactions!$J$6:$J$2005,Settings!$B$5)</f>
        <v>700</v>
      </c>
      <c r="J26" s="71">
        <f>SUMIFS(Transactions!$G$6:$G$2005,Transactions!$B$6:$B$2005,"Expense",Transactions!$C$6:$C$2005,$A26,Transactions!$I$6:$I$2005,J$3,Transactions!$J$6:$J$2005,Settings!$B$5)</f>
        <v>700</v>
      </c>
      <c r="K26" s="71">
        <f>SUMIFS(Transactions!$G$6:$G$2005,Transactions!$B$6:$B$2005,"Expense",Transactions!$C$6:$C$2005,$A26,Transactions!$I$6:$I$2005,K$3,Transactions!$J$6:$J$2005,Settings!$B$5)</f>
        <v>700</v>
      </c>
      <c r="L26" s="71">
        <f>SUMIFS(Transactions!$G$6:$G$2005,Transactions!$B$6:$B$2005,"Expense",Transactions!$C$6:$C$2005,$A26,Transactions!$I$6:$I$2005,L$3,Transactions!$J$6:$J$2005,Settings!$B$5)</f>
        <v>700</v>
      </c>
      <c r="M26" s="71">
        <f>SUMIFS(Transactions!$G$6:$G$2005,Transactions!$B$6:$B$2005,"Expense",Transactions!$C$6:$C$2005,$A26,Transactions!$I$6:$I$2005,M$3,Transactions!$J$6:$J$2005,Settings!$B$5)</f>
        <v>0</v>
      </c>
      <c r="N26" s="71">
        <f>SUMIFS(Transactions!$G$6:$G$2005,Transactions!$B$6:$B$2005,"Expense",Transactions!$C$6:$C$2005,$A26,Transactions!$I$6:$I$2005,N$3,Transactions!$J$6:$J$2005,Settings!$B$5)</f>
        <v>0</v>
      </c>
      <c r="O26" s="74">
        <f t="shared" si="2"/>
        <v>7000</v>
      </c>
      <c r="P26" s="71">
        <f>Budget!$I$11</f>
        <v>8400</v>
      </c>
      <c r="Q26" s="75">
        <f t="shared" si="3"/>
        <v>1400</v>
      </c>
      <c r="R26" s="29">
        <f t="shared" si="4"/>
        <v>0.83333333333333337</v>
      </c>
    </row>
    <row r="27" spans="1:18" x14ac:dyDescent="0.25">
      <c r="A27" s="16" t="str">
        <f>Settings!$K$22</f>
        <v>Maid / Domestic Help</v>
      </c>
      <c r="B27" s="16" t="str">
        <f>Settings!$L$22</f>
        <v>Housing &amp; Utilities</v>
      </c>
      <c r="C27" s="71">
        <f>SUMIFS(Transactions!$G$6:$G$2005,Transactions!$B$6:$B$2005,"Expense",Transactions!$C$6:$C$2005,$A27,Transactions!$I$6:$I$2005,C$3,Transactions!$J$6:$J$2005,Settings!$B$5)</f>
        <v>3000</v>
      </c>
      <c r="D27" s="71">
        <f>SUMIFS(Transactions!$G$6:$G$2005,Transactions!$B$6:$B$2005,"Expense",Transactions!$C$6:$C$2005,$A27,Transactions!$I$6:$I$2005,D$3,Transactions!$J$6:$J$2005,Settings!$B$5)</f>
        <v>3000</v>
      </c>
      <c r="E27" s="71">
        <f>SUMIFS(Transactions!$G$6:$G$2005,Transactions!$B$6:$B$2005,"Expense",Transactions!$C$6:$C$2005,$A27,Transactions!$I$6:$I$2005,E$3,Transactions!$J$6:$J$2005,Settings!$B$5)</f>
        <v>3000</v>
      </c>
      <c r="F27" s="71">
        <f>SUMIFS(Transactions!$G$6:$G$2005,Transactions!$B$6:$B$2005,"Expense",Transactions!$C$6:$C$2005,$A27,Transactions!$I$6:$I$2005,F$3,Transactions!$J$6:$J$2005,Settings!$B$5)</f>
        <v>3000</v>
      </c>
      <c r="G27" s="71">
        <f>SUMIFS(Transactions!$G$6:$G$2005,Transactions!$B$6:$B$2005,"Expense",Transactions!$C$6:$C$2005,$A27,Transactions!$I$6:$I$2005,G$3,Transactions!$J$6:$J$2005,Settings!$B$5)</f>
        <v>3000</v>
      </c>
      <c r="H27" s="71">
        <f>SUMIFS(Transactions!$G$6:$G$2005,Transactions!$B$6:$B$2005,"Expense",Transactions!$C$6:$C$2005,$A27,Transactions!$I$6:$I$2005,H$3,Transactions!$J$6:$J$2005,Settings!$B$5)</f>
        <v>3000</v>
      </c>
      <c r="I27" s="71">
        <f>SUMIFS(Transactions!$G$6:$G$2005,Transactions!$B$6:$B$2005,"Expense",Transactions!$C$6:$C$2005,$A27,Transactions!$I$6:$I$2005,I$3,Transactions!$J$6:$J$2005,Settings!$B$5)</f>
        <v>3000</v>
      </c>
      <c r="J27" s="71">
        <f>SUMIFS(Transactions!$G$6:$G$2005,Transactions!$B$6:$B$2005,"Expense",Transactions!$C$6:$C$2005,$A27,Transactions!$I$6:$I$2005,J$3,Transactions!$J$6:$J$2005,Settings!$B$5)</f>
        <v>3000</v>
      </c>
      <c r="K27" s="71">
        <f>SUMIFS(Transactions!$G$6:$G$2005,Transactions!$B$6:$B$2005,"Expense",Transactions!$C$6:$C$2005,$A27,Transactions!$I$6:$I$2005,K$3,Transactions!$J$6:$J$2005,Settings!$B$5)</f>
        <v>3000</v>
      </c>
      <c r="L27" s="71">
        <f>SUMIFS(Transactions!$G$6:$G$2005,Transactions!$B$6:$B$2005,"Expense",Transactions!$C$6:$C$2005,$A27,Transactions!$I$6:$I$2005,L$3,Transactions!$J$6:$J$2005,Settings!$B$5)</f>
        <v>3000</v>
      </c>
      <c r="M27" s="71">
        <f>SUMIFS(Transactions!$G$6:$G$2005,Transactions!$B$6:$B$2005,"Expense",Transactions!$C$6:$C$2005,$A27,Transactions!$I$6:$I$2005,M$3,Transactions!$J$6:$J$2005,Settings!$B$5)</f>
        <v>0</v>
      </c>
      <c r="N27" s="71">
        <f>SUMIFS(Transactions!$G$6:$G$2005,Transactions!$B$6:$B$2005,"Expense",Transactions!$C$6:$C$2005,$A27,Transactions!$I$6:$I$2005,N$3,Transactions!$J$6:$J$2005,Settings!$B$5)</f>
        <v>0</v>
      </c>
      <c r="O27" s="74">
        <f t="shared" si="2"/>
        <v>30000</v>
      </c>
      <c r="P27" s="71">
        <f>Budget!$I$12</f>
        <v>36000</v>
      </c>
      <c r="Q27" s="75">
        <f t="shared" si="3"/>
        <v>6000</v>
      </c>
      <c r="R27" s="29">
        <f t="shared" si="4"/>
        <v>0.83333333333333337</v>
      </c>
    </row>
    <row r="28" spans="1:18" x14ac:dyDescent="0.25">
      <c r="A28" s="16" t="str">
        <f>Settings!$K$23</f>
        <v>Home Repair &amp; Maintenance</v>
      </c>
      <c r="B28" s="16" t="str">
        <f>Settings!$L$23</f>
        <v>Housing &amp; Utilities</v>
      </c>
      <c r="C28" s="71">
        <f>SUMIFS(Transactions!$G$6:$G$2005,Transactions!$B$6:$B$2005,"Expense",Transactions!$C$6:$C$2005,$A28,Transactions!$I$6:$I$2005,C$3,Transactions!$J$6:$J$2005,Settings!$B$5)</f>
        <v>0</v>
      </c>
      <c r="D28" s="71">
        <f>SUMIFS(Transactions!$G$6:$G$2005,Transactions!$B$6:$B$2005,"Expense",Transactions!$C$6:$C$2005,$A28,Transactions!$I$6:$I$2005,D$3,Transactions!$J$6:$J$2005,Settings!$B$5)</f>
        <v>0</v>
      </c>
      <c r="E28" s="71">
        <f>SUMIFS(Transactions!$G$6:$G$2005,Transactions!$B$6:$B$2005,"Expense",Transactions!$C$6:$C$2005,$A28,Transactions!$I$6:$I$2005,E$3,Transactions!$J$6:$J$2005,Settings!$B$5)</f>
        <v>0</v>
      </c>
      <c r="F28" s="71">
        <f>SUMIFS(Transactions!$G$6:$G$2005,Transactions!$B$6:$B$2005,"Expense",Transactions!$C$6:$C$2005,$A28,Transactions!$I$6:$I$2005,F$3,Transactions!$J$6:$J$2005,Settings!$B$5)</f>
        <v>0</v>
      </c>
      <c r="G28" s="71">
        <f>SUMIFS(Transactions!$G$6:$G$2005,Transactions!$B$6:$B$2005,"Expense",Transactions!$C$6:$C$2005,$A28,Transactions!$I$6:$I$2005,G$3,Transactions!$J$6:$J$2005,Settings!$B$5)</f>
        <v>0</v>
      </c>
      <c r="H28" s="71">
        <f>SUMIFS(Transactions!$G$6:$G$2005,Transactions!$B$6:$B$2005,"Expense",Transactions!$C$6:$C$2005,$A28,Transactions!$I$6:$I$2005,H$3,Transactions!$J$6:$J$2005,Settings!$B$5)</f>
        <v>0</v>
      </c>
      <c r="I28" s="71">
        <f>SUMIFS(Transactions!$G$6:$G$2005,Transactions!$B$6:$B$2005,"Expense",Transactions!$C$6:$C$2005,$A28,Transactions!$I$6:$I$2005,I$3,Transactions!$J$6:$J$2005,Settings!$B$5)</f>
        <v>0</v>
      </c>
      <c r="J28" s="71">
        <f>SUMIFS(Transactions!$G$6:$G$2005,Transactions!$B$6:$B$2005,"Expense",Transactions!$C$6:$C$2005,$A28,Transactions!$I$6:$I$2005,J$3,Transactions!$J$6:$J$2005,Settings!$B$5)</f>
        <v>0</v>
      </c>
      <c r="K28" s="71">
        <f>SUMIFS(Transactions!$G$6:$G$2005,Transactions!$B$6:$B$2005,"Expense",Transactions!$C$6:$C$2005,$A28,Transactions!$I$6:$I$2005,K$3,Transactions!$J$6:$J$2005,Settings!$B$5)</f>
        <v>0</v>
      </c>
      <c r="L28" s="71">
        <f>SUMIFS(Transactions!$G$6:$G$2005,Transactions!$B$6:$B$2005,"Expense",Transactions!$C$6:$C$2005,$A28,Transactions!$I$6:$I$2005,L$3,Transactions!$J$6:$J$2005,Settings!$B$5)</f>
        <v>0</v>
      </c>
      <c r="M28" s="71">
        <f>SUMIFS(Transactions!$G$6:$G$2005,Transactions!$B$6:$B$2005,"Expense",Transactions!$C$6:$C$2005,$A28,Transactions!$I$6:$I$2005,M$3,Transactions!$J$6:$J$2005,Settings!$B$5)</f>
        <v>0</v>
      </c>
      <c r="N28" s="71">
        <f>SUMIFS(Transactions!$G$6:$G$2005,Transactions!$B$6:$B$2005,"Expense",Transactions!$C$6:$C$2005,$A28,Transactions!$I$6:$I$2005,N$3,Transactions!$J$6:$J$2005,Settings!$B$5)</f>
        <v>0</v>
      </c>
      <c r="O28" s="74">
        <f t="shared" si="2"/>
        <v>0</v>
      </c>
      <c r="P28" s="71">
        <f>Budget!$I$13</f>
        <v>6000</v>
      </c>
      <c r="Q28" s="75">
        <f t="shared" si="3"/>
        <v>6000</v>
      </c>
      <c r="R28" s="29">
        <f t="shared" si="4"/>
        <v>0</v>
      </c>
    </row>
    <row r="29" spans="1:18" x14ac:dyDescent="0.25">
      <c r="A29" s="16" t="str">
        <f>Settings!$K$24</f>
        <v>Service Charge &amp; Holding Tax</v>
      </c>
      <c r="B29" s="16" t="str">
        <f>Settings!$L$24</f>
        <v>Housing &amp; Utilities</v>
      </c>
      <c r="C29" s="71">
        <f>SUMIFS(Transactions!$G$6:$G$2005,Transactions!$B$6:$B$2005,"Expense",Transactions!$C$6:$C$2005,$A29,Transactions!$I$6:$I$2005,C$3,Transactions!$J$6:$J$2005,Settings!$B$5)</f>
        <v>0</v>
      </c>
      <c r="D29" s="71">
        <f>SUMIFS(Transactions!$G$6:$G$2005,Transactions!$B$6:$B$2005,"Expense",Transactions!$C$6:$C$2005,$A29,Transactions!$I$6:$I$2005,D$3,Transactions!$J$6:$J$2005,Settings!$B$5)</f>
        <v>0</v>
      </c>
      <c r="E29" s="71">
        <f>SUMIFS(Transactions!$G$6:$G$2005,Transactions!$B$6:$B$2005,"Expense",Transactions!$C$6:$C$2005,$A29,Transactions!$I$6:$I$2005,E$3,Transactions!$J$6:$J$2005,Settings!$B$5)</f>
        <v>0</v>
      </c>
      <c r="F29" s="71">
        <f>SUMIFS(Transactions!$G$6:$G$2005,Transactions!$B$6:$B$2005,"Expense",Transactions!$C$6:$C$2005,$A29,Transactions!$I$6:$I$2005,F$3,Transactions!$J$6:$J$2005,Settings!$B$5)</f>
        <v>0</v>
      </c>
      <c r="G29" s="71">
        <f>SUMIFS(Transactions!$G$6:$G$2005,Transactions!$B$6:$B$2005,"Expense",Transactions!$C$6:$C$2005,$A29,Transactions!$I$6:$I$2005,G$3,Transactions!$J$6:$J$2005,Settings!$B$5)</f>
        <v>0</v>
      </c>
      <c r="H29" s="71">
        <f>SUMIFS(Transactions!$G$6:$G$2005,Transactions!$B$6:$B$2005,"Expense",Transactions!$C$6:$C$2005,$A29,Transactions!$I$6:$I$2005,H$3,Transactions!$J$6:$J$2005,Settings!$B$5)</f>
        <v>0</v>
      </c>
      <c r="I29" s="71">
        <f>SUMIFS(Transactions!$G$6:$G$2005,Transactions!$B$6:$B$2005,"Expense",Transactions!$C$6:$C$2005,$A29,Transactions!$I$6:$I$2005,I$3,Transactions!$J$6:$J$2005,Settings!$B$5)</f>
        <v>0</v>
      </c>
      <c r="J29" s="71">
        <f>SUMIFS(Transactions!$G$6:$G$2005,Transactions!$B$6:$B$2005,"Expense",Transactions!$C$6:$C$2005,$A29,Transactions!$I$6:$I$2005,J$3,Transactions!$J$6:$J$2005,Settings!$B$5)</f>
        <v>0</v>
      </c>
      <c r="K29" s="71">
        <f>SUMIFS(Transactions!$G$6:$G$2005,Transactions!$B$6:$B$2005,"Expense",Transactions!$C$6:$C$2005,$A29,Transactions!$I$6:$I$2005,K$3,Transactions!$J$6:$J$2005,Settings!$B$5)</f>
        <v>0</v>
      </c>
      <c r="L29" s="71">
        <f>SUMIFS(Transactions!$G$6:$G$2005,Transactions!$B$6:$B$2005,"Expense",Transactions!$C$6:$C$2005,$A29,Transactions!$I$6:$I$2005,L$3,Transactions!$J$6:$J$2005,Settings!$B$5)</f>
        <v>0</v>
      </c>
      <c r="M29" s="71">
        <f>SUMIFS(Transactions!$G$6:$G$2005,Transactions!$B$6:$B$2005,"Expense",Transactions!$C$6:$C$2005,$A29,Transactions!$I$6:$I$2005,M$3,Transactions!$J$6:$J$2005,Settings!$B$5)</f>
        <v>0</v>
      </c>
      <c r="N29" s="71">
        <f>SUMIFS(Transactions!$G$6:$G$2005,Transactions!$B$6:$B$2005,"Expense",Transactions!$C$6:$C$2005,$A29,Transactions!$I$6:$I$2005,N$3,Transactions!$J$6:$J$2005,Settings!$B$5)</f>
        <v>0</v>
      </c>
      <c r="O29" s="74">
        <f t="shared" si="2"/>
        <v>0</v>
      </c>
      <c r="P29" s="71">
        <f>Budget!$I$14</f>
        <v>0</v>
      </c>
      <c r="Q29" s="75">
        <f t="shared" si="3"/>
        <v>0</v>
      </c>
      <c r="R29" s="29" t="str">
        <f t="shared" si="4"/>
        <v/>
      </c>
    </row>
    <row r="30" spans="1:18" x14ac:dyDescent="0.25">
      <c r="A30" s="16" t="str">
        <f>Settings!$K$25</f>
        <v>Groceries &amp; Bazar</v>
      </c>
      <c r="B30" s="16" t="str">
        <f>Settings!$L$25</f>
        <v>Food</v>
      </c>
      <c r="C30" s="71">
        <f>SUMIFS(Transactions!$G$6:$G$2005,Transactions!$B$6:$B$2005,"Expense",Transactions!$C$6:$C$2005,$A30,Transactions!$I$6:$I$2005,C$3,Transactions!$J$6:$J$2005,Settings!$B$5)</f>
        <v>10810</v>
      </c>
      <c r="D30" s="71">
        <f>SUMIFS(Transactions!$G$6:$G$2005,Transactions!$B$6:$B$2005,"Expense",Transactions!$C$6:$C$2005,$A30,Transactions!$I$6:$I$2005,D$3,Transactions!$J$6:$J$2005,Settings!$B$5)</f>
        <v>11610</v>
      </c>
      <c r="E30" s="71">
        <f>SUMIFS(Transactions!$G$6:$G$2005,Transactions!$B$6:$B$2005,"Expense",Transactions!$C$6:$C$2005,$A30,Transactions!$I$6:$I$2005,E$3,Transactions!$J$6:$J$2005,Settings!$B$5)</f>
        <v>11480</v>
      </c>
      <c r="F30" s="71">
        <f>SUMIFS(Transactions!$G$6:$G$2005,Transactions!$B$6:$B$2005,"Expense",Transactions!$C$6:$C$2005,$A30,Transactions!$I$6:$I$2005,F$3,Transactions!$J$6:$J$2005,Settings!$B$5)</f>
        <v>11540</v>
      </c>
      <c r="G30" s="71">
        <f>SUMIFS(Transactions!$G$6:$G$2005,Transactions!$B$6:$B$2005,"Expense",Transactions!$C$6:$C$2005,$A30,Transactions!$I$6:$I$2005,G$3,Transactions!$J$6:$J$2005,Settings!$B$5)</f>
        <v>10620</v>
      </c>
      <c r="H30" s="71">
        <f>SUMIFS(Transactions!$G$6:$G$2005,Transactions!$B$6:$B$2005,"Expense",Transactions!$C$6:$C$2005,$A30,Transactions!$I$6:$I$2005,H$3,Transactions!$J$6:$J$2005,Settings!$B$5)</f>
        <v>11070</v>
      </c>
      <c r="I30" s="71">
        <f>SUMIFS(Transactions!$G$6:$G$2005,Transactions!$B$6:$B$2005,"Expense",Transactions!$C$6:$C$2005,$A30,Transactions!$I$6:$I$2005,I$3,Transactions!$J$6:$J$2005,Settings!$B$5)</f>
        <v>11650</v>
      </c>
      <c r="J30" s="71">
        <f>SUMIFS(Transactions!$G$6:$G$2005,Transactions!$B$6:$B$2005,"Expense",Transactions!$C$6:$C$2005,$A30,Transactions!$I$6:$I$2005,J$3,Transactions!$J$6:$J$2005,Settings!$B$5)</f>
        <v>11430</v>
      </c>
      <c r="K30" s="71">
        <f>SUMIFS(Transactions!$G$6:$G$2005,Transactions!$B$6:$B$2005,"Expense",Transactions!$C$6:$C$2005,$A30,Transactions!$I$6:$I$2005,K$3,Transactions!$J$6:$J$2005,Settings!$B$5)</f>
        <v>10600</v>
      </c>
      <c r="L30" s="71">
        <f>SUMIFS(Transactions!$G$6:$G$2005,Transactions!$B$6:$B$2005,"Expense",Transactions!$C$6:$C$2005,$A30,Transactions!$I$6:$I$2005,L$3,Transactions!$J$6:$J$2005,Settings!$B$5)</f>
        <v>7650</v>
      </c>
      <c r="M30" s="71">
        <f>SUMIFS(Transactions!$G$6:$G$2005,Transactions!$B$6:$B$2005,"Expense",Transactions!$C$6:$C$2005,$A30,Transactions!$I$6:$I$2005,M$3,Transactions!$J$6:$J$2005,Settings!$B$5)</f>
        <v>0</v>
      </c>
      <c r="N30" s="71">
        <f>SUMIFS(Transactions!$G$6:$G$2005,Transactions!$B$6:$B$2005,"Expense",Transactions!$C$6:$C$2005,$A30,Transactions!$I$6:$I$2005,N$3,Transactions!$J$6:$J$2005,Settings!$B$5)</f>
        <v>0</v>
      </c>
      <c r="O30" s="74">
        <f t="shared" si="2"/>
        <v>108460</v>
      </c>
      <c r="P30" s="71">
        <f>Budget!$I$15</f>
        <v>132000</v>
      </c>
      <c r="Q30" s="75">
        <f t="shared" si="3"/>
        <v>23540</v>
      </c>
      <c r="R30" s="29">
        <f t="shared" si="4"/>
        <v>0.82166666666666666</v>
      </c>
    </row>
    <row r="31" spans="1:18" x14ac:dyDescent="0.25">
      <c r="A31" s="16" t="str">
        <f>Settings!$K$26</f>
        <v>Dining Out &amp; Food Delivery</v>
      </c>
      <c r="B31" s="16" t="str">
        <f>Settings!$L$26</f>
        <v>Food</v>
      </c>
      <c r="C31" s="71">
        <f>SUMIFS(Transactions!$G$6:$G$2005,Transactions!$B$6:$B$2005,"Expense",Transactions!$C$6:$C$2005,$A31,Transactions!$I$6:$I$2005,C$3,Transactions!$J$6:$J$2005,Settings!$B$5)</f>
        <v>930</v>
      </c>
      <c r="D31" s="71">
        <f>SUMIFS(Transactions!$G$6:$G$2005,Transactions!$B$6:$B$2005,"Expense",Transactions!$C$6:$C$2005,$A31,Transactions!$I$6:$I$2005,D$3,Transactions!$J$6:$J$2005,Settings!$B$5)</f>
        <v>1060</v>
      </c>
      <c r="E31" s="71">
        <f>SUMIFS(Transactions!$G$6:$G$2005,Transactions!$B$6:$B$2005,"Expense",Transactions!$C$6:$C$2005,$A31,Transactions!$I$6:$I$2005,E$3,Transactions!$J$6:$J$2005,Settings!$B$5)</f>
        <v>920</v>
      </c>
      <c r="F31" s="71">
        <f>SUMIFS(Transactions!$G$6:$G$2005,Transactions!$B$6:$B$2005,"Expense",Transactions!$C$6:$C$2005,$A31,Transactions!$I$6:$I$2005,F$3,Transactions!$J$6:$J$2005,Settings!$B$5)</f>
        <v>990</v>
      </c>
      <c r="G31" s="71">
        <f>SUMIFS(Transactions!$G$6:$G$2005,Transactions!$B$6:$B$2005,"Expense",Transactions!$C$6:$C$2005,$A31,Transactions!$I$6:$I$2005,G$3,Transactions!$J$6:$J$2005,Settings!$B$5)</f>
        <v>1030</v>
      </c>
      <c r="H31" s="71">
        <f>SUMIFS(Transactions!$G$6:$G$2005,Transactions!$B$6:$B$2005,"Expense",Transactions!$C$6:$C$2005,$A31,Transactions!$I$6:$I$2005,H$3,Transactions!$J$6:$J$2005,Settings!$B$5)</f>
        <v>1070</v>
      </c>
      <c r="I31" s="71">
        <f>SUMIFS(Transactions!$G$6:$G$2005,Transactions!$B$6:$B$2005,"Expense",Transactions!$C$6:$C$2005,$A31,Transactions!$I$6:$I$2005,I$3,Transactions!$J$6:$J$2005,Settings!$B$5)</f>
        <v>1070</v>
      </c>
      <c r="J31" s="71">
        <f>SUMIFS(Transactions!$G$6:$G$2005,Transactions!$B$6:$B$2005,"Expense",Transactions!$C$6:$C$2005,$A31,Transactions!$I$6:$I$2005,J$3,Transactions!$J$6:$J$2005,Settings!$B$5)</f>
        <v>1020</v>
      </c>
      <c r="K31" s="71">
        <f>SUMIFS(Transactions!$G$6:$G$2005,Transactions!$B$6:$B$2005,"Expense",Transactions!$C$6:$C$2005,$A31,Transactions!$I$6:$I$2005,K$3,Transactions!$J$6:$J$2005,Settings!$B$5)</f>
        <v>940</v>
      </c>
      <c r="L31" s="71">
        <f>SUMIFS(Transactions!$G$6:$G$2005,Transactions!$B$6:$B$2005,"Expense",Transactions!$C$6:$C$2005,$A31,Transactions!$I$6:$I$2005,L$3,Transactions!$J$6:$J$2005,Settings!$B$5)</f>
        <v>1010</v>
      </c>
      <c r="M31" s="71">
        <f>SUMIFS(Transactions!$G$6:$G$2005,Transactions!$B$6:$B$2005,"Expense",Transactions!$C$6:$C$2005,$A31,Transactions!$I$6:$I$2005,M$3,Transactions!$J$6:$J$2005,Settings!$B$5)</f>
        <v>0</v>
      </c>
      <c r="N31" s="71">
        <f>SUMIFS(Transactions!$G$6:$G$2005,Transactions!$B$6:$B$2005,"Expense",Transactions!$C$6:$C$2005,$A31,Transactions!$I$6:$I$2005,N$3,Transactions!$J$6:$J$2005,Settings!$B$5)</f>
        <v>0</v>
      </c>
      <c r="O31" s="74">
        <f t="shared" si="2"/>
        <v>10040</v>
      </c>
      <c r="P31" s="71">
        <f>Budget!$I$16</f>
        <v>24000</v>
      </c>
      <c r="Q31" s="75">
        <f t="shared" si="3"/>
        <v>13960</v>
      </c>
      <c r="R31" s="29">
        <f t="shared" si="4"/>
        <v>0.41833333333333333</v>
      </c>
    </row>
    <row r="32" spans="1:18" x14ac:dyDescent="0.25">
      <c r="A32" s="16" t="str">
        <f>Settings!$K$27</f>
        <v>Rickshaw / CNG / Ride-share</v>
      </c>
      <c r="B32" s="16" t="str">
        <f>Settings!$L$27</f>
        <v>Transport</v>
      </c>
      <c r="C32" s="71">
        <f>SUMIFS(Transactions!$G$6:$G$2005,Transactions!$B$6:$B$2005,"Expense",Transactions!$C$6:$C$2005,$A32,Transactions!$I$6:$I$2005,C$3,Transactions!$J$6:$J$2005,Settings!$B$5)</f>
        <v>1770</v>
      </c>
      <c r="D32" s="71">
        <f>SUMIFS(Transactions!$G$6:$G$2005,Transactions!$B$6:$B$2005,"Expense",Transactions!$C$6:$C$2005,$A32,Transactions!$I$6:$I$2005,D$3,Transactions!$J$6:$J$2005,Settings!$B$5)</f>
        <v>1800</v>
      </c>
      <c r="E32" s="71">
        <f>SUMIFS(Transactions!$G$6:$G$2005,Transactions!$B$6:$B$2005,"Expense",Transactions!$C$6:$C$2005,$A32,Transactions!$I$6:$I$2005,E$3,Transactions!$J$6:$J$2005,Settings!$B$5)</f>
        <v>1740</v>
      </c>
      <c r="F32" s="71">
        <f>SUMIFS(Transactions!$G$6:$G$2005,Transactions!$B$6:$B$2005,"Expense",Transactions!$C$6:$C$2005,$A32,Transactions!$I$6:$I$2005,F$3,Transactions!$J$6:$J$2005,Settings!$B$5)</f>
        <v>1710</v>
      </c>
      <c r="G32" s="71">
        <f>SUMIFS(Transactions!$G$6:$G$2005,Transactions!$B$6:$B$2005,"Expense",Transactions!$C$6:$C$2005,$A32,Transactions!$I$6:$I$2005,G$3,Transactions!$J$6:$J$2005,Settings!$B$5)</f>
        <v>1620</v>
      </c>
      <c r="H32" s="71">
        <f>SUMIFS(Transactions!$G$6:$G$2005,Transactions!$B$6:$B$2005,"Expense",Transactions!$C$6:$C$2005,$A32,Transactions!$I$6:$I$2005,H$3,Transactions!$J$6:$J$2005,Settings!$B$5)</f>
        <v>1740</v>
      </c>
      <c r="I32" s="71">
        <f>SUMIFS(Transactions!$G$6:$G$2005,Transactions!$B$6:$B$2005,"Expense",Transactions!$C$6:$C$2005,$A32,Transactions!$I$6:$I$2005,I$3,Transactions!$J$6:$J$2005,Settings!$B$5)</f>
        <v>1710</v>
      </c>
      <c r="J32" s="71">
        <f>SUMIFS(Transactions!$G$6:$G$2005,Transactions!$B$6:$B$2005,"Expense",Transactions!$C$6:$C$2005,$A32,Transactions!$I$6:$I$2005,J$3,Transactions!$J$6:$J$2005,Settings!$B$5)</f>
        <v>1750</v>
      </c>
      <c r="K32" s="71">
        <f>SUMIFS(Transactions!$G$6:$G$2005,Transactions!$B$6:$B$2005,"Expense",Transactions!$C$6:$C$2005,$A32,Transactions!$I$6:$I$2005,K$3,Transactions!$J$6:$J$2005,Settings!$B$5)</f>
        <v>1660</v>
      </c>
      <c r="L32" s="71">
        <f>SUMIFS(Transactions!$G$6:$G$2005,Transactions!$B$6:$B$2005,"Expense",Transactions!$C$6:$C$2005,$A32,Transactions!$I$6:$I$2005,L$3,Transactions!$J$6:$J$2005,Settings!$B$5)</f>
        <v>1630</v>
      </c>
      <c r="M32" s="71">
        <f>SUMIFS(Transactions!$G$6:$G$2005,Transactions!$B$6:$B$2005,"Expense",Transactions!$C$6:$C$2005,$A32,Transactions!$I$6:$I$2005,M$3,Transactions!$J$6:$J$2005,Settings!$B$5)</f>
        <v>0</v>
      </c>
      <c r="N32" s="71">
        <f>SUMIFS(Transactions!$G$6:$G$2005,Transactions!$B$6:$B$2005,"Expense",Transactions!$C$6:$C$2005,$A32,Transactions!$I$6:$I$2005,N$3,Transactions!$J$6:$J$2005,Settings!$B$5)</f>
        <v>0</v>
      </c>
      <c r="O32" s="74">
        <f t="shared" si="2"/>
        <v>17130</v>
      </c>
      <c r="P32" s="71">
        <f>Budget!$I$17</f>
        <v>30000</v>
      </c>
      <c r="Q32" s="75">
        <f t="shared" si="3"/>
        <v>12870</v>
      </c>
      <c r="R32" s="29">
        <f t="shared" si="4"/>
        <v>0.57099999999999995</v>
      </c>
    </row>
    <row r="33" spans="1:18" x14ac:dyDescent="0.25">
      <c r="A33" s="16" t="str">
        <f>Settings!$K$28</f>
        <v>Bus / Metro Rail / Train</v>
      </c>
      <c r="B33" s="16" t="str">
        <f>Settings!$L$28</f>
        <v>Transport</v>
      </c>
      <c r="C33" s="71">
        <f>SUMIFS(Transactions!$G$6:$G$2005,Transactions!$B$6:$B$2005,"Expense",Transactions!$C$6:$C$2005,$A33,Transactions!$I$6:$I$2005,C$3,Transactions!$J$6:$J$2005,Settings!$B$5)</f>
        <v>0</v>
      </c>
      <c r="D33" s="71">
        <f>SUMIFS(Transactions!$G$6:$G$2005,Transactions!$B$6:$B$2005,"Expense",Transactions!$C$6:$C$2005,$A33,Transactions!$I$6:$I$2005,D$3,Transactions!$J$6:$J$2005,Settings!$B$5)</f>
        <v>0</v>
      </c>
      <c r="E33" s="71">
        <f>SUMIFS(Transactions!$G$6:$G$2005,Transactions!$B$6:$B$2005,"Expense",Transactions!$C$6:$C$2005,$A33,Transactions!$I$6:$I$2005,E$3,Transactions!$J$6:$J$2005,Settings!$B$5)</f>
        <v>0</v>
      </c>
      <c r="F33" s="71">
        <f>SUMIFS(Transactions!$G$6:$G$2005,Transactions!$B$6:$B$2005,"Expense",Transactions!$C$6:$C$2005,$A33,Transactions!$I$6:$I$2005,F$3,Transactions!$J$6:$J$2005,Settings!$B$5)</f>
        <v>0</v>
      </c>
      <c r="G33" s="71">
        <f>SUMIFS(Transactions!$G$6:$G$2005,Transactions!$B$6:$B$2005,"Expense",Transactions!$C$6:$C$2005,$A33,Transactions!$I$6:$I$2005,G$3,Transactions!$J$6:$J$2005,Settings!$B$5)</f>
        <v>0</v>
      </c>
      <c r="H33" s="71">
        <f>SUMIFS(Transactions!$G$6:$G$2005,Transactions!$B$6:$B$2005,"Expense",Transactions!$C$6:$C$2005,$A33,Transactions!$I$6:$I$2005,H$3,Transactions!$J$6:$J$2005,Settings!$B$5)</f>
        <v>0</v>
      </c>
      <c r="I33" s="71">
        <f>SUMIFS(Transactions!$G$6:$G$2005,Transactions!$B$6:$B$2005,"Expense",Transactions!$C$6:$C$2005,$A33,Transactions!$I$6:$I$2005,I$3,Transactions!$J$6:$J$2005,Settings!$B$5)</f>
        <v>0</v>
      </c>
      <c r="J33" s="71">
        <f>SUMIFS(Transactions!$G$6:$G$2005,Transactions!$B$6:$B$2005,"Expense",Transactions!$C$6:$C$2005,$A33,Transactions!$I$6:$I$2005,J$3,Transactions!$J$6:$J$2005,Settings!$B$5)</f>
        <v>0</v>
      </c>
      <c r="K33" s="71">
        <f>SUMIFS(Transactions!$G$6:$G$2005,Transactions!$B$6:$B$2005,"Expense",Transactions!$C$6:$C$2005,$A33,Transactions!$I$6:$I$2005,K$3,Transactions!$J$6:$J$2005,Settings!$B$5)</f>
        <v>0</v>
      </c>
      <c r="L33" s="71">
        <f>SUMIFS(Transactions!$G$6:$G$2005,Transactions!$B$6:$B$2005,"Expense",Transactions!$C$6:$C$2005,$A33,Transactions!$I$6:$I$2005,L$3,Transactions!$J$6:$J$2005,Settings!$B$5)</f>
        <v>0</v>
      </c>
      <c r="M33" s="71">
        <f>SUMIFS(Transactions!$G$6:$G$2005,Transactions!$B$6:$B$2005,"Expense",Transactions!$C$6:$C$2005,$A33,Transactions!$I$6:$I$2005,M$3,Transactions!$J$6:$J$2005,Settings!$B$5)</f>
        <v>0</v>
      </c>
      <c r="N33" s="71">
        <f>SUMIFS(Transactions!$G$6:$G$2005,Transactions!$B$6:$B$2005,"Expense",Transactions!$C$6:$C$2005,$A33,Transactions!$I$6:$I$2005,N$3,Transactions!$J$6:$J$2005,Settings!$B$5)</f>
        <v>0</v>
      </c>
      <c r="O33" s="74">
        <f t="shared" si="2"/>
        <v>0</v>
      </c>
      <c r="P33" s="71">
        <f>Budget!$I$18</f>
        <v>6000</v>
      </c>
      <c r="Q33" s="75">
        <f t="shared" si="3"/>
        <v>6000</v>
      </c>
      <c r="R33" s="29">
        <f t="shared" si="4"/>
        <v>0</v>
      </c>
    </row>
    <row r="34" spans="1:18" x14ac:dyDescent="0.25">
      <c r="A34" s="16" t="str">
        <f>Settings!$K$29</f>
        <v>Fuel (Octane / Petrol / CNG)</v>
      </c>
      <c r="B34" s="16" t="str">
        <f>Settings!$L$29</f>
        <v>Transport</v>
      </c>
      <c r="C34" s="71">
        <f>SUMIFS(Transactions!$G$6:$G$2005,Transactions!$B$6:$B$2005,"Expense",Transactions!$C$6:$C$2005,$A34,Transactions!$I$6:$I$2005,C$3,Transactions!$J$6:$J$2005,Settings!$B$5)</f>
        <v>1300</v>
      </c>
      <c r="D34" s="71">
        <f>SUMIFS(Transactions!$G$6:$G$2005,Transactions!$B$6:$B$2005,"Expense",Transactions!$C$6:$C$2005,$A34,Transactions!$I$6:$I$2005,D$3,Transactions!$J$6:$J$2005,Settings!$B$5)</f>
        <v>1290</v>
      </c>
      <c r="E34" s="71">
        <f>SUMIFS(Transactions!$G$6:$G$2005,Transactions!$B$6:$B$2005,"Expense",Transactions!$C$6:$C$2005,$A34,Transactions!$I$6:$I$2005,E$3,Transactions!$J$6:$J$2005,Settings!$B$5)</f>
        <v>1410</v>
      </c>
      <c r="F34" s="71">
        <f>SUMIFS(Transactions!$G$6:$G$2005,Transactions!$B$6:$B$2005,"Expense",Transactions!$C$6:$C$2005,$A34,Transactions!$I$6:$I$2005,F$3,Transactions!$J$6:$J$2005,Settings!$B$5)</f>
        <v>1490</v>
      </c>
      <c r="G34" s="71">
        <f>SUMIFS(Transactions!$G$6:$G$2005,Transactions!$B$6:$B$2005,"Expense",Transactions!$C$6:$C$2005,$A34,Transactions!$I$6:$I$2005,G$3,Transactions!$J$6:$J$2005,Settings!$B$5)</f>
        <v>1370</v>
      </c>
      <c r="H34" s="71">
        <f>SUMIFS(Transactions!$G$6:$G$2005,Transactions!$B$6:$B$2005,"Expense",Transactions!$C$6:$C$2005,$A34,Transactions!$I$6:$I$2005,H$3,Transactions!$J$6:$J$2005,Settings!$B$5)</f>
        <v>1300</v>
      </c>
      <c r="I34" s="71">
        <f>SUMIFS(Transactions!$G$6:$G$2005,Transactions!$B$6:$B$2005,"Expense",Transactions!$C$6:$C$2005,$A34,Transactions!$I$6:$I$2005,I$3,Transactions!$J$6:$J$2005,Settings!$B$5)</f>
        <v>1390</v>
      </c>
      <c r="J34" s="71">
        <f>SUMIFS(Transactions!$G$6:$G$2005,Transactions!$B$6:$B$2005,"Expense",Transactions!$C$6:$C$2005,$A34,Transactions!$I$6:$I$2005,J$3,Transactions!$J$6:$J$2005,Settings!$B$5)</f>
        <v>1420</v>
      </c>
      <c r="K34" s="71">
        <f>SUMIFS(Transactions!$G$6:$G$2005,Transactions!$B$6:$B$2005,"Expense",Transactions!$C$6:$C$2005,$A34,Transactions!$I$6:$I$2005,K$3,Transactions!$J$6:$J$2005,Settings!$B$5)</f>
        <v>1290</v>
      </c>
      <c r="L34" s="71">
        <f>SUMIFS(Transactions!$G$6:$G$2005,Transactions!$B$6:$B$2005,"Expense",Transactions!$C$6:$C$2005,$A34,Transactions!$I$6:$I$2005,L$3,Transactions!$J$6:$J$2005,Settings!$B$5)</f>
        <v>1500</v>
      </c>
      <c r="M34" s="71">
        <f>SUMIFS(Transactions!$G$6:$G$2005,Transactions!$B$6:$B$2005,"Expense",Transactions!$C$6:$C$2005,$A34,Transactions!$I$6:$I$2005,M$3,Transactions!$J$6:$J$2005,Settings!$B$5)</f>
        <v>0</v>
      </c>
      <c r="N34" s="71">
        <f>SUMIFS(Transactions!$G$6:$G$2005,Transactions!$B$6:$B$2005,"Expense",Transactions!$C$6:$C$2005,$A34,Transactions!$I$6:$I$2005,N$3,Transactions!$J$6:$J$2005,Settings!$B$5)</f>
        <v>0</v>
      </c>
      <c r="O34" s="74">
        <f t="shared" si="2"/>
        <v>13760</v>
      </c>
      <c r="P34" s="71">
        <f>Budget!$I$19</f>
        <v>18000</v>
      </c>
      <c r="Q34" s="75">
        <f t="shared" si="3"/>
        <v>4240</v>
      </c>
      <c r="R34" s="29">
        <f t="shared" si="4"/>
        <v>0.76444444444444448</v>
      </c>
    </row>
    <row r="35" spans="1:18" x14ac:dyDescent="0.25">
      <c r="A35" s="16" t="str">
        <f>Settings!$K$30</f>
        <v>Vehicle Maintenance &amp; Parking</v>
      </c>
      <c r="B35" s="16" t="str">
        <f>Settings!$L$30</f>
        <v>Transport</v>
      </c>
      <c r="C35" s="71">
        <f>SUMIFS(Transactions!$G$6:$G$2005,Transactions!$B$6:$B$2005,"Expense",Transactions!$C$6:$C$2005,$A35,Transactions!$I$6:$I$2005,C$3,Transactions!$J$6:$J$2005,Settings!$B$5)</f>
        <v>0</v>
      </c>
      <c r="D35" s="71">
        <f>SUMIFS(Transactions!$G$6:$G$2005,Transactions!$B$6:$B$2005,"Expense",Transactions!$C$6:$C$2005,$A35,Transactions!$I$6:$I$2005,D$3,Transactions!$J$6:$J$2005,Settings!$B$5)</f>
        <v>0</v>
      </c>
      <c r="E35" s="71">
        <f>SUMIFS(Transactions!$G$6:$G$2005,Transactions!$B$6:$B$2005,"Expense",Transactions!$C$6:$C$2005,$A35,Transactions!$I$6:$I$2005,E$3,Transactions!$J$6:$J$2005,Settings!$B$5)</f>
        <v>2030</v>
      </c>
      <c r="F35" s="71">
        <f>SUMIFS(Transactions!$G$6:$G$2005,Transactions!$B$6:$B$2005,"Expense",Transactions!$C$6:$C$2005,$A35,Transactions!$I$6:$I$2005,F$3,Transactions!$J$6:$J$2005,Settings!$B$5)</f>
        <v>0</v>
      </c>
      <c r="G35" s="71">
        <f>SUMIFS(Transactions!$G$6:$G$2005,Transactions!$B$6:$B$2005,"Expense",Transactions!$C$6:$C$2005,$A35,Transactions!$I$6:$I$2005,G$3,Transactions!$J$6:$J$2005,Settings!$B$5)</f>
        <v>0</v>
      </c>
      <c r="H35" s="71">
        <f>SUMIFS(Transactions!$G$6:$G$2005,Transactions!$B$6:$B$2005,"Expense",Transactions!$C$6:$C$2005,$A35,Transactions!$I$6:$I$2005,H$3,Transactions!$J$6:$J$2005,Settings!$B$5)</f>
        <v>2360</v>
      </c>
      <c r="I35" s="71">
        <f>SUMIFS(Transactions!$G$6:$G$2005,Transactions!$B$6:$B$2005,"Expense",Transactions!$C$6:$C$2005,$A35,Transactions!$I$6:$I$2005,I$3,Transactions!$J$6:$J$2005,Settings!$B$5)</f>
        <v>0</v>
      </c>
      <c r="J35" s="71">
        <f>SUMIFS(Transactions!$G$6:$G$2005,Transactions!$B$6:$B$2005,"Expense",Transactions!$C$6:$C$2005,$A35,Transactions!$I$6:$I$2005,J$3,Transactions!$J$6:$J$2005,Settings!$B$5)</f>
        <v>0</v>
      </c>
      <c r="K35" s="71">
        <f>SUMIFS(Transactions!$G$6:$G$2005,Transactions!$B$6:$B$2005,"Expense",Transactions!$C$6:$C$2005,$A35,Transactions!$I$6:$I$2005,K$3,Transactions!$J$6:$J$2005,Settings!$B$5)</f>
        <v>2030</v>
      </c>
      <c r="L35" s="71">
        <f>SUMIFS(Transactions!$G$6:$G$2005,Transactions!$B$6:$B$2005,"Expense",Transactions!$C$6:$C$2005,$A35,Transactions!$I$6:$I$2005,L$3,Transactions!$J$6:$J$2005,Settings!$B$5)</f>
        <v>0</v>
      </c>
      <c r="M35" s="71">
        <f>SUMIFS(Transactions!$G$6:$G$2005,Transactions!$B$6:$B$2005,"Expense",Transactions!$C$6:$C$2005,$A35,Transactions!$I$6:$I$2005,M$3,Transactions!$J$6:$J$2005,Settings!$B$5)</f>
        <v>0</v>
      </c>
      <c r="N35" s="71">
        <f>SUMIFS(Transactions!$G$6:$G$2005,Transactions!$B$6:$B$2005,"Expense",Transactions!$C$6:$C$2005,$A35,Transactions!$I$6:$I$2005,N$3,Transactions!$J$6:$J$2005,Settings!$B$5)</f>
        <v>0</v>
      </c>
      <c r="O35" s="74">
        <f t="shared" si="2"/>
        <v>6420</v>
      </c>
      <c r="P35" s="71">
        <f>Budget!$I$20</f>
        <v>9600</v>
      </c>
      <c r="Q35" s="75">
        <f t="shared" si="3"/>
        <v>3180</v>
      </c>
      <c r="R35" s="29">
        <f t="shared" si="4"/>
        <v>0.66874999999999996</v>
      </c>
    </row>
    <row r="36" spans="1:18" x14ac:dyDescent="0.25">
      <c r="A36" s="16" t="str">
        <f>Settings!$K$31</f>
        <v>School / College / University Fees</v>
      </c>
      <c r="B36" s="16" t="str">
        <f>Settings!$L$31</f>
        <v>Family &amp; Education</v>
      </c>
      <c r="C36" s="71">
        <f>SUMIFS(Transactions!$G$6:$G$2005,Transactions!$B$6:$B$2005,"Expense",Transactions!$C$6:$C$2005,$A36,Transactions!$I$6:$I$2005,C$3,Transactions!$J$6:$J$2005,Settings!$B$5)</f>
        <v>3500</v>
      </c>
      <c r="D36" s="71">
        <f>SUMIFS(Transactions!$G$6:$G$2005,Transactions!$B$6:$B$2005,"Expense",Transactions!$C$6:$C$2005,$A36,Transactions!$I$6:$I$2005,D$3,Transactions!$J$6:$J$2005,Settings!$B$5)</f>
        <v>3500</v>
      </c>
      <c r="E36" s="71">
        <f>SUMIFS(Transactions!$G$6:$G$2005,Transactions!$B$6:$B$2005,"Expense",Transactions!$C$6:$C$2005,$A36,Transactions!$I$6:$I$2005,E$3,Transactions!$J$6:$J$2005,Settings!$B$5)</f>
        <v>3500</v>
      </c>
      <c r="F36" s="71">
        <f>SUMIFS(Transactions!$G$6:$G$2005,Transactions!$B$6:$B$2005,"Expense",Transactions!$C$6:$C$2005,$A36,Transactions!$I$6:$I$2005,F$3,Transactions!$J$6:$J$2005,Settings!$B$5)</f>
        <v>3500</v>
      </c>
      <c r="G36" s="71">
        <f>SUMIFS(Transactions!$G$6:$G$2005,Transactions!$B$6:$B$2005,"Expense",Transactions!$C$6:$C$2005,$A36,Transactions!$I$6:$I$2005,G$3,Transactions!$J$6:$J$2005,Settings!$B$5)</f>
        <v>3500</v>
      </c>
      <c r="H36" s="71">
        <f>SUMIFS(Transactions!$G$6:$G$2005,Transactions!$B$6:$B$2005,"Expense",Transactions!$C$6:$C$2005,$A36,Transactions!$I$6:$I$2005,H$3,Transactions!$J$6:$J$2005,Settings!$B$5)</f>
        <v>3500</v>
      </c>
      <c r="I36" s="71">
        <f>SUMIFS(Transactions!$G$6:$G$2005,Transactions!$B$6:$B$2005,"Expense",Transactions!$C$6:$C$2005,$A36,Transactions!$I$6:$I$2005,I$3,Transactions!$J$6:$J$2005,Settings!$B$5)</f>
        <v>3500</v>
      </c>
      <c r="J36" s="71">
        <f>SUMIFS(Transactions!$G$6:$G$2005,Transactions!$B$6:$B$2005,"Expense",Transactions!$C$6:$C$2005,$A36,Transactions!$I$6:$I$2005,J$3,Transactions!$J$6:$J$2005,Settings!$B$5)</f>
        <v>3500</v>
      </c>
      <c r="K36" s="71">
        <f>SUMIFS(Transactions!$G$6:$G$2005,Transactions!$B$6:$B$2005,"Expense",Transactions!$C$6:$C$2005,$A36,Transactions!$I$6:$I$2005,K$3,Transactions!$J$6:$J$2005,Settings!$B$5)</f>
        <v>3500</v>
      </c>
      <c r="L36" s="71">
        <f>SUMIFS(Transactions!$G$6:$G$2005,Transactions!$B$6:$B$2005,"Expense",Transactions!$C$6:$C$2005,$A36,Transactions!$I$6:$I$2005,L$3,Transactions!$J$6:$J$2005,Settings!$B$5)</f>
        <v>3500</v>
      </c>
      <c r="M36" s="71">
        <f>SUMIFS(Transactions!$G$6:$G$2005,Transactions!$B$6:$B$2005,"Expense",Transactions!$C$6:$C$2005,$A36,Transactions!$I$6:$I$2005,M$3,Transactions!$J$6:$J$2005,Settings!$B$5)</f>
        <v>0</v>
      </c>
      <c r="N36" s="71">
        <f>SUMIFS(Transactions!$G$6:$G$2005,Transactions!$B$6:$B$2005,"Expense",Transactions!$C$6:$C$2005,$A36,Transactions!$I$6:$I$2005,N$3,Transactions!$J$6:$J$2005,Settings!$B$5)</f>
        <v>0</v>
      </c>
      <c r="O36" s="74">
        <f t="shared" si="2"/>
        <v>35000</v>
      </c>
      <c r="P36" s="71">
        <f>Budget!$I$21</f>
        <v>42000</v>
      </c>
      <c r="Q36" s="75">
        <f t="shared" si="3"/>
        <v>7000</v>
      </c>
      <c r="R36" s="29">
        <f t="shared" si="4"/>
        <v>0.83333333333333337</v>
      </c>
    </row>
    <row r="37" spans="1:18" x14ac:dyDescent="0.25">
      <c r="A37" s="16" t="str">
        <f>Settings!$K$32</f>
        <v>Coaching &amp; Books</v>
      </c>
      <c r="B37" s="16" t="str">
        <f>Settings!$L$32</f>
        <v>Family &amp; Education</v>
      </c>
      <c r="C37" s="71">
        <f>SUMIFS(Transactions!$G$6:$G$2005,Transactions!$B$6:$B$2005,"Expense",Transactions!$C$6:$C$2005,$A37,Transactions!$I$6:$I$2005,C$3,Transactions!$J$6:$J$2005,Settings!$B$5)</f>
        <v>0</v>
      </c>
      <c r="D37" s="71">
        <f>SUMIFS(Transactions!$G$6:$G$2005,Transactions!$B$6:$B$2005,"Expense",Transactions!$C$6:$C$2005,$A37,Transactions!$I$6:$I$2005,D$3,Transactions!$J$6:$J$2005,Settings!$B$5)</f>
        <v>0</v>
      </c>
      <c r="E37" s="71">
        <f>SUMIFS(Transactions!$G$6:$G$2005,Transactions!$B$6:$B$2005,"Expense",Transactions!$C$6:$C$2005,$A37,Transactions!$I$6:$I$2005,E$3,Transactions!$J$6:$J$2005,Settings!$B$5)</f>
        <v>0</v>
      </c>
      <c r="F37" s="71">
        <f>SUMIFS(Transactions!$G$6:$G$2005,Transactions!$B$6:$B$2005,"Expense",Transactions!$C$6:$C$2005,$A37,Transactions!$I$6:$I$2005,F$3,Transactions!$J$6:$J$2005,Settings!$B$5)</f>
        <v>0</v>
      </c>
      <c r="G37" s="71">
        <f>SUMIFS(Transactions!$G$6:$G$2005,Transactions!$B$6:$B$2005,"Expense",Transactions!$C$6:$C$2005,$A37,Transactions!$I$6:$I$2005,G$3,Transactions!$J$6:$J$2005,Settings!$B$5)</f>
        <v>0</v>
      </c>
      <c r="H37" s="71">
        <f>SUMIFS(Transactions!$G$6:$G$2005,Transactions!$B$6:$B$2005,"Expense",Transactions!$C$6:$C$2005,$A37,Transactions!$I$6:$I$2005,H$3,Transactions!$J$6:$J$2005,Settings!$B$5)</f>
        <v>0</v>
      </c>
      <c r="I37" s="71">
        <f>SUMIFS(Transactions!$G$6:$G$2005,Transactions!$B$6:$B$2005,"Expense",Transactions!$C$6:$C$2005,$A37,Transactions!$I$6:$I$2005,I$3,Transactions!$J$6:$J$2005,Settings!$B$5)</f>
        <v>0</v>
      </c>
      <c r="J37" s="71">
        <f>SUMIFS(Transactions!$G$6:$G$2005,Transactions!$B$6:$B$2005,"Expense",Transactions!$C$6:$C$2005,$A37,Transactions!$I$6:$I$2005,J$3,Transactions!$J$6:$J$2005,Settings!$B$5)</f>
        <v>0</v>
      </c>
      <c r="K37" s="71">
        <f>SUMIFS(Transactions!$G$6:$G$2005,Transactions!$B$6:$B$2005,"Expense",Transactions!$C$6:$C$2005,$A37,Transactions!$I$6:$I$2005,K$3,Transactions!$J$6:$J$2005,Settings!$B$5)</f>
        <v>0</v>
      </c>
      <c r="L37" s="71">
        <f>SUMIFS(Transactions!$G$6:$G$2005,Transactions!$B$6:$B$2005,"Expense",Transactions!$C$6:$C$2005,$A37,Transactions!$I$6:$I$2005,L$3,Transactions!$J$6:$J$2005,Settings!$B$5)</f>
        <v>0</v>
      </c>
      <c r="M37" s="71">
        <f>SUMIFS(Transactions!$G$6:$G$2005,Transactions!$B$6:$B$2005,"Expense",Transactions!$C$6:$C$2005,$A37,Transactions!$I$6:$I$2005,M$3,Transactions!$J$6:$J$2005,Settings!$B$5)</f>
        <v>0</v>
      </c>
      <c r="N37" s="71">
        <f>SUMIFS(Transactions!$G$6:$G$2005,Transactions!$B$6:$B$2005,"Expense",Transactions!$C$6:$C$2005,$A37,Transactions!$I$6:$I$2005,N$3,Transactions!$J$6:$J$2005,Settings!$B$5)</f>
        <v>0</v>
      </c>
      <c r="O37" s="74">
        <f t="shared" si="2"/>
        <v>0</v>
      </c>
      <c r="P37" s="71">
        <f>Budget!$I$22</f>
        <v>0</v>
      </c>
      <c r="Q37" s="75">
        <f t="shared" si="3"/>
        <v>0</v>
      </c>
      <c r="R37" s="29" t="str">
        <f t="shared" si="4"/>
        <v/>
      </c>
    </row>
    <row r="38" spans="1:18" x14ac:dyDescent="0.25">
      <c r="A38" s="16" t="str">
        <f>Settings!$K$33</f>
        <v>Child Care &amp; Baby Needs</v>
      </c>
      <c r="B38" s="16" t="str">
        <f>Settings!$L$33</f>
        <v>Family &amp; Education</v>
      </c>
      <c r="C38" s="71">
        <f>SUMIFS(Transactions!$G$6:$G$2005,Transactions!$B$6:$B$2005,"Expense",Transactions!$C$6:$C$2005,$A38,Transactions!$I$6:$I$2005,C$3,Transactions!$J$6:$J$2005,Settings!$B$5)</f>
        <v>0</v>
      </c>
      <c r="D38" s="71">
        <f>SUMIFS(Transactions!$G$6:$G$2005,Transactions!$B$6:$B$2005,"Expense",Transactions!$C$6:$C$2005,$A38,Transactions!$I$6:$I$2005,D$3,Transactions!$J$6:$J$2005,Settings!$B$5)</f>
        <v>0</v>
      </c>
      <c r="E38" s="71">
        <f>SUMIFS(Transactions!$G$6:$G$2005,Transactions!$B$6:$B$2005,"Expense",Transactions!$C$6:$C$2005,$A38,Transactions!$I$6:$I$2005,E$3,Transactions!$J$6:$J$2005,Settings!$B$5)</f>
        <v>0</v>
      </c>
      <c r="F38" s="71">
        <f>SUMIFS(Transactions!$G$6:$G$2005,Transactions!$B$6:$B$2005,"Expense",Transactions!$C$6:$C$2005,$A38,Transactions!$I$6:$I$2005,F$3,Transactions!$J$6:$J$2005,Settings!$B$5)</f>
        <v>0</v>
      </c>
      <c r="G38" s="71">
        <f>SUMIFS(Transactions!$G$6:$G$2005,Transactions!$B$6:$B$2005,"Expense",Transactions!$C$6:$C$2005,$A38,Transactions!$I$6:$I$2005,G$3,Transactions!$J$6:$J$2005,Settings!$B$5)</f>
        <v>0</v>
      </c>
      <c r="H38" s="71">
        <f>SUMIFS(Transactions!$G$6:$G$2005,Transactions!$B$6:$B$2005,"Expense",Transactions!$C$6:$C$2005,$A38,Transactions!$I$6:$I$2005,H$3,Transactions!$J$6:$J$2005,Settings!$B$5)</f>
        <v>0</v>
      </c>
      <c r="I38" s="71">
        <f>SUMIFS(Transactions!$G$6:$G$2005,Transactions!$B$6:$B$2005,"Expense",Transactions!$C$6:$C$2005,$A38,Transactions!$I$6:$I$2005,I$3,Transactions!$J$6:$J$2005,Settings!$B$5)</f>
        <v>0</v>
      </c>
      <c r="J38" s="71">
        <f>SUMIFS(Transactions!$G$6:$G$2005,Transactions!$B$6:$B$2005,"Expense",Transactions!$C$6:$C$2005,$A38,Transactions!$I$6:$I$2005,J$3,Transactions!$J$6:$J$2005,Settings!$B$5)</f>
        <v>0</v>
      </c>
      <c r="K38" s="71">
        <f>SUMIFS(Transactions!$G$6:$G$2005,Transactions!$B$6:$B$2005,"Expense",Transactions!$C$6:$C$2005,$A38,Transactions!$I$6:$I$2005,K$3,Transactions!$J$6:$J$2005,Settings!$B$5)</f>
        <v>0</v>
      </c>
      <c r="L38" s="71">
        <f>SUMIFS(Transactions!$G$6:$G$2005,Transactions!$B$6:$B$2005,"Expense",Transactions!$C$6:$C$2005,$A38,Transactions!$I$6:$I$2005,L$3,Transactions!$J$6:$J$2005,Settings!$B$5)</f>
        <v>0</v>
      </c>
      <c r="M38" s="71">
        <f>SUMIFS(Transactions!$G$6:$G$2005,Transactions!$B$6:$B$2005,"Expense",Transactions!$C$6:$C$2005,$A38,Transactions!$I$6:$I$2005,M$3,Transactions!$J$6:$J$2005,Settings!$B$5)</f>
        <v>0</v>
      </c>
      <c r="N38" s="71">
        <f>SUMIFS(Transactions!$G$6:$G$2005,Transactions!$B$6:$B$2005,"Expense",Transactions!$C$6:$C$2005,$A38,Transactions!$I$6:$I$2005,N$3,Transactions!$J$6:$J$2005,Settings!$B$5)</f>
        <v>0</v>
      </c>
      <c r="O38" s="74">
        <f t="shared" si="2"/>
        <v>0</v>
      </c>
      <c r="P38" s="71">
        <f>Budget!$I$23</f>
        <v>12000</v>
      </c>
      <c r="Q38" s="75">
        <f t="shared" si="3"/>
        <v>12000</v>
      </c>
      <c r="R38" s="29">
        <f t="shared" si="4"/>
        <v>0</v>
      </c>
    </row>
    <row r="39" spans="1:18" x14ac:dyDescent="0.25">
      <c r="A39" s="16" t="str">
        <f>Settings!$K$34</f>
        <v>Parents / Family Support</v>
      </c>
      <c r="B39" s="16" t="str">
        <f>Settings!$L$34</f>
        <v>Family &amp; Education</v>
      </c>
      <c r="C39" s="71">
        <f>SUMIFS(Transactions!$G$6:$G$2005,Transactions!$B$6:$B$2005,"Expense",Transactions!$C$6:$C$2005,$A39,Transactions!$I$6:$I$2005,C$3,Transactions!$J$6:$J$2005,Settings!$B$5)</f>
        <v>5000</v>
      </c>
      <c r="D39" s="71">
        <f>SUMIFS(Transactions!$G$6:$G$2005,Transactions!$B$6:$B$2005,"Expense",Transactions!$C$6:$C$2005,$A39,Transactions!$I$6:$I$2005,D$3,Transactions!$J$6:$J$2005,Settings!$B$5)</f>
        <v>5000</v>
      </c>
      <c r="E39" s="71">
        <f>SUMIFS(Transactions!$G$6:$G$2005,Transactions!$B$6:$B$2005,"Expense",Transactions!$C$6:$C$2005,$A39,Transactions!$I$6:$I$2005,E$3,Transactions!$J$6:$J$2005,Settings!$B$5)</f>
        <v>5000</v>
      </c>
      <c r="F39" s="71">
        <f>SUMIFS(Transactions!$G$6:$G$2005,Transactions!$B$6:$B$2005,"Expense",Transactions!$C$6:$C$2005,$A39,Transactions!$I$6:$I$2005,F$3,Transactions!$J$6:$J$2005,Settings!$B$5)</f>
        <v>5000</v>
      </c>
      <c r="G39" s="71">
        <f>SUMIFS(Transactions!$G$6:$G$2005,Transactions!$B$6:$B$2005,"Expense",Transactions!$C$6:$C$2005,$A39,Transactions!$I$6:$I$2005,G$3,Transactions!$J$6:$J$2005,Settings!$B$5)</f>
        <v>5000</v>
      </c>
      <c r="H39" s="71">
        <f>SUMIFS(Transactions!$G$6:$G$2005,Transactions!$B$6:$B$2005,"Expense",Transactions!$C$6:$C$2005,$A39,Transactions!$I$6:$I$2005,H$3,Transactions!$J$6:$J$2005,Settings!$B$5)</f>
        <v>5000</v>
      </c>
      <c r="I39" s="71">
        <f>SUMIFS(Transactions!$G$6:$G$2005,Transactions!$B$6:$B$2005,"Expense",Transactions!$C$6:$C$2005,$A39,Transactions!$I$6:$I$2005,I$3,Transactions!$J$6:$J$2005,Settings!$B$5)</f>
        <v>5000</v>
      </c>
      <c r="J39" s="71">
        <f>SUMIFS(Transactions!$G$6:$G$2005,Transactions!$B$6:$B$2005,"Expense",Transactions!$C$6:$C$2005,$A39,Transactions!$I$6:$I$2005,J$3,Transactions!$J$6:$J$2005,Settings!$B$5)</f>
        <v>5000</v>
      </c>
      <c r="K39" s="71">
        <f>SUMIFS(Transactions!$G$6:$G$2005,Transactions!$B$6:$B$2005,"Expense",Transactions!$C$6:$C$2005,$A39,Transactions!$I$6:$I$2005,K$3,Transactions!$J$6:$J$2005,Settings!$B$5)</f>
        <v>5000</v>
      </c>
      <c r="L39" s="71">
        <f>SUMIFS(Transactions!$G$6:$G$2005,Transactions!$B$6:$B$2005,"Expense",Transactions!$C$6:$C$2005,$A39,Transactions!$I$6:$I$2005,L$3,Transactions!$J$6:$J$2005,Settings!$B$5)</f>
        <v>5000</v>
      </c>
      <c r="M39" s="71">
        <f>SUMIFS(Transactions!$G$6:$G$2005,Transactions!$B$6:$B$2005,"Expense",Transactions!$C$6:$C$2005,$A39,Transactions!$I$6:$I$2005,M$3,Transactions!$J$6:$J$2005,Settings!$B$5)</f>
        <v>0</v>
      </c>
      <c r="N39" s="71">
        <f>SUMIFS(Transactions!$G$6:$G$2005,Transactions!$B$6:$B$2005,"Expense",Transactions!$C$6:$C$2005,$A39,Transactions!$I$6:$I$2005,N$3,Transactions!$J$6:$J$2005,Settings!$B$5)</f>
        <v>0</v>
      </c>
      <c r="O39" s="74">
        <f t="shared" si="2"/>
        <v>50000</v>
      </c>
      <c r="P39" s="71">
        <f>Budget!$I$24</f>
        <v>60000</v>
      </c>
      <c r="Q39" s="75">
        <f t="shared" si="3"/>
        <v>10000</v>
      </c>
      <c r="R39" s="29">
        <f t="shared" si="4"/>
        <v>0.83333333333333337</v>
      </c>
    </row>
    <row r="40" spans="1:18" x14ac:dyDescent="0.25">
      <c r="A40" s="16" t="str">
        <f>Settings!$K$35</f>
        <v>Medicine &amp; Doctor Visits</v>
      </c>
      <c r="B40" s="16" t="str">
        <f>Settings!$L$35</f>
        <v>Health</v>
      </c>
      <c r="C40" s="71">
        <f>SUMIFS(Transactions!$G$6:$G$2005,Transactions!$B$6:$B$2005,"Expense",Transactions!$C$6:$C$2005,$A40,Transactions!$I$6:$I$2005,C$3,Transactions!$J$6:$J$2005,Settings!$B$5)</f>
        <v>1550</v>
      </c>
      <c r="D40" s="71">
        <f>SUMIFS(Transactions!$G$6:$G$2005,Transactions!$B$6:$B$2005,"Expense",Transactions!$C$6:$C$2005,$A40,Transactions!$I$6:$I$2005,D$3,Transactions!$J$6:$J$2005,Settings!$B$5)</f>
        <v>1770</v>
      </c>
      <c r="E40" s="71">
        <f>SUMIFS(Transactions!$G$6:$G$2005,Transactions!$B$6:$B$2005,"Expense",Transactions!$C$6:$C$2005,$A40,Transactions!$I$6:$I$2005,E$3,Transactions!$J$6:$J$2005,Settings!$B$5)</f>
        <v>1080</v>
      </c>
      <c r="F40" s="71">
        <f>SUMIFS(Transactions!$G$6:$G$2005,Transactions!$B$6:$B$2005,"Expense",Transactions!$C$6:$C$2005,$A40,Transactions!$I$6:$I$2005,F$3,Transactions!$J$6:$J$2005,Settings!$B$5)</f>
        <v>1190</v>
      </c>
      <c r="G40" s="71">
        <f>SUMIFS(Transactions!$G$6:$G$2005,Transactions!$B$6:$B$2005,"Expense",Transactions!$C$6:$C$2005,$A40,Transactions!$I$6:$I$2005,G$3,Transactions!$J$6:$J$2005,Settings!$B$5)</f>
        <v>1640</v>
      </c>
      <c r="H40" s="71">
        <f>SUMIFS(Transactions!$G$6:$G$2005,Transactions!$B$6:$B$2005,"Expense",Transactions!$C$6:$C$2005,$A40,Transactions!$I$6:$I$2005,H$3,Transactions!$J$6:$J$2005,Settings!$B$5)</f>
        <v>1060</v>
      </c>
      <c r="I40" s="71">
        <f>SUMIFS(Transactions!$G$6:$G$2005,Transactions!$B$6:$B$2005,"Expense",Transactions!$C$6:$C$2005,$A40,Transactions!$I$6:$I$2005,I$3,Transactions!$J$6:$J$2005,Settings!$B$5)</f>
        <v>1310</v>
      </c>
      <c r="J40" s="71">
        <f>SUMIFS(Transactions!$G$6:$G$2005,Transactions!$B$6:$B$2005,"Expense",Transactions!$C$6:$C$2005,$A40,Transactions!$I$6:$I$2005,J$3,Transactions!$J$6:$J$2005,Settings!$B$5)</f>
        <v>1670</v>
      </c>
      <c r="K40" s="71">
        <f>SUMIFS(Transactions!$G$6:$G$2005,Transactions!$B$6:$B$2005,"Expense",Transactions!$C$6:$C$2005,$A40,Transactions!$I$6:$I$2005,K$3,Transactions!$J$6:$J$2005,Settings!$B$5)</f>
        <v>1550</v>
      </c>
      <c r="L40" s="71">
        <f>SUMIFS(Transactions!$G$6:$G$2005,Transactions!$B$6:$B$2005,"Expense",Transactions!$C$6:$C$2005,$A40,Transactions!$I$6:$I$2005,L$3,Transactions!$J$6:$J$2005,Settings!$B$5)</f>
        <v>1350</v>
      </c>
      <c r="M40" s="71">
        <f>SUMIFS(Transactions!$G$6:$G$2005,Transactions!$B$6:$B$2005,"Expense",Transactions!$C$6:$C$2005,$A40,Transactions!$I$6:$I$2005,M$3,Transactions!$J$6:$J$2005,Settings!$B$5)</f>
        <v>0</v>
      </c>
      <c r="N40" s="71">
        <f>SUMIFS(Transactions!$G$6:$G$2005,Transactions!$B$6:$B$2005,"Expense",Transactions!$C$6:$C$2005,$A40,Transactions!$I$6:$I$2005,N$3,Transactions!$J$6:$J$2005,Settings!$B$5)</f>
        <v>0</v>
      </c>
      <c r="O40" s="74">
        <f t="shared" si="2"/>
        <v>14170</v>
      </c>
      <c r="P40" s="71">
        <f>Budget!$I$25</f>
        <v>18000</v>
      </c>
      <c r="Q40" s="75">
        <f t="shared" si="3"/>
        <v>3830</v>
      </c>
      <c r="R40" s="29">
        <f t="shared" si="4"/>
        <v>0.78722222222222227</v>
      </c>
    </row>
    <row r="41" spans="1:18" x14ac:dyDescent="0.25">
      <c r="A41" s="16" t="str">
        <f>Settings!$K$36</f>
        <v>Medical Tests &amp; Hospital</v>
      </c>
      <c r="B41" s="16" t="str">
        <f>Settings!$L$36</f>
        <v>Health</v>
      </c>
      <c r="C41" s="71">
        <f>SUMIFS(Transactions!$G$6:$G$2005,Transactions!$B$6:$B$2005,"Expense",Transactions!$C$6:$C$2005,$A41,Transactions!$I$6:$I$2005,C$3,Transactions!$J$6:$J$2005,Settings!$B$5)</f>
        <v>0</v>
      </c>
      <c r="D41" s="71">
        <f>SUMIFS(Transactions!$G$6:$G$2005,Transactions!$B$6:$B$2005,"Expense",Transactions!$C$6:$C$2005,$A41,Transactions!$I$6:$I$2005,D$3,Transactions!$J$6:$J$2005,Settings!$B$5)</f>
        <v>0</v>
      </c>
      <c r="E41" s="71">
        <f>SUMIFS(Transactions!$G$6:$G$2005,Transactions!$B$6:$B$2005,"Expense",Transactions!$C$6:$C$2005,$A41,Transactions!$I$6:$I$2005,E$3,Transactions!$J$6:$J$2005,Settings!$B$5)</f>
        <v>0</v>
      </c>
      <c r="F41" s="71">
        <f>SUMIFS(Transactions!$G$6:$G$2005,Transactions!$B$6:$B$2005,"Expense",Transactions!$C$6:$C$2005,$A41,Transactions!$I$6:$I$2005,F$3,Transactions!$J$6:$J$2005,Settings!$B$5)</f>
        <v>1800</v>
      </c>
      <c r="G41" s="71">
        <f>SUMIFS(Transactions!$G$6:$G$2005,Transactions!$B$6:$B$2005,"Expense",Transactions!$C$6:$C$2005,$A41,Transactions!$I$6:$I$2005,G$3,Transactions!$J$6:$J$2005,Settings!$B$5)</f>
        <v>0</v>
      </c>
      <c r="H41" s="71">
        <f>SUMIFS(Transactions!$G$6:$G$2005,Transactions!$B$6:$B$2005,"Expense",Transactions!$C$6:$C$2005,$A41,Transactions!$I$6:$I$2005,H$3,Transactions!$J$6:$J$2005,Settings!$B$5)</f>
        <v>0</v>
      </c>
      <c r="I41" s="71">
        <f>SUMIFS(Transactions!$G$6:$G$2005,Transactions!$B$6:$B$2005,"Expense",Transactions!$C$6:$C$2005,$A41,Transactions!$I$6:$I$2005,I$3,Transactions!$J$6:$J$2005,Settings!$B$5)</f>
        <v>0</v>
      </c>
      <c r="J41" s="71">
        <f>SUMIFS(Transactions!$G$6:$G$2005,Transactions!$B$6:$B$2005,"Expense",Transactions!$C$6:$C$2005,$A41,Transactions!$I$6:$I$2005,J$3,Transactions!$J$6:$J$2005,Settings!$B$5)</f>
        <v>0</v>
      </c>
      <c r="K41" s="71">
        <f>SUMIFS(Transactions!$G$6:$G$2005,Transactions!$B$6:$B$2005,"Expense",Transactions!$C$6:$C$2005,$A41,Transactions!$I$6:$I$2005,K$3,Transactions!$J$6:$J$2005,Settings!$B$5)</f>
        <v>1800</v>
      </c>
      <c r="L41" s="71">
        <f>SUMIFS(Transactions!$G$6:$G$2005,Transactions!$B$6:$B$2005,"Expense",Transactions!$C$6:$C$2005,$A41,Transactions!$I$6:$I$2005,L$3,Transactions!$J$6:$J$2005,Settings!$B$5)</f>
        <v>0</v>
      </c>
      <c r="M41" s="71">
        <f>SUMIFS(Transactions!$G$6:$G$2005,Transactions!$B$6:$B$2005,"Expense",Transactions!$C$6:$C$2005,$A41,Transactions!$I$6:$I$2005,M$3,Transactions!$J$6:$J$2005,Settings!$B$5)</f>
        <v>0</v>
      </c>
      <c r="N41" s="71">
        <f>SUMIFS(Transactions!$G$6:$G$2005,Transactions!$B$6:$B$2005,"Expense",Transactions!$C$6:$C$2005,$A41,Transactions!$I$6:$I$2005,N$3,Transactions!$J$6:$J$2005,Settings!$B$5)</f>
        <v>0</v>
      </c>
      <c r="O41" s="74">
        <f t="shared" si="2"/>
        <v>3600</v>
      </c>
      <c r="P41" s="71">
        <f>Budget!$I$26</f>
        <v>6000</v>
      </c>
      <c r="Q41" s="75">
        <f t="shared" si="3"/>
        <v>2400</v>
      </c>
      <c r="R41" s="29">
        <f t="shared" si="4"/>
        <v>0.6</v>
      </c>
    </row>
    <row r="42" spans="1:18" x14ac:dyDescent="0.25">
      <c r="A42" s="16" t="str">
        <f>Settings!$K$37</f>
        <v>Clothing &amp; Footwear</v>
      </c>
      <c r="B42" s="16" t="str">
        <f>Settings!$L$37</f>
        <v>Lifestyle</v>
      </c>
      <c r="C42" s="71">
        <f>SUMIFS(Transactions!$G$6:$G$2005,Transactions!$B$6:$B$2005,"Expense",Transactions!$C$6:$C$2005,$A42,Transactions!$I$6:$I$2005,C$3,Transactions!$J$6:$J$2005,Settings!$B$5)</f>
        <v>0</v>
      </c>
      <c r="D42" s="71">
        <f>SUMIFS(Transactions!$G$6:$G$2005,Transactions!$B$6:$B$2005,"Expense",Transactions!$C$6:$C$2005,$A42,Transactions!$I$6:$I$2005,D$3,Transactions!$J$6:$J$2005,Settings!$B$5)</f>
        <v>0</v>
      </c>
      <c r="E42" s="71">
        <f>SUMIFS(Transactions!$G$6:$G$2005,Transactions!$B$6:$B$2005,"Expense",Transactions!$C$6:$C$2005,$A42,Transactions!$I$6:$I$2005,E$3,Transactions!$J$6:$J$2005,Settings!$B$5)</f>
        <v>9000</v>
      </c>
      <c r="F42" s="71">
        <f>SUMIFS(Transactions!$G$6:$G$2005,Transactions!$B$6:$B$2005,"Expense",Transactions!$C$6:$C$2005,$A42,Transactions!$I$6:$I$2005,F$3,Transactions!$J$6:$J$2005,Settings!$B$5)</f>
        <v>2500</v>
      </c>
      <c r="G42" s="71">
        <f>SUMIFS(Transactions!$G$6:$G$2005,Transactions!$B$6:$B$2005,"Expense",Transactions!$C$6:$C$2005,$A42,Transactions!$I$6:$I$2005,G$3,Transactions!$J$6:$J$2005,Settings!$B$5)</f>
        <v>7500</v>
      </c>
      <c r="H42" s="71">
        <f>SUMIFS(Transactions!$G$6:$G$2005,Transactions!$B$6:$B$2005,"Expense",Transactions!$C$6:$C$2005,$A42,Transactions!$I$6:$I$2005,H$3,Transactions!$J$6:$J$2005,Settings!$B$5)</f>
        <v>0</v>
      </c>
      <c r="I42" s="71">
        <f>SUMIFS(Transactions!$G$6:$G$2005,Transactions!$B$6:$B$2005,"Expense",Transactions!$C$6:$C$2005,$A42,Transactions!$I$6:$I$2005,I$3,Transactions!$J$6:$J$2005,Settings!$B$5)</f>
        <v>0</v>
      </c>
      <c r="J42" s="71">
        <f>SUMIFS(Transactions!$G$6:$G$2005,Transactions!$B$6:$B$2005,"Expense",Transactions!$C$6:$C$2005,$A42,Transactions!$I$6:$I$2005,J$3,Transactions!$J$6:$J$2005,Settings!$B$5)</f>
        <v>3000</v>
      </c>
      <c r="K42" s="71">
        <f>SUMIFS(Transactions!$G$6:$G$2005,Transactions!$B$6:$B$2005,"Expense",Transactions!$C$6:$C$2005,$A42,Transactions!$I$6:$I$2005,K$3,Transactions!$J$6:$J$2005,Settings!$B$5)</f>
        <v>0</v>
      </c>
      <c r="L42" s="71">
        <f>SUMIFS(Transactions!$G$6:$G$2005,Transactions!$B$6:$B$2005,"Expense",Transactions!$C$6:$C$2005,$A42,Transactions!$I$6:$I$2005,L$3,Transactions!$J$6:$J$2005,Settings!$B$5)</f>
        <v>0</v>
      </c>
      <c r="M42" s="71">
        <f>SUMIFS(Transactions!$G$6:$G$2005,Transactions!$B$6:$B$2005,"Expense",Transactions!$C$6:$C$2005,$A42,Transactions!$I$6:$I$2005,M$3,Transactions!$J$6:$J$2005,Settings!$B$5)</f>
        <v>0</v>
      </c>
      <c r="N42" s="71">
        <f>SUMIFS(Transactions!$G$6:$G$2005,Transactions!$B$6:$B$2005,"Expense",Transactions!$C$6:$C$2005,$A42,Transactions!$I$6:$I$2005,N$3,Transactions!$J$6:$J$2005,Settings!$B$5)</f>
        <v>0</v>
      </c>
      <c r="O42" s="74">
        <f t="shared" si="2"/>
        <v>22000</v>
      </c>
      <c r="P42" s="71">
        <f>Budget!$I$27</f>
        <v>24000</v>
      </c>
      <c r="Q42" s="75">
        <f t="shared" si="3"/>
        <v>2000</v>
      </c>
      <c r="R42" s="29">
        <f t="shared" si="4"/>
        <v>0.91666666666666663</v>
      </c>
    </row>
    <row r="43" spans="1:18" x14ac:dyDescent="0.25">
      <c r="A43" s="16" t="str">
        <f>Settings!$K$38</f>
        <v>Personal Care &amp; Salon</v>
      </c>
      <c r="B43" s="16" t="str">
        <f>Settings!$L$38</f>
        <v>Lifestyle</v>
      </c>
      <c r="C43" s="71">
        <f>SUMIFS(Transactions!$G$6:$G$2005,Transactions!$B$6:$B$2005,"Expense",Transactions!$C$6:$C$2005,$A43,Transactions!$I$6:$I$2005,C$3,Transactions!$J$6:$J$2005,Settings!$B$5)</f>
        <v>800</v>
      </c>
      <c r="D43" s="71">
        <f>SUMIFS(Transactions!$G$6:$G$2005,Transactions!$B$6:$B$2005,"Expense",Transactions!$C$6:$C$2005,$A43,Transactions!$I$6:$I$2005,D$3,Transactions!$J$6:$J$2005,Settings!$B$5)</f>
        <v>760</v>
      </c>
      <c r="E43" s="71">
        <f>SUMIFS(Transactions!$G$6:$G$2005,Transactions!$B$6:$B$2005,"Expense",Transactions!$C$6:$C$2005,$A43,Transactions!$I$6:$I$2005,E$3,Transactions!$J$6:$J$2005,Settings!$B$5)</f>
        <v>740</v>
      </c>
      <c r="F43" s="71">
        <f>SUMIFS(Transactions!$G$6:$G$2005,Transactions!$B$6:$B$2005,"Expense",Transactions!$C$6:$C$2005,$A43,Transactions!$I$6:$I$2005,F$3,Transactions!$J$6:$J$2005,Settings!$B$5)</f>
        <v>860</v>
      </c>
      <c r="G43" s="71">
        <f>SUMIFS(Transactions!$G$6:$G$2005,Transactions!$B$6:$B$2005,"Expense",Transactions!$C$6:$C$2005,$A43,Transactions!$I$6:$I$2005,G$3,Transactions!$J$6:$J$2005,Settings!$B$5)</f>
        <v>860</v>
      </c>
      <c r="H43" s="71">
        <f>SUMIFS(Transactions!$G$6:$G$2005,Transactions!$B$6:$B$2005,"Expense",Transactions!$C$6:$C$2005,$A43,Transactions!$I$6:$I$2005,H$3,Transactions!$J$6:$J$2005,Settings!$B$5)</f>
        <v>770</v>
      </c>
      <c r="I43" s="71">
        <f>SUMIFS(Transactions!$G$6:$G$2005,Transactions!$B$6:$B$2005,"Expense",Transactions!$C$6:$C$2005,$A43,Transactions!$I$6:$I$2005,I$3,Transactions!$J$6:$J$2005,Settings!$B$5)</f>
        <v>740</v>
      </c>
      <c r="J43" s="71">
        <f>SUMIFS(Transactions!$G$6:$G$2005,Transactions!$B$6:$B$2005,"Expense",Transactions!$C$6:$C$2005,$A43,Transactions!$I$6:$I$2005,J$3,Transactions!$J$6:$J$2005,Settings!$B$5)</f>
        <v>740</v>
      </c>
      <c r="K43" s="71">
        <f>SUMIFS(Transactions!$G$6:$G$2005,Transactions!$B$6:$B$2005,"Expense",Transactions!$C$6:$C$2005,$A43,Transactions!$I$6:$I$2005,K$3,Transactions!$J$6:$J$2005,Settings!$B$5)</f>
        <v>790</v>
      </c>
      <c r="L43" s="71">
        <f>SUMIFS(Transactions!$G$6:$G$2005,Transactions!$B$6:$B$2005,"Expense",Transactions!$C$6:$C$2005,$A43,Transactions!$I$6:$I$2005,L$3,Transactions!$J$6:$J$2005,Settings!$B$5)</f>
        <v>780</v>
      </c>
      <c r="M43" s="71">
        <f>SUMIFS(Transactions!$G$6:$G$2005,Transactions!$B$6:$B$2005,"Expense",Transactions!$C$6:$C$2005,$A43,Transactions!$I$6:$I$2005,M$3,Transactions!$J$6:$J$2005,Settings!$B$5)</f>
        <v>0</v>
      </c>
      <c r="N43" s="71">
        <f>SUMIFS(Transactions!$G$6:$G$2005,Transactions!$B$6:$B$2005,"Expense",Transactions!$C$6:$C$2005,$A43,Transactions!$I$6:$I$2005,N$3,Transactions!$J$6:$J$2005,Settings!$B$5)</f>
        <v>0</v>
      </c>
      <c r="O43" s="74">
        <f t="shared" si="2"/>
        <v>7840</v>
      </c>
      <c r="P43" s="71">
        <f>Budget!$I$28</f>
        <v>9600</v>
      </c>
      <c r="Q43" s="75">
        <f t="shared" si="3"/>
        <v>1760</v>
      </c>
      <c r="R43" s="29">
        <f t="shared" si="4"/>
        <v>0.81666666666666665</v>
      </c>
    </row>
    <row r="44" spans="1:18" x14ac:dyDescent="0.25">
      <c r="A44" s="16" t="str">
        <f>Settings!$K$39</f>
        <v>Entertainment &amp; Subscriptions</v>
      </c>
      <c r="B44" s="16" t="str">
        <f>Settings!$L$39</f>
        <v>Lifestyle</v>
      </c>
      <c r="C44" s="71">
        <f>SUMIFS(Transactions!$G$6:$G$2005,Transactions!$B$6:$B$2005,"Expense",Transactions!$C$6:$C$2005,$A44,Transactions!$I$6:$I$2005,C$3,Transactions!$J$6:$J$2005,Settings!$B$5)</f>
        <v>1100</v>
      </c>
      <c r="D44" s="71">
        <f>SUMIFS(Transactions!$G$6:$G$2005,Transactions!$B$6:$B$2005,"Expense",Transactions!$C$6:$C$2005,$A44,Transactions!$I$6:$I$2005,D$3,Transactions!$J$6:$J$2005,Settings!$B$5)</f>
        <v>1100</v>
      </c>
      <c r="E44" s="71">
        <f>SUMIFS(Transactions!$G$6:$G$2005,Transactions!$B$6:$B$2005,"Expense",Transactions!$C$6:$C$2005,$A44,Transactions!$I$6:$I$2005,E$3,Transactions!$J$6:$J$2005,Settings!$B$5)</f>
        <v>1100</v>
      </c>
      <c r="F44" s="71">
        <f>SUMIFS(Transactions!$G$6:$G$2005,Transactions!$B$6:$B$2005,"Expense",Transactions!$C$6:$C$2005,$A44,Transactions!$I$6:$I$2005,F$3,Transactions!$J$6:$J$2005,Settings!$B$5)</f>
        <v>1100</v>
      </c>
      <c r="G44" s="71">
        <f>SUMIFS(Transactions!$G$6:$G$2005,Transactions!$B$6:$B$2005,"Expense",Transactions!$C$6:$C$2005,$A44,Transactions!$I$6:$I$2005,G$3,Transactions!$J$6:$J$2005,Settings!$B$5)</f>
        <v>1100</v>
      </c>
      <c r="H44" s="71">
        <f>SUMIFS(Transactions!$G$6:$G$2005,Transactions!$B$6:$B$2005,"Expense",Transactions!$C$6:$C$2005,$A44,Transactions!$I$6:$I$2005,H$3,Transactions!$J$6:$J$2005,Settings!$B$5)</f>
        <v>1100</v>
      </c>
      <c r="I44" s="71">
        <f>SUMIFS(Transactions!$G$6:$G$2005,Transactions!$B$6:$B$2005,"Expense",Transactions!$C$6:$C$2005,$A44,Transactions!$I$6:$I$2005,I$3,Transactions!$J$6:$J$2005,Settings!$B$5)</f>
        <v>1100</v>
      </c>
      <c r="J44" s="71">
        <f>SUMIFS(Transactions!$G$6:$G$2005,Transactions!$B$6:$B$2005,"Expense",Transactions!$C$6:$C$2005,$A44,Transactions!$I$6:$I$2005,J$3,Transactions!$J$6:$J$2005,Settings!$B$5)</f>
        <v>1100</v>
      </c>
      <c r="K44" s="71">
        <f>SUMIFS(Transactions!$G$6:$G$2005,Transactions!$B$6:$B$2005,"Expense",Transactions!$C$6:$C$2005,$A44,Transactions!$I$6:$I$2005,K$3,Transactions!$J$6:$J$2005,Settings!$B$5)</f>
        <v>1100</v>
      </c>
      <c r="L44" s="71">
        <f>SUMIFS(Transactions!$G$6:$G$2005,Transactions!$B$6:$B$2005,"Expense",Transactions!$C$6:$C$2005,$A44,Transactions!$I$6:$I$2005,L$3,Transactions!$J$6:$J$2005,Settings!$B$5)</f>
        <v>1100</v>
      </c>
      <c r="M44" s="71">
        <f>SUMIFS(Transactions!$G$6:$G$2005,Transactions!$B$6:$B$2005,"Expense",Transactions!$C$6:$C$2005,$A44,Transactions!$I$6:$I$2005,M$3,Transactions!$J$6:$J$2005,Settings!$B$5)</f>
        <v>0</v>
      </c>
      <c r="N44" s="71">
        <f>SUMIFS(Transactions!$G$6:$G$2005,Transactions!$B$6:$B$2005,"Expense",Transactions!$C$6:$C$2005,$A44,Transactions!$I$6:$I$2005,N$3,Transactions!$J$6:$J$2005,Settings!$B$5)</f>
        <v>0</v>
      </c>
      <c r="O44" s="74">
        <f t="shared" si="2"/>
        <v>11000</v>
      </c>
      <c r="P44" s="71">
        <f>Budget!$I$29</f>
        <v>13200</v>
      </c>
      <c r="Q44" s="75">
        <f t="shared" si="3"/>
        <v>2200</v>
      </c>
      <c r="R44" s="29">
        <f t="shared" si="4"/>
        <v>0.83333333333333337</v>
      </c>
    </row>
    <row r="45" spans="1:18" x14ac:dyDescent="0.25">
      <c r="A45" s="16" t="str">
        <f>Settings!$K$40</f>
        <v>Travel &amp; Holidays</v>
      </c>
      <c r="B45" s="16" t="str">
        <f>Settings!$L$40</f>
        <v>Lifestyle</v>
      </c>
      <c r="C45" s="71">
        <f>SUMIFS(Transactions!$G$6:$G$2005,Transactions!$B$6:$B$2005,"Expense",Transactions!$C$6:$C$2005,$A45,Transactions!$I$6:$I$2005,C$3,Transactions!$J$6:$J$2005,Settings!$B$5)</f>
        <v>0</v>
      </c>
      <c r="D45" s="71">
        <f>SUMIFS(Transactions!$G$6:$G$2005,Transactions!$B$6:$B$2005,"Expense",Transactions!$C$6:$C$2005,$A45,Transactions!$I$6:$I$2005,D$3,Transactions!$J$6:$J$2005,Settings!$B$5)</f>
        <v>12000</v>
      </c>
      <c r="E45" s="71">
        <f>SUMIFS(Transactions!$G$6:$G$2005,Transactions!$B$6:$B$2005,"Expense",Transactions!$C$6:$C$2005,$A45,Transactions!$I$6:$I$2005,E$3,Transactions!$J$6:$J$2005,Settings!$B$5)</f>
        <v>0</v>
      </c>
      <c r="F45" s="71">
        <f>SUMIFS(Transactions!$G$6:$G$2005,Transactions!$B$6:$B$2005,"Expense",Transactions!$C$6:$C$2005,$A45,Transactions!$I$6:$I$2005,F$3,Transactions!$J$6:$J$2005,Settings!$B$5)</f>
        <v>0</v>
      </c>
      <c r="G45" s="71">
        <f>SUMIFS(Transactions!$G$6:$G$2005,Transactions!$B$6:$B$2005,"Expense",Transactions!$C$6:$C$2005,$A45,Transactions!$I$6:$I$2005,G$3,Transactions!$J$6:$J$2005,Settings!$B$5)</f>
        <v>0</v>
      </c>
      <c r="H45" s="71">
        <f>SUMIFS(Transactions!$G$6:$G$2005,Transactions!$B$6:$B$2005,"Expense",Transactions!$C$6:$C$2005,$A45,Transactions!$I$6:$I$2005,H$3,Transactions!$J$6:$J$2005,Settings!$B$5)</f>
        <v>0</v>
      </c>
      <c r="I45" s="71">
        <f>SUMIFS(Transactions!$G$6:$G$2005,Transactions!$B$6:$B$2005,"Expense",Transactions!$C$6:$C$2005,$A45,Transactions!$I$6:$I$2005,I$3,Transactions!$J$6:$J$2005,Settings!$B$5)</f>
        <v>0</v>
      </c>
      <c r="J45" s="71">
        <f>SUMIFS(Transactions!$G$6:$G$2005,Transactions!$B$6:$B$2005,"Expense",Transactions!$C$6:$C$2005,$A45,Transactions!$I$6:$I$2005,J$3,Transactions!$J$6:$J$2005,Settings!$B$5)</f>
        <v>0</v>
      </c>
      <c r="K45" s="71">
        <f>SUMIFS(Transactions!$G$6:$G$2005,Transactions!$B$6:$B$2005,"Expense",Transactions!$C$6:$C$2005,$A45,Transactions!$I$6:$I$2005,K$3,Transactions!$J$6:$J$2005,Settings!$B$5)</f>
        <v>9000</v>
      </c>
      <c r="L45" s="71">
        <f>SUMIFS(Transactions!$G$6:$G$2005,Transactions!$B$6:$B$2005,"Expense",Transactions!$C$6:$C$2005,$A45,Transactions!$I$6:$I$2005,L$3,Transactions!$J$6:$J$2005,Settings!$B$5)</f>
        <v>0</v>
      </c>
      <c r="M45" s="71">
        <f>SUMIFS(Transactions!$G$6:$G$2005,Transactions!$B$6:$B$2005,"Expense",Transactions!$C$6:$C$2005,$A45,Transactions!$I$6:$I$2005,M$3,Transactions!$J$6:$J$2005,Settings!$B$5)</f>
        <v>0</v>
      </c>
      <c r="N45" s="71">
        <f>SUMIFS(Transactions!$G$6:$G$2005,Transactions!$B$6:$B$2005,"Expense",Transactions!$C$6:$C$2005,$A45,Transactions!$I$6:$I$2005,N$3,Transactions!$J$6:$J$2005,Settings!$B$5)</f>
        <v>0</v>
      </c>
      <c r="O45" s="74">
        <f t="shared" si="2"/>
        <v>21000</v>
      </c>
      <c r="P45" s="71">
        <f>Budget!$I$30</f>
        <v>24000</v>
      </c>
      <c r="Q45" s="75">
        <f t="shared" si="3"/>
        <v>3000</v>
      </c>
      <c r="R45" s="29">
        <f t="shared" si="4"/>
        <v>0.875</v>
      </c>
    </row>
    <row r="46" spans="1:18" x14ac:dyDescent="0.25">
      <c r="A46" s="16" t="str">
        <f>Settings!$K$41</f>
        <v>Gifts &amp; Social Events</v>
      </c>
      <c r="B46" s="16" t="str">
        <f>Settings!$L$41</f>
        <v>Lifestyle</v>
      </c>
      <c r="C46" s="71">
        <f>SUMIFS(Transactions!$G$6:$G$2005,Transactions!$B$6:$B$2005,"Expense",Transactions!$C$6:$C$2005,$A46,Transactions!$I$6:$I$2005,C$3,Transactions!$J$6:$J$2005,Settings!$B$5)</f>
        <v>0</v>
      </c>
      <c r="D46" s="71">
        <f>SUMIFS(Transactions!$G$6:$G$2005,Transactions!$B$6:$B$2005,"Expense",Transactions!$C$6:$C$2005,$A46,Transactions!$I$6:$I$2005,D$3,Transactions!$J$6:$J$2005,Settings!$B$5)</f>
        <v>1690</v>
      </c>
      <c r="E46" s="71">
        <f>SUMIFS(Transactions!$G$6:$G$2005,Transactions!$B$6:$B$2005,"Expense",Transactions!$C$6:$C$2005,$A46,Transactions!$I$6:$I$2005,E$3,Transactions!$J$6:$J$2005,Settings!$B$5)</f>
        <v>0</v>
      </c>
      <c r="F46" s="71">
        <f>SUMIFS(Transactions!$G$6:$G$2005,Transactions!$B$6:$B$2005,"Expense",Transactions!$C$6:$C$2005,$A46,Transactions!$I$6:$I$2005,F$3,Transactions!$J$6:$J$2005,Settings!$B$5)</f>
        <v>1530</v>
      </c>
      <c r="G46" s="71">
        <f>SUMIFS(Transactions!$G$6:$G$2005,Transactions!$B$6:$B$2005,"Expense",Transactions!$C$6:$C$2005,$A46,Transactions!$I$6:$I$2005,G$3,Transactions!$J$6:$J$2005,Settings!$B$5)</f>
        <v>0</v>
      </c>
      <c r="H46" s="71">
        <f>SUMIFS(Transactions!$G$6:$G$2005,Transactions!$B$6:$B$2005,"Expense",Transactions!$C$6:$C$2005,$A46,Transactions!$I$6:$I$2005,H$3,Transactions!$J$6:$J$2005,Settings!$B$5)</f>
        <v>1250</v>
      </c>
      <c r="I46" s="71">
        <f>SUMIFS(Transactions!$G$6:$G$2005,Transactions!$B$6:$B$2005,"Expense",Transactions!$C$6:$C$2005,$A46,Transactions!$I$6:$I$2005,I$3,Transactions!$J$6:$J$2005,Settings!$B$5)</f>
        <v>0</v>
      </c>
      <c r="J46" s="71">
        <f>SUMIFS(Transactions!$G$6:$G$2005,Transactions!$B$6:$B$2005,"Expense",Transactions!$C$6:$C$2005,$A46,Transactions!$I$6:$I$2005,J$3,Transactions!$J$6:$J$2005,Settings!$B$5)</f>
        <v>1530</v>
      </c>
      <c r="K46" s="71">
        <f>SUMIFS(Transactions!$G$6:$G$2005,Transactions!$B$6:$B$2005,"Expense",Transactions!$C$6:$C$2005,$A46,Transactions!$I$6:$I$2005,K$3,Transactions!$J$6:$J$2005,Settings!$B$5)</f>
        <v>0</v>
      </c>
      <c r="L46" s="71">
        <f>SUMIFS(Transactions!$G$6:$G$2005,Transactions!$B$6:$B$2005,"Expense",Transactions!$C$6:$C$2005,$A46,Transactions!$I$6:$I$2005,L$3,Transactions!$J$6:$J$2005,Settings!$B$5)</f>
        <v>1690</v>
      </c>
      <c r="M46" s="71">
        <f>SUMIFS(Transactions!$G$6:$G$2005,Transactions!$B$6:$B$2005,"Expense",Transactions!$C$6:$C$2005,$A46,Transactions!$I$6:$I$2005,M$3,Transactions!$J$6:$J$2005,Settings!$B$5)</f>
        <v>0</v>
      </c>
      <c r="N46" s="71">
        <f>SUMIFS(Transactions!$G$6:$G$2005,Transactions!$B$6:$B$2005,"Expense",Transactions!$C$6:$C$2005,$A46,Transactions!$I$6:$I$2005,N$3,Transactions!$J$6:$J$2005,Settings!$B$5)</f>
        <v>0</v>
      </c>
      <c r="O46" s="74">
        <f t="shared" si="2"/>
        <v>7690</v>
      </c>
      <c r="P46" s="71">
        <f>Budget!$I$31</f>
        <v>12000</v>
      </c>
      <c r="Q46" s="75">
        <f t="shared" si="3"/>
        <v>4310</v>
      </c>
      <c r="R46" s="29">
        <f t="shared" si="4"/>
        <v>0.64083333333333337</v>
      </c>
    </row>
    <row r="47" spans="1:18" x14ac:dyDescent="0.25">
      <c r="A47" s="16" t="str">
        <f>Settings!$K$42</f>
        <v>Zakat, Fitra &amp; Sadaqah</v>
      </c>
      <c r="B47" s="16" t="str">
        <f>Settings!$L$42</f>
        <v>Religious &amp; Social</v>
      </c>
      <c r="C47" s="71">
        <f>SUMIFS(Transactions!$G$6:$G$2005,Transactions!$B$6:$B$2005,"Expense",Transactions!$C$6:$C$2005,$A47,Transactions!$I$6:$I$2005,C$3,Transactions!$J$6:$J$2005,Settings!$B$5)</f>
        <v>0</v>
      </c>
      <c r="D47" s="71">
        <f>SUMIFS(Transactions!$G$6:$G$2005,Transactions!$B$6:$B$2005,"Expense",Transactions!$C$6:$C$2005,$A47,Transactions!$I$6:$I$2005,D$3,Transactions!$J$6:$J$2005,Settings!$B$5)</f>
        <v>0</v>
      </c>
      <c r="E47" s="71">
        <f>SUMIFS(Transactions!$G$6:$G$2005,Transactions!$B$6:$B$2005,"Expense",Transactions!$C$6:$C$2005,$A47,Transactions!$I$6:$I$2005,E$3,Transactions!$J$6:$J$2005,Settings!$B$5)</f>
        <v>36650</v>
      </c>
      <c r="F47" s="71">
        <f>SUMIFS(Transactions!$G$6:$G$2005,Transactions!$B$6:$B$2005,"Expense",Transactions!$C$6:$C$2005,$A47,Transactions!$I$6:$I$2005,F$3,Transactions!$J$6:$J$2005,Settings!$B$5)</f>
        <v>0</v>
      </c>
      <c r="G47" s="71">
        <f>SUMIFS(Transactions!$G$6:$G$2005,Transactions!$B$6:$B$2005,"Expense",Transactions!$C$6:$C$2005,$A47,Transactions!$I$6:$I$2005,G$3,Transactions!$J$6:$J$2005,Settings!$B$5)</f>
        <v>0</v>
      </c>
      <c r="H47" s="71">
        <f>SUMIFS(Transactions!$G$6:$G$2005,Transactions!$B$6:$B$2005,"Expense",Transactions!$C$6:$C$2005,$A47,Transactions!$I$6:$I$2005,H$3,Transactions!$J$6:$J$2005,Settings!$B$5)</f>
        <v>0</v>
      </c>
      <c r="I47" s="71">
        <f>SUMIFS(Transactions!$G$6:$G$2005,Transactions!$B$6:$B$2005,"Expense",Transactions!$C$6:$C$2005,$A47,Transactions!$I$6:$I$2005,I$3,Transactions!$J$6:$J$2005,Settings!$B$5)</f>
        <v>0</v>
      </c>
      <c r="J47" s="71">
        <f>SUMIFS(Transactions!$G$6:$G$2005,Transactions!$B$6:$B$2005,"Expense",Transactions!$C$6:$C$2005,$A47,Transactions!$I$6:$I$2005,J$3,Transactions!$J$6:$J$2005,Settings!$B$5)</f>
        <v>0</v>
      </c>
      <c r="K47" s="71">
        <f>SUMIFS(Transactions!$G$6:$G$2005,Transactions!$B$6:$B$2005,"Expense",Transactions!$C$6:$C$2005,$A47,Transactions!$I$6:$I$2005,K$3,Transactions!$J$6:$J$2005,Settings!$B$5)</f>
        <v>0</v>
      </c>
      <c r="L47" s="71">
        <f>SUMIFS(Transactions!$G$6:$G$2005,Transactions!$B$6:$B$2005,"Expense",Transactions!$C$6:$C$2005,$A47,Transactions!$I$6:$I$2005,L$3,Transactions!$J$6:$J$2005,Settings!$B$5)</f>
        <v>0</v>
      </c>
      <c r="M47" s="71">
        <f>SUMIFS(Transactions!$G$6:$G$2005,Transactions!$B$6:$B$2005,"Expense",Transactions!$C$6:$C$2005,$A47,Transactions!$I$6:$I$2005,M$3,Transactions!$J$6:$J$2005,Settings!$B$5)</f>
        <v>0</v>
      </c>
      <c r="N47" s="71">
        <f>SUMIFS(Transactions!$G$6:$G$2005,Transactions!$B$6:$B$2005,"Expense",Transactions!$C$6:$C$2005,$A47,Transactions!$I$6:$I$2005,N$3,Transactions!$J$6:$J$2005,Settings!$B$5)</f>
        <v>0</v>
      </c>
      <c r="O47" s="74">
        <f t="shared" si="2"/>
        <v>36650</v>
      </c>
      <c r="P47" s="71">
        <f>Budget!$I$32</f>
        <v>36000</v>
      </c>
      <c r="Q47" s="75">
        <f t="shared" si="3"/>
        <v>-650</v>
      </c>
      <c r="R47" s="29">
        <f t="shared" si="4"/>
        <v>1.0180555555555555</v>
      </c>
    </row>
    <row r="48" spans="1:18" x14ac:dyDescent="0.25">
      <c r="A48" s="16" t="str">
        <f>Settings!$K$43</f>
        <v>Qurbani (Eid-ul-Adha)</v>
      </c>
      <c r="B48" s="16" t="str">
        <f>Settings!$L$43</f>
        <v>Religious &amp; Social</v>
      </c>
      <c r="C48" s="71">
        <f>SUMIFS(Transactions!$G$6:$G$2005,Transactions!$B$6:$B$2005,"Expense",Transactions!$C$6:$C$2005,$A48,Transactions!$I$6:$I$2005,C$3,Transactions!$J$6:$J$2005,Settings!$B$5)</f>
        <v>0</v>
      </c>
      <c r="D48" s="71">
        <f>SUMIFS(Transactions!$G$6:$G$2005,Transactions!$B$6:$B$2005,"Expense",Transactions!$C$6:$C$2005,$A48,Transactions!$I$6:$I$2005,D$3,Transactions!$J$6:$J$2005,Settings!$B$5)</f>
        <v>0</v>
      </c>
      <c r="E48" s="71">
        <f>SUMIFS(Transactions!$G$6:$G$2005,Transactions!$B$6:$B$2005,"Expense",Transactions!$C$6:$C$2005,$A48,Transactions!$I$6:$I$2005,E$3,Transactions!$J$6:$J$2005,Settings!$B$5)</f>
        <v>0</v>
      </c>
      <c r="F48" s="71">
        <f>SUMIFS(Transactions!$G$6:$G$2005,Transactions!$B$6:$B$2005,"Expense",Transactions!$C$6:$C$2005,$A48,Transactions!$I$6:$I$2005,F$3,Transactions!$J$6:$J$2005,Settings!$B$5)</f>
        <v>0</v>
      </c>
      <c r="G48" s="71">
        <f>SUMIFS(Transactions!$G$6:$G$2005,Transactions!$B$6:$B$2005,"Expense",Transactions!$C$6:$C$2005,$A48,Transactions!$I$6:$I$2005,G$3,Transactions!$J$6:$J$2005,Settings!$B$5)</f>
        <v>20000</v>
      </c>
      <c r="H48" s="71">
        <f>SUMIFS(Transactions!$G$6:$G$2005,Transactions!$B$6:$B$2005,"Expense",Transactions!$C$6:$C$2005,$A48,Transactions!$I$6:$I$2005,H$3,Transactions!$J$6:$J$2005,Settings!$B$5)</f>
        <v>0</v>
      </c>
      <c r="I48" s="71">
        <f>SUMIFS(Transactions!$G$6:$G$2005,Transactions!$B$6:$B$2005,"Expense",Transactions!$C$6:$C$2005,$A48,Transactions!$I$6:$I$2005,I$3,Transactions!$J$6:$J$2005,Settings!$B$5)</f>
        <v>0</v>
      </c>
      <c r="J48" s="71">
        <f>SUMIFS(Transactions!$G$6:$G$2005,Transactions!$B$6:$B$2005,"Expense",Transactions!$C$6:$C$2005,$A48,Transactions!$I$6:$I$2005,J$3,Transactions!$J$6:$J$2005,Settings!$B$5)</f>
        <v>0</v>
      </c>
      <c r="K48" s="71">
        <f>SUMIFS(Transactions!$G$6:$G$2005,Transactions!$B$6:$B$2005,"Expense",Transactions!$C$6:$C$2005,$A48,Transactions!$I$6:$I$2005,K$3,Transactions!$J$6:$J$2005,Settings!$B$5)</f>
        <v>0</v>
      </c>
      <c r="L48" s="71">
        <f>SUMIFS(Transactions!$G$6:$G$2005,Transactions!$B$6:$B$2005,"Expense",Transactions!$C$6:$C$2005,$A48,Transactions!$I$6:$I$2005,L$3,Transactions!$J$6:$J$2005,Settings!$B$5)</f>
        <v>0</v>
      </c>
      <c r="M48" s="71">
        <f>SUMIFS(Transactions!$G$6:$G$2005,Transactions!$B$6:$B$2005,"Expense",Transactions!$C$6:$C$2005,$A48,Transactions!$I$6:$I$2005,M$3,Transactions!$J$6:$J$2005,Settings!$B$5)</f>
        <v>0</v>
      </c>
      <c r="N48" s="71">
        <f>SUMIFS(Transactions!$G$6:$G$2005,Transactions!$B$6:$B$2005,"Expense",Transactions!$C$6:$C$2005,$A48,Transactions!$I$6:$I$2005,N$3,Transactions!$J$6:$J$2005,Settings!$B$5)</f>
        <v>0</v>
      </c>
      <c r="O48" s="74">
        <f t="shared" si="2"/>
        <v>20000</v>
      </c>
      <c r="P48" s="71">
        <f>Budget!$I$33</f>
        <v>18000</v>
      </c>
      <c r="Q48" s="75">
        <f t="shared" si="3"/>
        <v>-2000</v>
      </c>
      <c r="R48" s="29">
        <f t="shared" si="4"/>
        <v>1.1111111111111112</v>
      </c>
    </row>
    <row r="49" spans="1:18" x14ac:dyDescent="0.25">
      <c r="A49" s="16" t="str">
        <f>Settings!$K$44</f>
        <v>Festival Expenses (Eid / Puja / Boishakh)</v>
      </c>
      <c r="B49" s="16" t="str">
        <f>Settings!$L$44</f>
        <v>Religious &amp; Social</v>
      </c>
      <c r="C49" s="71">
        <f>SUMIFS(Transactions!$G$6:$G$2005,Transactions!$B$6:$B$2005,"Expense",Transactions!$C$6:$C$2005,$A49,Transactions!$I$6:$I$2005,C$3,Transactions!$J$6:$J$2005,Settings!$B$5)</f>
        <v>0</v>
      </c>
      <c r="D49" s="71">
        <f>SUMIFS(Transactions!$G$6:$G$2005,Transactions!$B$6:$B$2005,"Expense",Transactions!$C$6:$C$2005,$A49,Transactions!$I$6:$I$2005,D$3,Transactions!$J$6:$J$2005,Settings!$B$5)</f>
        <v>0</v>
      </c>
      <c r="E49" s="71">
        <f>SUMIFS(Transactions!$G$6:$G$2005,Transactions!$B$6:$B$2005,"Expense",Transactions!$C$6:$C$2005,$A49,Transactions!$I$6:$I$2005,E$3,Transactions!$J$6:$J$2005,Settings!$B$5)</f>
        <v>9000</v>
      </c>
      <c r="F49" s="71">
        <f>SUMIFS(Transactions!$G$6:$G$2005,Transactions!$B$6:$B$2005,"Expense",Transactions!$C$6:$C$2005,$A49,Transactions!$I$6:$I$2005,F$3,Transactions!$J$6:$J$2005,Settings!$B$5)</f>
        <v>3000</v>
      </c>
      <c r="G49" s="71">
        <f>SUMIFS(Transactions!$G$6:$G$2005,Transactions!$B$6:$B$2005,"Expense",Transactions!$C$6:$C$2005,$A49,Transactions!$I$6:$I$2005,G$3,Transactions!$J$6:$J$2005,Settings!$B$5)</f>
        <v>6500</v>
      </c>
      <c r="H49" s="71">
        <f>SUMIFS(Transactions!$G$6:$G$2005,Transactions!$B$6:$B$2005,"Expense",Transactions!$C$6:$C$2005,$A49,Transactions!$I$6:$I$2005,H$3,Transactions!$J$6:$J$2005,Settings!$B$5)</f>
        <v>0</v>
      </c>
      <c r="I49" s="71">
        <f>SUMIFS(Transactions!$G$6:$G$2005,Transactions!$B$6:$B$2005,"Expense",Transactions!$C$6:$C$2005,$A49,Transactions!$I$6:$I$2005,I$3,Transactions!$J$6:$J$2005,Settings!$B$5)</f>
        <v>0</v>
      </c>
      <c r="J49" s="71">
        <f>SUMIFS(Transactions!$G$6:$G$2005,Transactions!$B$6:$B$2005,"Expense",Transactions!$C$6:$C$2005,$A49,Transactions!$I$6:$I$2005,J$3,Transactions!$J$6:$J$2005,Settings!$B$5)</f>
        <v>0</v>
      </c>
      <c r="K49" s="71">
        <f>SUMIFS(Transactions!$G$6:$G$2005,Transactions!$B$6:$B$2005,"Expense",Transactions!$C$6:$C$2005,$A49,Transactions!$I$6:$I$2005,K$3,Transactions!$J$6:$J$2005,Settings!$B$5)</f>
        <v>0</v>
      </c>
      <c r="L49" s="71">
        <f>SUMIFS(Transactions!$G$6:$G$2005,Transactions!$B$6:$B$2005,"Expense",Transactions!$C$6:$C$2005,$A49,Transactions!$I$6:$I$2005,L$3,Transactions!$J$6:$J$2005,Settings!$B$5)</f>
        <v>0</v>
      </c>
      <c r="M49" s="71">
        <f>SUMIFS(Transactions!$G$6:$G$2005,Transactions!$B$6:$B$2005,"Expense",Transactions!$C$6:$C$2005,$A49,Transactions!$I$6:$I$2005,M$3,Transactions!$J$6:$J$2005,Settings!$B$5)</f>
        <v>0</v>
      </c>
      <c r="N49" s="71">
        <f>SUMIFS(Transactions!$G$6:$G$2005,Transactions!$B$6:$B$2005,"Expense",Transactions!$C$6:$C$2005,$A49,Transactions!$I$6:$I$2005,N$3,Transactions!$J$6:$J$2005,Settings!$B$5)</f>
        <v>0</v>
      </c>
      <c r="O49" s="74">
        <f t="shared" si="2"/>
        <v>18500</v>
      </c>
      <c r="P49" s="71">
        <f>Budget!$I$34</f>
        <v>12000</v>
      </c>
      <c r="Q49" s="75">
        <f t="shared" si="3"/>
        <v>-6500</v>
      </c>
      <c r="R49" s="29">
        <f t="shared" si="4"/>
        <v>1.5416666666666667</v>
      </c>
    </row>
    <row r="50" spans="1:18" x14ac:dyDescent="0.25">
      <c r="A50" s="16" t="str">
        <f>Settings!$K$45</f>
        <v>Loan EMI</v>
      </c>
      <c r="B50" s="16" t="str">
        <f>Settings!$L$45</f>
        <v>Financial Obligations</v>
      </c>
      <c r="C50" s="71">
        <f>SUMIFS(Transactions!$G$6:$G$2005,Transactions!$B$6:$B$2005,"Expense",Transactions!$C$6:$C$2005,$A50,Transactions!$I$6:$I$2005,C$3,Transactions!$J$6:$J$2005,Settings!$B$5)</f>
        <v>15300</v>
      </c>
      <c r="D50" s="71">
        <f>SUMIFS(Transactions!$G$6:$G$2005,Transactions!$B$6:$B$2005,"Expense",Transactions!$C$6:$C$2005,$A50,Transactions!$I$6:$I$2005,D$3,Transactions!$J$6:$J$2005,Settings!$B$5)</f>
        <v>15300</v>
      </c>
      <c r="E50" s="71">
        <f>SUMIFS(Transactions!$G$6:$G$2005,Transactions!$B$6:$B$2005,"Expense",Transactions!$C$6:$C$2005,$A50,Transactions!$I$6:$I$2005,E$3,Transactions!$J$6:$J$2005,Settings!$B$5)</f>
        <v>15300</v>
      </c>
      <c r="F50" s="71">
        <f>SUMIFS(Transactions!$G$6:$G$2005,Transactions!$B$6:$B$2005,"Expense",Transactions!$C$6:$C$2005,$A50,Transactions!$I$6:$I$2005,F$3,Transactions!$J$6:$J$2005,Settings!$B$5)</f>
        <v>15300</v>
      </c>
      <c r="G50" s="71">
        <f>SUMIFS(Transactions!$G$6:$G$2005,Transactions!$B$6:$B$2005,"Expense",Transactions!$C$6:$C$2005,$A50,Transactions!$I$6:$I$2005,G$3,Transactions!$J$6:$J$2005,Settings!$B$5)</f>
        <v>15300</v>
      </c>
      <c r="H50" s="71">
        <f>SUMIFS(Transactions!$G$6:$G$2005,Transactions!$B$6:$B$2005,"Expense",Transactions!$C$6:$C$2005,$A50,Transactions!$I$6:$I$2005,H$3,Transactions!$J$6:$J$2005,Settings!$B$5)</f>
        <v>15300</v>
      </c>
      <c r="I50" s="71">
        <f>SUMIFS(Transactions!$G$6:$G$2005,Transactions!$B$6:$B$2005,"Expense",Transactions!$C$6:$C$2005,$A50,Transactions!$I$6:$I$2005,I$3,Transactions!$J$6:$J$2005,Settings!$B$5)</f>
        <v>15300</v>
      </c>
      <c r="J50" s="71">
        <f>SUMIFS(Transactions!$G$6:$G$2005,Transactions!$B$6:$B$2005,"Expense",Transactions!$C$6:$C$2005,$A50,Transactions!$I$6:$I$2005,J$3,Transactions!$J$6:$J$2005,Settings!$B$5)</f>
        <v>15300</v>
      </c>
      <c r="K50" s="71">
        <f>SUMIFS(Transactions!$G$6:$G$2005,Transactions!$B$6:$B$2005,"Expense",Transactions!$C$6:$C$2005,$A50,Transactions!$I$6:$I$2005,K$3,Transactions!$J$6:$J$2005,Settings!$B$5)</f>
        <v>15300</v>
      </c>
      <c r="L50" s="71">
        <f>SUMIFS(Transactions!$G$6:$G$2005,Transactions!$B$6:$B$2005,"Expense",Transactions!$C$6:$C$2005,$A50,Transactions!$I$6:$I$2005,L$3,Transactions!$J$6:$J$2005,Settings!$B$5)</f>
        <v>15300</v>
      </c>
      <c r="M50" s="71">
        <f>SUMIFS(Transactions!$G$6:$G$2005,Transactions!$B$6:$B$2005,"Expense",Transactions!$C$6:$C$2005,$A50,Transactions!$I$6:$I$2005,M$3,Transactions!$J$6:$J$2005,Settings!$B$5)</f>
        <v>0</v>
      </c>
      <c r="N50" s="71">
        <f>SUMIFS(Transactions!$G$6:$G$2005,Transactions!$B$6:$B$2005,"Expense",Transactions!$C$6:$C$2005,$A50,Transactions!$I$6:$I$2005,N$3,Transactions!$J$6:$J$2005,Settings!$B$5)</f>
        <v>0</v>
      </c>
      <c r="O50" s="74">
        <f t="shared" si="2"/>
        <v>153000</v>
      </c>
      <c r="P50" s="71">
        <f>Budget!$I$35</f>
        <v>183600</v>
      </c>
      <c r="Q50" s="75">
        <f t="shared" si="3"/>
        <v>30600</v>
      </c>
      <c r="R50" s="29">
        <f t="shared" si="4"/>
        <v>0.83333333333333337</v>
      </c>
    </row>
    <row r="51" spans="1:18" x14ac:dyDescent="0.25">
      <c r="A51" s="16" t="str">
        <f>Settings!$K$46</f>
        <v>Credit Card Payment</v>
      </c>
      <c r="B51" s="16" t="str">
        <f>Settings!$L$46</f>
        <v>Financial Obligations</v>
      </c>
      <c r="C51" s="71">
        <f>SUMIFS(Transactions!$G$6:$G$2005,Transactions!$B$6:$B$2005,"Expense",Transactions!$C$6:$C$2005,$A51,Transactions!$I$6:$I$2005,C$3,Transactions!$J$6:$J$2005,Settings!$B$5)</f>
        <v>2800</v>
      </c>
      <c r="D51" s="71">
        <f>SUMIFS(Transactions!$G$6:$G$2005,Transactions!$B$6:$B$2005,"Expense",Transactions!$C$6:$C$2005,$A51,Transactions!$I$6:$I$2005,D$3,Transactions!$J$6:$J$2005,Settings!$B$5)</f>
        <v>2800</v>
      </c>
      <c r="E51" s="71">
        <f>SUMIFS(Transactions!$G$6:$G$2005,Transactions!$B$6:$B$2005,"Expense",Transactions!$C$6:$C$2005,$A51,Transactions!$I$6:$I$2005,E$3,Transactions!$J$6:$J$2005,Settings!$B$5)</f>
        <v>2800</v>
      </c>
      <c r="F51" s="71">
        <f>SUMIFS(Transactions!$G$6:$G$2005,Transactions!$B$6:$B$2005,"Expense",Transactions!$C$6:$C$2005,$A51,Transactions!$I$6:$I$2005,F$3,Transactions!$J$6:$J$2005,Settings!$B$5)</f>
        <v>2800</v>
      </c>
      <c r="G51" s="71">
        <f>SUMIFS(Transactions!$G$6:$G$2005,Transactions!$B$6:$B$2005,"Expense",Transactions!$C$6:$C$2005,$A51,Transactions!$I$6:$I$2005,G$3,Transactions!$J$6:$J$2005,Settings!$B$5)</f>
        <v>2800</v>
      </c>
      <c r="H51" s="71">
        <f>SUMIFS(Transactions!$G$6:$G$2005,Transactions!$B$6:$B$2005,"Expense",Transactions!$C$6:$C$2005,$A51,Transactions!$I$6:$I$2005,H$3,Transactions!$J$6:$J$2005,Settings!$B$5)</f>
        <v>2800</v>
      </c>
      <c r="I51" s="71">
        <f>SUMIFS(Transactions!$G$6:$G$2005,Transactions!$B$6:$B$2005,"Expense",Transactions!$C$6:$C$2005,$A51,Transactions!$I$6:$I$2005,I$3,Transactions!$J$6:$J$2005,Settings!$B$5)</f>
        <v>2800</v>
      </c>
      <c r="J51" s="71">
        <f>SUMIFS(Transactions!$G$6:$G$2005,Transactions!$B$6:$B$2005,"Expense",Transactions!$C$6:$C$2005,$A51,Transactions!$I$6:$I$2005,J$3,Transactions!$J$6:$J$2005,Settings!$B$5)</f>
        <v>2800</v>
      </c>
      <c r="K51" s="71">
        <f>SUMIFS(Transactions!$G$6:$G$2005,Transactions!$B$6:$B$2005,"Expense",Transactions!$C$6:$C$2005,$A51,Transactions!$I$6:$I$2005,K$3,Transactions!$J$6:$J$2005,Settings!$B$5)</f>
        <v>2800</v>
      </c>
      <c r="L51" s="71">
        <f>SUMIFS(Transactions!$G$6:$G$2005,Transactions!$B$6:$B$2005,"Expense",Transactions!$C$6:$C$2005,$A51,Transactions!$I$6:$I$2005,L$3,Transactions!$J$6:$J$2005,Settings!$B$5)</f>
        <v>0</v>
      </c>
      <c r="M51" s="71">
        <f>SUMIFS(Transactions!$G$6:$G$2005,Transactions!$B$6:$B$2005,"Expense",Transactions!$C$6:$C$2005,$A51,Transactions!$I$6:$I$2005,M$3,Transactions!$J$6:$J$2005,Settings!$B$5)</f>
        <v>0</v>
      </c>
      <c r="N51" s="71">
        <f>SUMIFS(Transactions!$G$6:$G$2005,Transactions!$B$6:$B$2005,"Expense",Transactions!$C$6:$C$2005,$A51,Transactions!$I$6:$I$2005,N$3,Transactions!$J$6:$J$2005,Settings!$B$5)</f>
        <v>0</v>
      </c>
      <c r="O51" s="74">
        <f t="shared" si="2"/>
        <v>25200</v>
      </c>
      <c r="P51" s="71">
        <f>Budget!$I$36</f>
        <v>33600</v>
      </c>
      <c r="Q51" s="75">
        <f t="shared" si="3"/>
        <v>8400</v>
      </c>
      <c r="R51" s="29">
        <f t="shared" si="4"/>
        <v>0.75</v>
      </c>
    </row>
    <row r="52" spans="1:18" x14ac:dyDescent="0.25">
      <c r="A52" s="16" t="str">
        <f>Settings!$K$47</f>
        <v>Insurance Premium</v>
      </c>
      <c r="B52" s="16" t="str">
        <f>Settings!$L$47</f>
        <v>Financial Obligations</v>
      </c>
      <c r="C52" s="71">
        <f>SUMIFS(Transactions!$G$6:$G$2005,Transactions!$B$6:$B$2005,"Expense",Transactions!$C$6:$C$2005,$A52,Transactions!$I$6:$I$2005,C$3,Transactions!$J$6:$J$2005,Settings!$B$5)</f>
        <v>2500</v>
      </c>
      <c r="D52" s="71">
        <f>SUMIFS(Transactions!$G$6:$G$2005,Transactions!$B$6:$B$2005,"Expense",Transactions!$C$6:$C$2005,$A52,Transactions!$I$6:$I$2005,D$3,Transactions!$J$6:$J$2005,Settings!$B$5)</f>
        <v>2500</v>
      </c>
      <c r="E52" s="71">
        <f>SUMIFS(Transactions!$G$6:$G$2005,Transactions!$B$6:$B$2005,"Expense",Transactions!$C$6:$C$2005,$A52,Transactions!$I$6:$I$2005,E$3,Transactions!$J$6:$J$2005,Settings!$B$5)</f>
        <v>2500</v>
      </c>
      <c r="F52" s="71">
        <f>SUMIFS(Transactions!$G$6:$G$2005,Transactions!$B$6:$B$2005,"Expense",Transactions!$C$6:$C$2005,$A52,Transactions!$I$6:$I$2005,F$3,Transactions!$J$6:$J$2005,Settings!$B$5)</f>
        <v>2500</v>
      </c>
      <c r="G52" s="71">
        <f>SUMIFS(Transactions!$G$6:$G$2005,Transactions!$B$6:$B$2005,"Expense",Transactions!$C$6:$C$2005,$A52,Transactions!$I$6:$I$2005,G$3,Transactions!$J$6:$J$2005,Settings!$B$5)</f>
        <v>2500</v>
      </c>
      <c r="H52" s="71">
        <f>SUMIFS(Transactions!$G$6:$G$2005,Transactions!$B$6:$B$2005,"Expense",Transactions!$C$6:$C$2005,$A52,Transactions!$I$6:$I$2005,H$3,Transactions!$J$6:$J$2005,Settings!$B$5)</f>
        <v>2500</v>
      </c>
      <c r="I52" s="71">
        <f>SUMIFS(Transactions!$G$6:$G$2005,Transactions!$B$6:$B$2005,"Expense",Transactions!$C$6:$C$2005,$A52,Transactions!$I$6:$I$2005,I$3,Transactions!$J$6:$J$2005,Settings!$B$5)</f>
        <v>2500</v>
      </c>
      <c r="J52" s="71">
        <f>SUMIFS(Transactions!$G$6:$G$2005,Transactions!$B$6:$B$2005,"Expense",Transactions!$C$6:$C$2005,$A52,Transactions!$I$6:$I$2005,J$3,Transactions!$J$6:$J$2005,Settings!$B$5)</f>
        <v>2500</v>
      </c>
      <c r="K52" s="71">
        <f>SUMIFS(Transactions!$G$6:$G$2005,Transactions!$B$6:$B$2005,"Expense",Transactions!$C$6:$C$2005,$A52,Transactions!$I$6:$I$2005,K$3,Transactions!$J$6:$J$2005,Settings!$B$5)</f>
        <v>2500</v>
      </c>
      <c r="L52" s="71">
        <f>SUMIFS(Transactions!$G$6:$G$2005,Transactions!$B$6:$B$2005,"Expense",Transactions!$C$6:$C$2005,$A52,Transactions!$I$6:$I$2005,L$3,Transactions!$J$6:$J$2005,Settings!$B$5)</f>
        <v>2500</v>
      </c>
      <c r="M52" s="71">
        <f>SUMIFS(Transactions!$G$6:$G$2005,Transactions!$B$6:$B$2005,"Expense",Transactions!$C$6:$C$2005,$A52,Transactions!$I$6:$I$2005,M$3,Transactions!$J$6:$J$2005,Settings!$B$5)</f>
        <v>0</v>
      </c>
      <c r="N52" s="71">
        <f>SUMIFS(Transactions!$G$6:$G$2005,Transactions!$B$6:$B$2005,"Expense",Transactions!$C$6:$C$2005,$A52,Transactions!$I$6:$I$2005,N$3,Transactions!$J$6:$J$2005,Settings!$B$5)</f>
        <v>0</v>
      </c>
      <c r="O52" s="74">
        <f t="shared" si="2"/>
        <v>25000</v>
      </c>
      <c r="P52" s="71">
        <f>Budget!$I$37</f>
        <v>30000</v>
      </c>
      <c r="Q52" s="75">
        <f t="shared" si="3"/>
        <v>5000</v>
      </c>
      <c r="R52" s="29">
        <f t="shared" si="4"/>
        <v>0.83333333333333337</v>
      </c>
    </row>
    <row r="53" spans="1:18" x14ac:dyDescent="0.25">
      <c r="A53" s="16" t="str">
        <f>Settings!$K$48</f>
        <v>Income Tax &amp; Govt Fees</v>
      </c>
      <c r="B53" s="16" t="str">
        <f>Settings!$L$48</f>
        <v>Financial Obligations</v>
      </c>
      <c r="C53" s="71">
        <f>SUMIFS(Transactions!$G$6:$G$2005,Transactions!$B$6:$B$2005,"Expense",Transactions!$C$6:$C$2005,$A53,Transactions!$I$6:$I$2005,C$3,Transactions!$J$6:$J$2005,Settings!$B$5)</f>
        <v>0</v>
      </c>
      <c r="D53" s="71">
        <f>SUMIFS(Transactions!$G$6:$G$2005,Transactions!$B$6:$B$2005,"Expense",Transactions!$C$6:$C$2005,$A53,Transactions!$I$6:$I$2005,D$3,Transactions!$J$6:$J$2005,Settings!$B$5)</f>
        <v>1200</v>
      </c>
      <c r="E53" s="71">
        <f>SUMIFS(Transactions!$G$6:$G$2005,Transactions!$B$6:$B$2005,"Expense",Transactions!$C$6:$C$2005,$A53,Transactions!$I$6:$I$2005,E$3,Transactions!$J$6:$J$2005,Settings!$B$5)</f>
        <v>0</v>
      </c>
      <c r="F53" s="71">
        <f>SUMIFS(Transactions!$G$6:$G$2005,Transactions!$B$6:$B$2005,"Expense",Transactions!$C$6:$C$2005,$A53,Transactions!$I$6:$I$2005,F$3,Transactions!$J$6:$J$2005,Settings!$B$5)</f>
        <v>0</v>
      </c>
      <c r="G53" s="71">
        <f>SUMIFS(Transactions!$G$6:$G$2005,Transactions!$B$6:$B$2005,"Expense",Transactions!$C$6:$C$2005,$A53,Transactions!$I$6:$I$2005,G$3,Transactions!$J$6:$J$2005,Settings!$B$5)</f>
        <v>0</v>
      </c>
      <c r="H53" s="71">
        <f>SUMIFS(Transactions!$G$6:$G$2005,Transactions!$B$6:$B$2005,"Expense",Transactions!$C$6:$C$2005,$A53,Transactions!$I$6:$I$2005,H$3,Transactions!$J$6:$J$2005,Settings!$B$5)</f>
        <v>5000</v>
      </c>
      <c r="I53" s="71">
        <f>SUMIFS(Transactions!$G$6:$G$2005,Transactions!$B$6:$B$2005,"Expense",Transactions!$C$6:$C$2005,$A53,Transactions!$I$6:$I$2005,I$3,Transactions!$J$6:$J$2005,Settings!$B$5)</f>
        <v>0</v>
      </c>
      <c r="J53" s="71">
        <f>SUMIFS(Transactions!$G$6:$G$2005,Transactions!$B$6:$B$2005,"Expense",Transactions!$C$6:$C$2005,$A53,Transactions!$I$6:$I$2005,J$3,Transactions!$J$6:$J$2005,Settings!$B$5)</f>
        <v>0</v>
      </c>
      <c r="K53" s="71">
        <f>SUMIFS(Transactions!$G$6:$G$2005,Transactions!$B$6:$B$2005,"Expense",Transactions!$C$6:$C$2005,$A53,Transactions!$I$6:$I$2005,K$3,Transactions!$J$6:$J$2005,Settings!$B$5)</f>
        <v>0</v>
      </c>
      <c r="L53" s="71">
        <f>SUMIFS(Transactions!$G$6:$G$2005,Transactions!$B$6:$B$2005,"Expense",Transactions!$C$6:$C$2005,$A53,Transactions!$I$6:$I$2005,L$3,Transactions!$J$6:$J$2005,Settings!$B$5)</f>
        <v>0</v>
      </c>
      <c r="M53" s="71">
        <f>SUMIFS(Transactions!$G$6:$G$2005,Transactions!$B$6:$B$2005,"Expense",Transactions!$C$6:$C$2005,$A53,Transactions!$I$6:$I$2005,M$3,Transactions!$J$6:$J$2005,Settings!$B$5)</f>
        <v>0</v>
      </c>
      <c r="N53" s="71">
        <f>SUMIFS(Transactions!$G$6:$G$2005,Transactions!$B$6:$B$2005,"Expense",Transactions!$C$6:$C$2005,$A53,Transactions!$I$6:$I$2005,N$3,Transactions!$J$6:$J$2005,Settings!$B$5)</f>
        <v>0</v>
      </c>
      <c r="O53" s="74">
        <f t="shared" si="2"/>
        <v>6200</v>
      </c>
      <c r="P53" s="71">
        <f>Budget!$I$38</f>
        <v>6000</v>
      </c>
      <c r="Q53" s="75">
        <f t="shared" si="3"/>
        <v>-200</v>
      </c>
      <c r="R53" s="29">
        <f t="shared" si="4"/>
        <v>1.0333333333333334</v>
      </c>
    </row>
    <row r="54" spans="1:18" x14ac:dyDescent="0.25">
      <c r="A54" s="16" t="str">
        <f>Settings!$K$49</f>
        <v>Bank / MFS Charges</v>
      </c>
      <c r="B54" s="16" t="str">
        <f>Settings!$L$49</f>
        <v>Financial Obligations</v>
      </c>
      <c r="C54" s="71">
        <f>SUMIFS(Transactions!$G$6:$G$2005,Transactions!$B$6:$B$2005,"Expense",Transactions!$C$6:$C$2005,$A54,Transactions!$I$6:$I$2005,C$3,Transactions!$J$6:$J$2005,Settings!$B$5)</f>
        <v>250</v>
      </c>
      <c r="D54" s="71">
        <f>SUMIFS(Transactions!$G$6:$G$2005,Transactions!$B$6:$B$2005,"Expense",Transactions!$C$6:$C$2005,$A54,Transactions!$I$6:$I$2005,D$3,Transactions!$J$6:$J$2005,Settings!$B$5)</f>
        <v>250</v>
      </c>
      <c r="E54" s="71">
        <f>SUMIFS(Transactions!$G$6:$G$2005,Transactions!$B$6:$B$2005,"Expense",Transactions!$C$6:$C$2005,$A54,Transactions!$I$6:$I$2005,E$3,Transactions!$J$6:$J$2005,Settings!$B$5)</f>
        <v>250</v>
      </c>
      <c r="F54" s="71">
        <f>SUMIFS(Transactions!$G$6:$G$2005,Transactions!$B$6:$B$2005,"Expense",Transactions!$C$6:$C$2005,$A54,Transactions!$I$6:$I$2005,F$3,Transactions!$J$6:$J$2005,Settings!$B$5)</f>
        <v>250</v>
      </c>
      <c r="G54" s="71">
        <f>SUMIFS(Transactions!$G$6:$G$2005,Transactions!$B$6:$B$2005,"Expense",Transactions!$C$6:$C$2005,$A54,Transactions!$I$6:$I$2005,G$3,Transactions!$J$6:$J$2005,Settings!$B$5)</f>
        <v>250</v>
      </c>
      <c r="H54" s="71">
        <f>SUMIFS(Transactions!$G$6:$G$2005,Transactions!$B$6:$B$2005,"Expense",Transactions!$C$6:$C$2005,$A54,Transactions!$I$6:$I$2005,H$3,Transactions!$J$6:$J$2005,Settings!$B$5)</f>
        <v>250</v>
      </c>
      <c r="I54" s="71">
        <f>SUMIFS(Transactions!$G$6:$G$2005,Transactions!$B$6:$B$2005,"Expense",Transactions!$C$6:$C$2005,$A54,Transactions!$I$6:$I$2005,I$3,Transactions!$J$6:$J$2005,Settings!$B$5)</f>
        <v>250</v>
      </c>
      <c r="J54" s="71">
        <f>SUMIFS(Transactions!$G$6:$G$2005,Transactions!$B$6:$B$2005,"Expense",Transactions!$C$6:$C$2005,$A54,Transactions!$I$6:$I$2005,J$3,Transactions!$J$6:$J$2005,Settings!$B$5)</f>
        <v>250</v>
      </c>
      <c r="K54" s="71">
        <f>SUMIFS(Transactions!$G$6:$G$2005,Transactions!$B$6:$B$2005,"Expense",Transactions!$C$6:$C$2005,$A54,Transactions!$I$6:$I$2005,K$3,Transactions!$J$6:$J$2005,Settings!$B$5)</f>
        <v>250</v>
      </c>
      <c r="L54" s="71">
        <f>SUMIFS(Transactions!$G$6:$G$2005,Transactions!$B$6:$B$2005,"Expense",Transactions!$C$6:$C$2005,$A54,Transactions!$I$6:$I$2005,L$3,Transactions!$J$6:$J$2005,Settings!$B$5)</f>
        <v>0</v>
      </c>
      <c r="M54" s="71">
        <f>SUMIFS(Transactions!$G$6:$G$2005,Transactions!$B$6:$B$2005,"Expense",Transactions!$C$6:$C$2005,$A54,Transactions!$I$6:$I$2005,M$3,Transactions!$J$6:$J$2005,Settings!$B$5)</f>
        <v>0</v>
      </c>
      <c r="N54" s="71">
        <f>SUMIFS(Transactions!$G$6:$G$2005,Transactions!$B$6:$B$2005,"Expense",Transactions!$C$6:$C$2005,$A54,Transactions!$I$6:$I$2005,N$3,Transactions!$J$6:$J$2005,Settings!$B$5)</f>
        <v>0</v>
      </c>
      <c r="O54" s="74">
        <f t="shared" si="2"/>
        <v>2250</v>
      </c>
      <c r="P54" s="71">
        <f>Budget!$I$39</f>
        <v>3000</v>
      </c>
      <c r="Q54" s="75">
        <f t="shared" si="3"/>
        <v>750</v>
      </c>
      <c r="R54" s="29">
        <f t="shared" si="4"/>
        <v>0.75</v>
      </c>
    </row>
    <row r="55" spans="1:18" x14ac:dyDescent="0.25">
      <c r="A55" s="16" t="str">
        <f>Settings!$K$50</f>
        <v>DPS Deposit</v>
      </c>
      <c r="B55" s="16" t="str">
        <f>Settings!$L$50</f>
        <v>Savings &amp; Investments</v>
      </c>
      <c r="C55" s="71">
        <f>SUMIFS(Transactions!$G$6:$G$2005,Transactions!$B$6:$B$2005,"Expense",Transactions!$C$6:$C$2005,$A55,Transactions!$I$6:$I$2005,C$3,Transactions!$J$6:$J$2005,Settings!$B$5)</f>
        <v>5000</v>
      </c>
      <c r="D55" s="71">
        <f>SUMIFS(Transactions!$G$6:$G$2005,Transactions!$B$6:$B$2005,"Expense",Transactions!$C$6:$C$2005,$A55,Transactions!$I$6:$I$2005,D$3,Transactions!$J$6:$J$2005,Settings!$B$5)</f>
        <v>5000</v>
      </c>
      <c r="E55" s="71">
        <f>SUMIFS(Transactions!$G$6:$G$2005,Transactions!$B$6:$B$2005,"Expense",Transactions!$C$6:$C$2005,$A55,Transactions!$I$6:$I$2005,E$3,Transactions!$J$6:$J$2005,Settings!$B$5)</f>
        <v>5000</v>
      </c>
      <c r="F55" s="71">
        <f>SUMIFS(Transactions!$G$6:$G$2005,Transactions!$B$6:$B$2005,"Expense",Transactions!$C$6:$C$2005,$A55,Transactions!$I$6:$I$2005,F$3,Transactions!$J$6:$J$2005,Settings!$B$5)</f>
        <v>5000</v>
      </c>
      <c r="G55" s="71">
        <f>SUMIFS(Transactions!$G$6:$G$2005,Transactions!$B$6:$B$2005,"Expense",Transactions!$C$6:$C$2005,$A55,Transactions!$I$6:$I$2005,G$3,Transactions!$J$6:$J$2005,Settings!$B$5)</f>
        <v>5000</v>
      </c>
      <c r="H55" s="71">
        <f>SUMIFS(Transactions!$G$6:$G$2005,Transactions!$B$6:$B$2005,"Expense",Transactions!$C$6:$C$2005,$A55,Transactions!$I$6:$I$2005,H$3,Transactions!$J$6:$J$2005,Settings!$B$5)</f>
        <v>5000</v>
      </c>
      <c r="I55" s="71">
        <f>SUMIFS(Transactions!$G$6:$G$2005,Transactions!$B$6:$B$2005,"Expense",Transactions!$C$6:$C$2005,$A55,Transactions!$I$6:$I$2005,I$3,Transactions!$J$6:$J$2005,Settings!$B$5)</f>
        <v>5000</v>
      </c>
      <c r="J55" s="71">
        <f>SUMIFS(Transactions!$G$6:$G$2005,Transactions!$B$6:$B$2005,"Expense",Transactions!$C$6:$C$2005,$A55,Transactions!$I$6:$I$2005,J$3,Transactions!$J$6:$J$2005,Settings!$B$5)</f>
        <v>5000</v>
      </c>
      <c r="K55" s="71">
        <f>SUMIFS(Transactions!$G$6:$G$2005,Transactions!$B$6:$B$2005,"Expense",Transactions!$C$6:$C$2005,$A55,Transactions!$I$6:$I$2005,K$3,Transactions!$J$6:$J$2005,Settings!$B$5)</f>
        <v>5000</v>
      </c>
      <c r="L55" s="71">
        <f>SUMIFS(Transactions!$G$6:$G$2005,Transactions!$B$6:$B$2005,"Expense",Transactions!$C$6:$C$2005,$A55,Transactions!$I$6:$I$2005,L$3,Transactions!$J$6:$J$2005,Settings!$B$5)</f>
        <v>5000</v>
      </c>
      <c r="M55" s="71">
        <f>SUMIFS(Transactions!$G$6:$G$2005,Transactions!$B$6:$B$2005,"Expense",Transactions!$C$6:$C$2005,$A55,Transactions!$I$6:$I$2005,M$3,Transactions!$J$6:$J$2005,Settings!$B$5)</f>
        <v>0</v>
      </c>
      <c r="N55" s="71">
        <f>SUMIFS(Transactions!$G$6:$G$2005,Transactions!$B$6:$B$2005,"Expense",Transactions!$C$6:$C$2005,$A55,Transactions!$I$6:$I$2005,N$3,Transactions!$J$6:$J$2005,Settings!$B$5)</f>
        <v>0</v>
      </c>
      <c r="O55" s="74">
        <f t="shared" si="2"/>
        <v>50000</v>
      </c>
      <c r="P55" s="71">
        <f>Budget!$I$40</f>
        <v>60000</v>
      </c>
      <c r="Q55" s="75">
        <f t="shared" si="3"/>
        <v>10000</v>
      </c>
      <c r="R55" s="29">
        <f t="shared" si="4"/>
        <v>0.83333333333333337</v>
      </c>
    </row>
    <row r="56" spans="1:18" x14ac:dyDescent="0.25">
      <c r="A56" s="16" t="str">
        <f>Settings!$K$51</f>
        <v>FDR / Sanchayapatra Purchase</v>
      </c>
      <c r="B56" s="16" t="str">
        <f>Settings!$L$51</f>
        <v>Savings &amp; Investments</v>
      </c>
      <c r="C56" s="71">
        <f>SUMIFS(Transactions!$G$6:$G$2005,Transactions!$B$6:$B$2005,"Expense",Transactions!$C$6:$C$2005,$A56,Transactions!$I$6:$I$2005,C$3,Transactions!$J$6:$J$2005,Settings!$B$5)</f>
        <v>0</v>
      </c>
      <c r="D56" s="71">
        <f>SUMIFS(Transactions!$G$6:$G$2005,Transactions!$B$6:$B$2005,"Expense",Transactions!$C$6:$C$2005,$A56,Transactions!$I$6:$I$2005,D$3,Transactions!$J$6:$J$2005,Settings!$B$5)</f>
        <v>0</v>
      </c>
      <c r="E56" s="71">
        <f>SUMIFS(Transactions!$G$6:$G$2005,Transactions!$B$6:$B$2005,"Expense",Transactions!$C$6:$C$2005,$A56,Transactions!$I$6:$I$2005,E$3,Transactions!$J$6:$J$2005,Settings!$B$5)</f>
        <v>50000</v>
      </c>
      <c r="F56" s="71">
        <f>SUMIFS(Transactions!$G$6:$G$2005,Transactions!$B$6:$B$2005,"Expense",Transactions!$C$6:$C$2005,$A56,Transactions!$I$6:$I$2005,F$3,Transactions!$J$6:$J$2005,Settings!$B$5)</f>
        <v>0</v>
      </c>
      <c r="G56" s="71">
        <f>SUMIFS(Transactions!$G$6:$G$2005,Transactions!$B$6:$B$2005,"Expense",Transactions!$C$6:$C$2005,$A56,Transactions!$I$6:$I$2005,G$3,Transactions!$J$6:$J$2005,Settings!$B$5)</f>
        <v>0</v>
      </c>
      <c r="H56" s="71">
        <f>SUMIFS(Transactions!$G$6:$G$2005,Transactions!$B$6:$B$2005,"Expense",Transactions!$C$6:$C$2005,$A56,Transactions!$I$6:$I$2005,H$3,Transactions!$J$6:$J$2005,Settings!$B$5)</f>
        <v>0</v>
      </c>
      <c r="I56" s="71">
        <f>SUMIFS(Transactions!$G$6:$G$2005,Transactions!$B$6:$B$2005,"Expense",Transactions!$C$6:$C$2005,$A56,Transactions!$I$6:$I$2005,I$3,Transactions!$J$6:$J$2005,Settings!$B$5)</f>
        <v>0</v>
      </c>
      <c r="J56" s="71">
        <f>SUMIFS(Transactions!$G$6:$G$2005,Transactions!$B$6:$B$2005,"Expense",Transactions!$C$6:$C$2005,$A56,Transactions!$I$6:$I$2005,J$3,Transactions!$J$6:$J$2005,Settings!$B$5)</f>
        <v>0</v>
      </c>
      <c r="K56" s="71">
        <f>SUMIFS(Transactions!$G$6:$G$2005,Transactions!$B$6:$B$2005,"Expense",Transactions!$C$6:$C$2005,$A56,Transactions!$I$6:$I$2005,K$3,Transactions!$J$6:$J$2005,Settings!$B$5)</f>
        <v>0</v>
      </c>
      <c r="L56" s="71">
        <f>SUMIFS(Transactions!$G$6:$G$2005,Transactions!$B$6:$B$2005,"Expense",Transactions!$C$6:$C$2005,$A56,Transactions!$I$6:$I$2005,L$3,Transactions!$J$6:$J$2005,Settings!$B$5)</f>
        <v>0</v>
      </c>
      <c r="M56" s="71">
        <f>SUMIFS(Transactions!$G$6:$G$2005,Transactions!$B$6:$B$2005,"Expense",Transactions!$C$6:$C$2005,$A56,Transactions!$I$6:$I$2005,M$3,Transactions!$J$6:$J$2005,Settings!$B$5)</f>
        <v>0</v>
      </c>
      <c r="N56" s="71">
        <f>SUMIFS(Transactions!$G$6:$G$2005,Transactions!$B$6:$B$2005,"Expense",Transactions!$C$6:$C$2005,$A56,Transactions!$I$6:$I$2005,N$3,Transactions!$J$6:$J$2005,Settings!$B$5)</f>
        <v>0</v>
      </c>
      <c r="O56" s="74">
        <f t="shared" si="2"/>
        <v>50000</v>
      </c>
      <c r="P56" s="71">
        <f>Budget!$I$41</f>
        <v>0</v>
      </c>
      <c r="Q56" s="75">
        <f t="shared" si="3"/>
        <v>-50000</v>
      </c>
      <c r="R56" s="29" t="str">
        <f t="shared" si="4"/>
        <v/>
      </c>
    </row>
    <row r="57" spans="1:18" x14ac:dyDescent="0.25">
      <c r="A57" s="16" t="str">
        <f>Settings!$K$52</f>
        <v>Stocks &amp; Mutual Funds (DSE)</v>
      </c>
      <c r="B57" s="16" t="str">
        <f>Settings!$L$52</f>
        <v>Savings &amp; Investments</v>
      </c>
      <c r="C57" s="71">
        <f>SUMIFS(Transactions!$G$6:$G$2005,Transactions!$B$6:$B$2005,"Expense",Transactions!$C$6:$C$2005,$A57,Transactions!$I$6:$I$2005,C$3,Transactions!$J$6:$J$2005,Settings!$B$5)</f>
        <v>5000</v>
      </c>
      <c r="D57" s="71">
        <f>SUMIFS(Transactions!$G$6:$G$2005,Transactions!$B$6:$B$2005,"Expense",Transactions!$C$6:$C$2005,$A57,Transactions!$I$6:$I$2005,D$3,Transactions!$J$6:$J$2005,Settings!$B$5)</f>
        <v>0</v>
      </c>
      <c r="E57" s="71">
        <f>SUMIFS(Transactions!$G$6:$G$2005,Transactions!$B$6:$B$2005,"Expense",Transactions!$C$6:$C$2005,$A57,Transactions!$I$6:$I$2005,E$3,Transactions!$J$6:$J$2005,Settings!$B$5)</f>
        <v>0</v>
      </c>
      <c r="F57" s="71">
        <f>SUMIFS(Transactions!$G$6:$G$2005,Transactions!$B$6:$B$2005,"Expense",Transactions!$C$6:$C$2005,$A57,Transactions!$I$6:$I$2005,F$3,Transactions!$J$6:$J$2005,Settings!$B$5)</f>
        <v>5000</v>
      </c>
      <c r="G57" s="71">
        <f>SUMIFS(Transactions!$G$6:$G$2005,Transactions!$B$6:$B$2005,"Expense",Transactions!$C$6:$C$2005,$A57,Transactions!$I$6:$I$2005,G$3,Transactions!$J$6:$J$2005,Settings!$B$5)</f>
        <v>0</v>
      </c>
      <c r="H57" s="71">
        <f>SUMIFS(Transactions!$G$6:$G$2005,Transactions!$B$6:$B$2005,"Expense",Transactions!$C$6:$C$2005,$A57,Transactions!$I$6:$I$2005,H$3,Transactions!$J$6:$J$2005,Settings!$B$5)</f>
        <v>0</v>
      </c>
      <c r="I57" s="71">
        <f>SUMIFS(Transactions!$G$6:$G$2005,Transactions!$B$6:$B$2005,"Expense",Transactions!$C$6:$C$2005,$A57,Transactions!$I$6:$I$2005,I$3,Transactions!$J$6:$J$2005,Settings!$B$5)</f>
        <v>5000</v>
      </c>
      <c r="J57" s="71">
        <f>SUMIFS(Transactions!$G$6:$G$2005,Transactions!$B$6:$B$2005,"Expense",Transactions!$C$6:$C$2005,$A57,Transactions!$I$6:$I$2005,J$3,Transactions!$J$6:$J$2005,Settings!$B$5)</f>
        <v>0</v>
      </c>
      <c r="K57" s="71">
        <f>SUMIFS(Transactions!$G$6:$G$2005,Transactions!$B$6:$B$2005,"Expense",Transactions!$C$6:$C$2005,$A57,Transactions!$I$6:$I$2005,K$3,Transactions!$J$6:$J$2005,Settings!$B$5)</f>
        <v>0</v>
      </c>
      <c r="L57" s="71">
        <f>SUMIFS(Transactions!$G$6:$G$2005,Transactions!$B$6:$B$2005,"Expense",Transactions!$C$6:$C$2005,$A57,Transactions!$I$6:$I$2005,L$3,Transactions!$J$6:$J$2005,Settings!$B$5)</f>
        <v>0</v>
      </c>
      <c r="M57" s="71">
        <f>SUMIFS(Transactions!$G$6:$G$2005,Transactions!$B$6:$B$2005,"Expense",Transactions!$C$6:$C$2005,$A57,Transactions!$I$6:$I$2005,M$3,Transactions!$J$6:$J$2005,Settings!$B$5)</f>
        <v>0</v>
      </c>
      <c r="N57" s="71">
        <f>SUMIFS(Transactions!$G$6:$G$2005,Transactions!$B$6:$B$2005,"Expense",Transactions!$C$6:$C$2005,$A57,Transactions!$I$6:$I$2005,N$3,Transactions!$J$6:$J$2005,Settings!$B$5)</f>
        <v>0</v>
      </c>
      <c r="O57" s="74">
        <f t="shared" si="2"/>
        <v>15000</v>
      </c>
      <c r="P57" s="71">
        <f>Budget!$I$42</f>
        <v>18000</v>
      </c>
      <c r="Q57" s="75">
        <f t="shared" si="3"/>
        <v>3000</v>
      </c>
      <c r="R57" s="29">
        <f t="shared" si="4"/>
        <v>0.83333333333333337</v>
      </c>
    </row>
    <row r="58" spans="1:18" x14ac:dyDescent="0.25">
      <c r="A58" s="16" t="str">
        <f>Settings!$K$53</f>
        <v>Gold Purchase</v>
      </c>
      <c r="B58" s="16" t="str">
        <f>Settings!$L$53</f>
        <v>Savings &amp; Investments</v>
      </c>
      <c r="C58" s="71">
        <f>SUMIFS(Transactions!$G$6:$G$2005,Transactions!$B$6:$B$2005,"Expense",Transactions!$C$6:$C$2005,$A58,Transactions!$I$6:$I$2005,C$3,Transactions!$J$6:$J$2005,Settings!$B$5)</f>
        <v>0</v>
      </c>
      <c r="D58" s="71">
        <f>SUMIFS(Transactions!$G$6:$G$2005,Transactions!$B$6:$B$2005,"Expense",Transactions!$C$6:$C$2005,$A58,Transactions!$I$6:$I$2005,D$3,Transactions!$J$6:$J$2005,Settings!$B$5)</f>
        <v>0</v>
      </c>
      <c r="E58" s="71">
        <f>SUMIFS(Transactions!$G$6:$G$2005,Transactions!$B$6:$B$2005,"Expense",Transactions!$C$6:$C$2005,$A58,Transactions!$I$6:$I$2005,E$3,Transactions!$J$6:$J$2005,Settings!$B$5)</f>
        <v>0</v>
      </c>
      <c r="F58" s="71">
        <f>SUMIFS(Transactions!$G$6:$G$2005,Transactions!$B$6:$B$2005,"Expense",Transactions!$C$6:$C$2005,$A58,Transactions!$I$6:$I$2005,F$3,Transactions!$J$6:$J$2005,Settings!$B$5)</f>
        <v>0</v>
      </c>
      <c r="G58" s="71">
        <f>SUMIFS(Transactions!$G$6:$G$2005,Transactions!$B$6:$B$2005,"Expense",Transactions!$C$6:$C$2005,$A58,Transactions!$I$6:$I$2005,G$3,Transactions!$J$6:$J$2005,Settings!$B$5)</f>
        <v>0</v>
      </c>
      <c r="H58" s="71">
        <f>SUMIFS(Transactions!$G$6:$G$2005,Transactions!$B$6:$B$2005,"Expense",Transactions!$C$6:$C$2005,$A58,Transactions!$I$6:$I$2005,H$3,Transactions!$J$6:$J$2005,Settings!$B$5)</f>
        <v>0</v>
      </c>
      <c r="I58" s="71">
        <f>SUMIFS(Transactions!$G$6:$G$2005,Transactions!$B$6:$B$2005,"Expense",Transactions!$C$6:$C$2005,$A58,Transactions!$I$6:$I$2005,I$3,Transactions!$J$6:$J$2005,Settings!$B$5)</f>
        <v>0</v>
      </c>
      <c r="J58" s="71">
        <f>SUMIFS(Transactions!$G$6:$G$2005,Transactions!$B$6:$B$2005,"Expense",Transactions!$C$6:$C$2005,$A58,Transactions!$I$6:$I$2005,J$3,Transactions!$J$6:$J$2005,Settings!$B$5)</f>
        <v>0</v>
      </c>
      <c r="K58" s="71">
        <f>SUMIFS(Transactions!$G$6:$G$2005,Transactions!$B$6:$B$2005,"Expense",Transactions!$C$6:$C$2005,$A58,Transactions!$I$6:$I$2005,K$3,Transactions!$J$6:$J$2005,Settings!$B$5)</f>
        <v>0</v>
      </c>
      <c r="L58" s="71">
        <f>SUMIFS(Transactions!$G$6:$G$2005,Transactions!$B$6:$B$2005,"Expense",Transactions!$C$6:$C$2005,$A58,Transactions!$I$6:$I$2005,L$3,Transactions!$J$6:$J$2005,Settings!$B$5)</f>
        <v>0</v>
      </c>
      <c r="M58" s="71">
        <f>SUMIFS(Transactions!$G$6:$G$2005,Transactions!$B$6:$B$2005,"Expense",Transactions!$C$6:$C$2005,$A58,Transactions!$I$6:$I$2005,M$3,Transactions!$J$6:$J$2005,Settings!$B$5)</f>
        <v>0</v>
      </c>
      <c r="N58" s="71">
        <f>SUMIFS(Transactions!$G$6:$G$2005,Transactions!$B$6:$B$2005,"Expense",Transactions!$C$6:$C$2005,$A58,Transactions!$I$6:$I$2005,N$3,Transactions!$J$6:$J$2005,Settings!$B$5)</f>
        <v>0</v>
      </c>
      <c r="O58" s="74">
        <f t="shared" si="2"/>
        <v>0</v>
      </c>
      <c r="P58" s="71">
        <f>Budget!$I$43</f>
        <v>0</v>
      </c>
      <c r="Q58" s="75">
        <f t="shared" si="3"/>
        <v>0</v>
      </c>
      <c r="R58" s="29" t="str">
        <f t="shared" si="4"/>
        <v/>
      </c>
    </row>
    <row r="59" spans="1:18" x14ac:dyDescent="0.25">
      <c r="A59" s="16" t="str">
        <f>Settings!$K$54</f>
        <v>Emergency Fund Deposit</v>
      </c>
      <c r="B59" s="16" t="str">
        <f>Settings!$L$54</f>
        <v>Savings &amp; Investments</v>
      </c>
      <c r="C59" s="71">
        <f>SUMIFS(Transactions!$G$6:$G$2005,Transactions!$B$6:$B$2005,"Expense",Transactions!$C$6:$C$2005,$A59,Transactions!$I$6:$I$2005,C$3,Transactions!$J$6:$J$2005,Settings!$B$5)</f>
        <v>3000</v>
      </c>
      <c r="D59" s="71">
        <f>SUMIFS(Transactions!$G$6:$G$2005,Transactions!$B$6:$B$2005,"Expense",Transactions!$C$6:$C$2005,$A59,Transactions!$I$6:$I$2005,D$3,Transactions!$J$6:$J$2005,Settings!$B$5)</f>
        <v>3000</v>
      </c>
      <c r="E59" s="71">
        <f>SUMIFS(Transactions!$G$6:$G$2005,Transactions!$B$6:$B$2005,"Expense",Transactions!$C$6:$C$2005,$A59,Transactions!$I$6:$I$2005,E$3,Transactions!$J$6:$J$2005,Settings!$B$5)</f>
        <v>3000</v>
      </c>
      <c r="F59" s="71">
        <f>SUMIFS(Transactions!$G$6:$G$2005,Transactions!$B$6:$B$2005,"Expense",Transactions!$C$6:$C$2005,$A59,Transactions!$I$6:$I$2005,F$3,Transactions!$J$6:$J$2005,Settings!$B$5)</f>
        <v>3000</v>
      </c>
      <c r="G59" s="71">
        <f>SUMIFS(Transactions!$G$6:$G$2005,Transactions!$B$6:$B$2005,"Expense",Transactions!$C$6:$C$2005,$A59,Transactions!$I$6:$I$2005,G$3,Transactions!$J$6:$J$2005,Settings!$B$5)</f>
        <v>3000</v>
      </c>
      <c r="H59" s="71">
        <f>SUMIFS(Transactions!$G$6:$G$2005,Transactions!$B$6:$B$2005,"Expense",Transactions!$C$6:$C$2005,$A59,Transactions!$I$6:$I$2005,H$3,Transactions!$J$6:$J$2005,Settings!$B$5)</f>
        <v>3000</v>
      </c>
      <c r="I59" s="71">
        <f>SUMIFS(Transactions!$G$6:$G$2005,Transactions!$B$6:$B$2005,"Expense",Transactions!$C$6:$C$2005,$A59,Transactions!$I$6:$I$2005,I$3,Transactions!$J$6:$J$2005,Settings!$B$5)</f>
        <v>3000</v>
      </c>
      <c r="J59" s="71">
        <f>SUMIFS(Transactions!$G$6:$G$2005,Transactions!$B$6:$B$2005,"Expense",Transactions!$C$6:$C$2005,$A59,Transactions!$I$6:$I$2005,J$3,Transactions!$J$6:$J$2005,Settings!$B$5)</f>
        <v>3000</v>
      </c>
      <c r="K59" s="71">
        <f>SUMIFS(Transactions!$G$6:$G$2005,Transactions!$B$6:$B$2005,"Expense",Transactions!$C$6:$C$2005,$A59,Transactions!$I$6:$I$2005,K$3,Transactions!$J$6:$J$2005,Settings!$B$5)</f>
        <v>3000</v>
      </c>
      <c r="L59" s="71">
        <f>SUMIFS(Transactions!$G$6:$G$2005,Transactions!$B$6:$B$2005,"Expense",Transactions!$C$6:$C$2005,$A59,Transactions!$I$6:$I$2005,L$3,Transactions!$J$6:$J$2005,Settings!$B$5)</f>
        <v>0</v>
      </c>
      <c r="M59" s="71">
        <f>SUMIFS(Transactions!$G$6:$G$2005,Transactions!$B$6:$B$2005,"Expense",Transactions!$C$6:$C$2005,$A59,Transactions!$I$6:$I$2005,M$3,Transactions!$J$6:$J$2005,Settings!$B$5)</f>
        <v>0</v>
      </c>
      <c r="N59" s="71">
        <f>SUMIFS(Transactions!$G$6:$G$2005,Transactions!$B$6:$B$2005,"Expense",Transactions!$C$6:$C$2005,$A59,Transactions!$I$6:$I$2005,N$3,Transactions!$J$6:$J$2005,Settings!$B$5)</f>
        <v>0</v>
      </c>
      <c r="O59" s="74">
        <f t="shared" si="2"/>
        <v>27000</v>
      </c>
      <c r="P59" s="71">
        <f>Budget!$I$44</f>
        <v>36000</v>
      </c>
      <c r="Q59" s="75">
        <f t="shared" si="3"/>
        <v>9000</v>
      </c>
      <c r="R59" s="29">
        <f t="shared" si="4"/>
        <v>0.75</v>
      </c>
    </row>
    <row r="60" spans="1:18" x14ac:dyDescent="0.25">
      <c r="A60" s="16" t="str">
        <f>Settings!$K$55</f>
        <v>Provident / Pension Contribution</v>
      </c>
      <c r="B60" s="16" t="str">
        <f>Settings!$L$55</f>
        <v>Savings &amp; Investments</v>
      </c>
      <c r="C60" s="71">
        <f>SUMIFS(Transactions!$G$6:$G$2005,Transactions!$B$6:$B$2005,"Expense",Transactions!$C$6:$C$2005,$A60,Transactions!$I$6:$I$2005,C$3,Transactions!$J$6:$J$2005,Settings!$B$5)</f>
        <v>0</v>
      </c>
      <c r="D60" s="71">
        <f>SUMIFS(Transactions!$G$6:$G$2005,Transactions!$B$6:$B$2005,"Expense",Transactions!$C$6:$C$2005,$A60,Transactions!$I$6:$I$2005,D$3,Transactions!$J$6:$J$2005,Settings!$B$5)</f>
        <v>0</v>
      </c>
      <c r="E60" s="71">
        <f>SUMIFS(Transactions!$G$6:$G$2005,Transactions!$B$6:$B$2005,"Expense",Transactions!$C$6:$C$2005,$A60,Transactions!$I$6:$I$2005,E$3,Transactions!$J$6:$J$2005,Settings!$B$5)</f>
        <v>0</v>
      </c>
      <c r="F60" s="71">
        <f>SUMIFS(Transactions!$G$6:$G$2005,Transactions!$B$6:$B$2005,"Expense",Transactions!$C$6:$C$2005,$A60,Transactions!$I$6:$I$2005,F$3,Transactions!$J$6:$J$2005,Settings!$B$5)</f>
        <v>0</v>
      </c>
      <c r="G60" s="71">
        <f>SUMIFS(Transactions!$G$6:$G$2005,Transactions!$B$6:$B$2005,"Expense",Transactions!$C$6:$C$2005,$A60,Transactions!$I$6:$I$2005,G$3,Transactions!$J$6:$J$2005,Settings!$B$5)</f>
        <v>0</v>
      </c>
      <c r="H60" s="71">
        <f>SUMIFS(Transactions!$G$6:$G$2005,Transactions!$B$6:$B$2005,"Expense",Transactions!$C$6:$C$2005,$A60,Transactions!$I$6:$I$2005,H$3,Transactions!$J$6:$J$2005,Settings!$B$5)</f>
        <v>0</v>
      </c>
      <c r="I60" s="71">
        <f>SUMIFS(Transactions!$G$6:$G$2005,Transactions!$B$6:$B$2005,"Expense",Transactions!$C$6:$C$2005,$A60,Transactions!$I$6:$I$2005,I$3,Transactions!$J$6:$J$2005,Settings!$B$5)</f>
        <v>0</v>
      </c>
      <c r="J60" s="71">
        <f>SUMIFS(Transactions!$G$6:$G$2005,Transactions!$B$6:$B$2005,"Expense",Transactions!$C$6:$C$2005,$A60,Transactions!$I$6:$I$2005,J$3,Transactions!$J$6:$J$2005,Settings!$B$5)</f>
        <v>0</v>
      </c>
      <c r="K60" s="71">
        <f>SUMIFS(Transactions!$G$6:$G$2005,Transactions!$B$6:$B$2005,"Expense",Transactions!$C$6:$C$2005,$A60,Transactions!$I$6:$I$2005,K$3,Transactions!$J$6:$J$2005,Settings!$B$5)</f>
        <v>0</v>
      </c>
      <c r="L60" s="71">
        <f>SUMIFS(Transactions!$G$6:$G$2005,Transactions!$B$6:$B$2005,"Expense",Transactions!$C$6:$C$2005,$A60,Transactions!$I$6:$I$2005,L$3,Transactions!$J$6:$J$2005,Settings!$B$5)</f>
        <v>0</v>
      </c>
      <c r="M60" s="71">
        <f>SUMIFS(Transactions!$G$6:$G$2005,Transactions!$B$6:$B$2005,"Expense",Transactions!$C$6:$C$2005,$A60,Transactions!$I$6:$I$2005,M$3,Transactions!$J$6:$J$2005,Settings!$B$5)</f>
        <v>0</v>
      </c>
      <c r="N60" s="71">
        <f>SUMIFS(Transactions!$G$6:$G$2005,Transactions!$B$6:$B$2005,"Expense",Transactions!$C$6:$C$2005,$A60,Transactions!$I$6:$I$2005,N$3,Transactions!$J$6:$J$2005,Settings!$B$5)</f>
        <v>0</v>
      </c>
      <c r="O60" s="74">
        <f t="shared" si="2"/>
        <v>0</v>
      </c>
      <c r="P60" s="71">
        <f>Budget!$I$45</f>
        <v>0</v>
      </c>
      <c r="Q60" s="75">
        <f t="shared" si="3"/>
        <v>0</v>
      </c>
      <c r="R60" s="29" t="str">
        <f t="shared" si="4"/>
        <v/>
      </c>
    </row>
    <row r="61" spans="1:18" x14ac:dyDescent="0.25">
      <c r="A61" s="16" t="str">
        <f>Settings!$K$56</f>
        <v>Miscellaneous</v>
      </c>
      <c r="B61" s="16" t="str">
        <f>Settings!$L$56</f>
        <v>Other</v>
      </c>
      <c r="C61" s="71">
        <f>SUMIFS(Transactions!$G$6:$G$2005,Transactions!$B$6:$B$2005,"Expense",Transactions!$C$6:$C$2005,$A61,Transactions!$I$6:$I$2005,C$3,Transactions!$J$6:$J$2005,Settings!$B$5)</f>
        <v>700</v>
      </c>
      <c r="D61" s="71">
        <f>SUMIFS(Transactions!$G$6:$G$2005,Transactions!$B$6:$B$2005,"Expense",Transactions!$C$6:$C$2005,$A61,Transactions!$I$6:$I$2005,D$3,Transactions!$J$6:$J$2005,Settings!$B$5)</f>
        <v>0</v>
      </c>
      <c r="E61" s="71">
        <f>SUMIFS(Transactions!$G$6:$G$2005,Transactions!$B$6:$B$2005,"Expense",Transactions!$C$6:$C$2005,$A61,Transactions!$I$6:$I$2005,E$3,Transactions!$J$6:$J$2005,Settings!$B$5)</f>
        <v>0</v>
      </c>
      <c r="F61" s="71">
        <f>SUMIFS(Transactions!$G$6:$G$2005,Transactions!$B$6:$B$2005,"Expense",Transactions!$C$6:$C$2005,$A61,Transactions!$I$6:$I$2005,F$3,Transactions!$J$6:$J$2005,Settings!$B$5)</f>
        <v>0</v>
      </c>
      <c r="G61" s="71">
        <f>SUMIFS(Transactions!$G$6:$G$2005,Transactions!$B$6:$B$2005,"Expense",Transactions!$C$6:$C$2005,$A61,Transactions!$I$6:$I$2005,G$3,Transactions!$J$6:$J$2005,Settings!$B$5)</f>
        <v>0</v>
      </c>
      <c r="H61" s="71">
        <f>SUMIFS(Transactions!$G$6:$G$2005,Transactions!$B$6:$B$2005,"Expense",Transactions!$C$6:$C$2005,$A61,Transactions!$I$6:$I$2005,H$3,Transactions!$J$6:$J$2005,Settings!$B$5)</f>
        <v>0</v>
      </c>
      <c r="I61" s="71">
        <f>SUMIFS(Transactions!$G$6:$G$2005,Transactions!$B$6:$B$2005,"Expense",Transactions!$C$6:$C$2005,$A61,Transactions!$I$6:$I$2005,I$3,Transactions!$J$6:$J$2005,Settings!$B$5)</f>
        <v>900</v>
      </c>
      <c r="J61" s="71">
        <f>SUMIFS(Transactions!$G$6:$G$2005,Transactions!$B$6:$B$2005,"Expense",Transactions!$C$6:$C$2005,$A61,Transactions!$I$6:$I$2005,J$3,Transactions!$J$6:$J$2005,Settings!$B$5)</f>
        <v>0</v>
      </c>
      <c r="K61" s="71">
        <f>SUMIFS(Transactions!$G$6:$G$2005,Transactions!$B$6:$B$2005,"Expense",Transactions!$C$6:$C$2005,$A61,Transactions!$I$6:$I$2005,K$3,Transactions!$J$6:$J$2005,Settings!$B$5)</f>
        <v>0</v>
      </c>
      <c r="L61" s="71">
        <f>SUMIFS(Transactions!$G$6:$G$2005,Transactions!$B$6:$B$2005,"Expense",Transactions!$C$6:$C$2005,$A61,Transactions!$I$6:$I$2005,L$3,Transactions!$J$6:$J$2005,Settings!$B$5)</f>
        <v>0</v>
      </c>
      <c r="M61" s="71">
        <f>SUMIFS(Transactions!$G$6:$G$2005,Transactions!$B$6:$B$2005,"Expense",Transactions!$C$6:$C$2005,$A61,Transactions!$I$6:$I$2005,M$3,Transactions!$J$6:$J$2005,Settings!$B$5)</f>
        <v>0</v>
      </c>
      <c r="N61" s="71">
        <f>SUMIFS(Transactions!$G$6:$G$2005,Transactions!$B$6:$B$2005,"Expense",Transactions!$C$6:$C$2005,$A61,Transactions!$I$6:$I$2005,N$3,Transactions!$J$6:$J$2005,Settings!$B$5)</f>
        <v>0</v>
      </c>
      <c r="O61" s="74">
        <f t="shared" si="2"/>
        <v>1600</v>
      </c>
      <c r="P61" s="71">
        <f>Budget!$I$46</f>
        <v>12000</v>
      </c>
      <c r="Q61" s="75">
        <f t="shared" si="3"/>
        <v>10400</v>
      </c>
      <c r="R61" s="29">
        <f t="shared" si="4"/>
        <v>0.13333333333333333</v>
      </c>
    </row>
    <row r="62" spans="1:18" x14ac:dyDescent="0.25">
      <c r="A62" s="19" t="s">
        <v>350</v>
      </c>
      <c r="B62" s="19"/>
      <c r="C62" s="72">
        <f t="shared" ref="C62:P62" si="5">SUM(C21:C61)</f>
        <v>92140</v>
      </c>
      <c r="D62" s="72">
        <f t="shared" si="5"/>
        <v>102240</v>
      </c>
      <c r="E62" s="72">
        <f t="shared" si="5"/>
        <v>193450</v>
      </c>
      <c r="F62" s="72">
        <f t="shared" si="5"/>
        <v>101570</v>
      </c>
      <c r="G62" s="72">
        <f t="shared" si="5"/>
        <v>121680</v>
      </c>
      <c r="H62" s="72">
        <f t="shared" si="5"/>
        <v>96390</v>
      </c>
      <c r="I62" s="72">
        <f t="shared" si="5"/>
        <v>94740</v>
      </c>
      <c r="J62" s="72">
        <f t="shared" si="5"/>
        <v>93320</v>
      </c>
      <c r="K62" s="72">
        <f t="shared" si="5"/>
        <v>100020</v>
      </c>
      <c r="L62" s="72">
        <f t="shared" si="5"/>
        <v>79400</v>
      </c>
      <c r="M62" s="72">
        <f t="shared" si="5"/>
        <v>0</v>
      </c>
      <c r="N62" s="72">
        <f t="shared" si="5"/>
        <v>0</v>
      </c>
      <c r="O62" s="72">
        <f t="shared" si="5"/>
        <v>1074950</v>
      </c>
      <c r="P62" s="72">
        <f t="shared" si="5"/>
        <v>1274760</v>
      </c>
      <c r="Q62" s="72">
        <f t="shared" si="3"/>
        <v>199810</v>
      </c>
      <c r="R62" s="33">
        <f t="shared" si="4"/>
        <v>0.84325676990178544</v>
      </c>
    </row>
    <row r="63" spans="1:18" x14ac:dyDescent="0.25">
      <c r="A63" s="7" t="s">
        <v>351</v>
      </c>
      <c r="B63" s="7"/>
      <c r="C63" s="75">
        <f t="shared" ref="C63:O63" si="6">SUMIF($B$21:$B$61,"Savings &amp; Investments",C21:C61)</f>
        <v>13000</v>
      </c>
      <c r="D63" s="75">
        <f t="shared" si="6"/>
        <v>8000</v>
      </c>
      <c r="E63" s="75">
        <f t="shared" si="6"/>
        <v>58000</v>
      </c>
      <c r="F63" s="75">
        <f t="shared" si="6"/>
        <v>13000</v>
      </c>
      <c r="G63" s="75">
        <f t="shared" si="6"/>
        <v>8000</v>
      </c>
      <c r="H63" s="75">
        <f t="shared" si="6"/>
        <v>8000</v>
      </c>
      <c r="I63" s="75">
        <f t="shared" si="6"/>
        <v>13000</v>
      </c>
      <c r="J63" s="75">
        <f t="shared" si="6"/>
        <v>8000</v>
      </c>
      <c r="K63" s="75">
        <f t="shared" si="6"/>
        <v>8000</v>
      </c>
      <c r="L63" s="75">
        <f t="shared" si="6"/>
        <v>5000</v>
      </c>
      <c r="M63" s="75">
        <f t="shared" si="6"/>
        <v>0</v>
      </c>
      <c r="N63" s="75">
        <f t="shared" si="6"/>
        <v>0</v>
      </c>
      <c r="O63" s="75">
        <f t="shared" si="6"/>
        <v>142000</v>
      </c>
      <c r="P63" s="76"/>
      <c r="Q63" s="76"/>
    </row>
    <row r="64" spans="1:18" x14ac:dyDescent="0.25">
      <c r="A64" s="19" t="s">
        <v>352</v>
      </c>
      <c r="B64" s="19"/>
      <c r="C64" s="72">
        <f t="shared" ref="C64:O64" si="7">C62-C63</f>
        <v>79140</v>
      </c>
      <c r="D64" s="72">
        <f t="shared" si="7"/>
        <v>94240</v>
      </c>
      <c r="E64" s="72">
        <f t="shared" si="7"/>
        <v>135450</v>
      </c>
      <c r="F64" s="72">
        <f t="shared" si="7"/>
        <v>88570</v>
      </c>
      <c r="G64" s="72">
        <f t="shared" si="7"/>
        <v>113680</v>
      </c>
      <c r="H64" s="72">
        <f t="shared" si="7"/>
        <v>88390</v>
      </c>
      <c r="I64" s="72">
        <f t="shared" si="7"/>
        <v>81740</v>
      </c>
      <c r="J64" s="72">
        <f t="shared" si="7"/>
        <v>85320</v>
      </c>
      <c r="K64" s="72">
        <f t="shared" si="7"/>
        <v>92020</v>
      </c>
      <c r="L64" s="72">
        <f t="shared" si="7"/>
        <v>74400</v>
      </c>
      <c r="M64" s="72">
        <f t="shared" si="7"/>
        <v>0</v>
      </c>
      <c r="N64" s="72">
        <f t="shared" si="7"/>
        <v>0</v>
      </c>
      <c r="O64" s="72">
        <f t="shared" si="7"/>
        <v>932950</v>
      </c>
      <c r="P64" s="76"/>
      <c r="Q64" s="76"/>
    </row>
    <row r="65" spans="1:17" x14ac:dyDescent="0.25">
      <c r="A65" s="19" t="s">
        <v>353</v>
      </c>
      <c r="B65" s="19"/>
      <c r="C65" s="72">
        <f t="shared" ref="C65:O65" si="8">C18-C64</f>
        <v>43636</v>
      </c>
      <c r="D65" s="72">
        <f t="shared" si="8"/>
        <v>34090</v>
      </c>
      <c r="E65" s="72">
        <f t="shared" si="8"/>
        <v>54750</v>
      </c>
      <c r="F65" s="72">
        <f t="shared" si="8"/>
        <v>48686</v>
      </c>
      <c r="G65" s="72">
        <f t="shared" si="8"/>
        <v>73320</v>
      </c>
      <c r="H65" s="72">
        <f t="shared" si="8"/>
        <v>42930</v>
      </c>
      <c r="I65" s="72">
        <f t="shared" si="8"/>
        <v>41036</v>
      </c>
      <c r="J65" s="72">
        <f t="shared" si="8"/>
        <v>42520</v>
      </c>
      <c r="K65" s="72">
        <f t="shared" si="8"/>
        <v>26180</v>
      </c>
      <c r="L65" s="72">
        <f t="shared" si="8"/>
        <v>61776</v>
      </c>
      <c r="M65" s="72">
        <f t="shared" si="8"/>
        <v>0</v>
      </c>
      <c r="N65" s="72">
        <f t="shared" si="8"/>
        <v>0</v>
      </c>
      <c r="O65" s="72">
        <f t="shared" si="8"/>
        <v>468924</v>
      </c>
      <c r="P65" s="76"/>
      <c r="Q65" s="76"/>
    </row>
    <row r="66" spans="1:17" x14ac:dyDescent="0.25">
      <c r="A66" s="19" t="s">
        <v>354</v>
      </c>
      <c r="B66" s="19"/>
      <c r="C66" s="39">
        <f t="shared" ref="C66:O66" si="9">IF(C18=0,0,C65/C18)</f>
        <v>0.35541148107121912</v>
      </c>
      <c r="D66" s="39">
        <f t="shared" si="9"/>
        <v>0.26564326346138861</v>
      </c>
      <c r="E66" s="39">
        <f t="shared" si="9"/>
        <v>0.28785488958990535</v>
      </c>
      <c r="F66" s="39">
        <f t="shared" si="9"/>
        <v>0.35470944803870141</v>
      </c>
      <c r="G66" s="39">
        <f t="shared" si="9"/>
        <v>0.39208556149732621</v>
      </c>
      <c r="H66" s="39">
        <f t="shared" si="9"/>
        <v>0.3269113615595492</v>
      </c>
      <c r="I66" s="39">
        <f t="shared" si="9"/>
        <v>0.33423470385091547</v>
      </c>
      <c r="J66" s="39">
        <f t="shared" si="9"/>
        <v>0.33260325406758445</v>
      </c>
      <c r="K66" s="39">
        <f t="shared" si="9"/>
        <v>0.22148900169204738</v>
      </c>
      <c r="L66" s="39">
        <f t="shared" si="9"/>
        <v>0.45364821995065208</v>
      </c>
      <c r="M66" s="39">
        <f t="shared" si="9"/>
        <v>0</v>
      </c>
      <c r="N66" s="39">
        <f t="shared" si="9"/>
        <v>0</v>
      </c>
      <c r="O66" s="39">
        <f t="shared" si="9"/>
        <v>0.33449796486702799</v>
      </c>
    </row>
  </sheetData>
  <mergeCells count="2">
    <mergeCell ref="A1:R1"/>
    <mergeCell ref="A2:R2"/>
  </mergeCells>
  <conditionalFormatting sqref="C65:O65">
    <cfRule type="cellIs" dxfId="21" priority="3" operator="lessThan">
      <formula>0</formula>
    </cfRule>
  </conditionalFormatting>
  <conditionalFormatting sqref="R21:R62">
    <cfRule type="cellIs" dxfId="20" priority="2" operator="greaterThan">
      <formula>1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A4E"/>
    <pageSetUpPr fitToPage="1"/>
  </sheetPr>
  <dimension ref="A1:L2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8" sqref="F28"/>
    </sheetView>
  </sheetViews>
  <sheetFormatPr defaultColWidth="8.7109375" defaultRowHeight="15" x14ac:dyDescent="0.25"/>
  <cols>
    <col min="1" max="1" width="18" customWidth="1"/>
    <col min="2" max="3" width="17.42578125" bestFit="1" customWidth="1"/>
    <col min="4" max="6" width="15.7109375" bestFit="1" customWidth="1"/>
    <col min="7" max="7" width="12.85546875" bestFit="1" customWidth="1"/>
    <col min="8" max="11" width="15.7109375" bestFit="1" customWidth="1"/>
    <col min="12" max="12" width="11.5703125" bestFit="1" customWidth="1"/>
  </cols>
  <sheetData>
    <row r="1" spans="1:12" ht="33.75" customHeight="1" x14ac:dyDescent="0.25">
      <c r="A1" s="81" t="s">
        <v>355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25.5" customHeight="1" x14ac:dyDescent="0.25">
      <c r="A2" s="82" t="s">
        <v>356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4" spans="1:12" ht="30" customHeight="1" x14ac:dyDescent="0.25">
      <c r="A4" s="13" t="s">
        <v>357</v>
      </c>
      <c r="B4" s="13" t="s">
        <v>148</v>
      </c>
      <c r="C4" s="13" t="s">
        <v>358</v>
      </c>
      <c r="D4" s="13" t="s">
        <v>359</v>
      </c>
      <c r="E4" s="13" t="s">
        <v>360</v>
      </c>
      <c r="F4" s="13" t="s">
        <v>361</v>
      </c>
      <c r="G4" s="13" t="s">
        <v>362</v>
      </c>
      <c r="H4" s="13" t="s">
        <v>363</v>
      </c>
      <c r="I4" s="13" t="s">
        <v>364</v>
      </c>
      <c r="J4" s="13" t="s">
        <v>365</v>
      </c>
      <c r="K4" s="13" t="s">
        <v>366</v>
      </c>
      <c r="L4" s="13" t="s">
        <v>367</v>
      </c>
    </row>
    <row r="5" spans="1:12" x14ac:dyDescent="0.25">
      <c r="A5" s="27" t="str">
        <f>Settings!$E$4</f>
        <v>Jan</v>
      </c>
      <c r="B5" s="71">
        <f>'Annual Matrix'!C18</f>
        <v>122776</v>
      </c>
      <c r="C5" s="71">
        <f>'Annual Matrix'!C62</f>
        <v>92140</v>
      </c>
      <c r="D5" s="71">
        <f>'Annual Matrix'!C63</f>
        <v>13000</v>
      </c>
      <c r="E5" s="75">
        <f t="shared" ref="E5:E16" si="0">C5-D5</f>
        <v>79140</v>
      </c>
      <c r="F5" s="75">
        <f t="shared" ref="F5:F16" si="1">B5-E5</f>
        <v>43636</v>
      </c>
      <c r="G5" s="36">
        <f t="shared" ref="G5:G17" si="2">IF(B5=0,0,F5/B5)</f>
        <v>0.35541148107121912</v>
      </c>
      <c r="H5" s="75">
        <f>SUM($F$5:F5)</f>
        <v>43636</v>
      </c>
      <c r="I5" s="75">
        <f t="shared" ref="I5:I16" si="3">B5-C5</f>
        <v>30636</v>
      </c>
      <c r="J5" s="71">
        <f>B5*Settings!$B$7</f>
        <v>24555.200000000001</v>
      </c>
      <c r="K5" s="75">
        <f t="shared" ref="K5:K16" si="4">F5-J5</f>
        <v>19080.8</v>
      </c>
      <c r="L5" s="37">
        <f>Settings!$B$7</f>
        <v>0.2</v>
      </c>
    </row>
    <row r="6" spans="1:12" x14ac:dyDescent="0.25">
      <c r="A6" s="27" t="str">
        <f>Settings!$E$5</f>
        <v>Feb</v>
      </c>
      <c r="B6" s="71">
        <f>'Annual Matrix'!D18</f>
        <v>128330</v>
      </c>
      <c r="C6" s="71">
        <f>'Annual Matrix'!D62</f>
        <v>102240</v>
      </c>
      <c r="D6" s="71">
        <f>'Annual Matrix'!D63</f>
        <v>8000</v>
      </c>
      <c r="E6" s="75">
        <f t="shared" si="0"/>
        <v>94240</v>
      </c>
      <c r="F6" s="75">
        <f t="shared" si="1"/>
        <v>34090</v>
      </c>
      <c r="G6" s="36">
        <f t="shared" si="2"/>
        <v>0.26564326346138861</v>
      </c>
      <c r="H6" s="75">
        <f>SUM($F$5:F6)</f>
        <v>77726</v>
      </c>
      <c r="I6" s="75">
        <f t="shared" si="3"/>
        <v>26090</v>
      </c>
      <c r="J6" s="71">
        <f>B6*Settings!$B$7</f>
        <v>25666</v>
      </c>
      <c r="K6" s="75">
        <f t="shared" si="4"/>
        <v>8424</v>
      </c>
      <c r="L6" s="37">
        <f>Settings!$B$7</f>
        <v>0.2</v>
      </c>
    </row>
    <row r="7" spans="1:12" x14ac:dyDescent="0.25">
      <c r="A7" s="27" t="str">
        <f>Settings!$E$6</f>
        <v>Mar</v>
      </c>
      <c r="B7" s="71">
        <f>'Annual Matrix'!E18</f>
        <v>190200</v>
      </c>
      <c r="C7" s="71">
        <f>'Annual Matrix'!E62</f>
        <v>193450</v>
      </c>
      <c r="D7" s="71">
        <f>'Annual Matrix'!E63</f>
        <v>58000</v>
      </c>
      <c r="E7" s="75">
        <f t="shared" si="0"/>
        <v>135450</v>
      </c>
      <c r="F7" s="75">
        <f t="shared" si="1"/>
        <v>54750</v>
      </c>
      <c r="G7" s="36">
        <f t="shared" si="2"/>
        <v>0.28785488958990535</v>
      </c>
      <c r="H7" s="75">
        <f>SUM($F$5:F7)</f>
        <v>132476</v>
      </c>
      <c r="I7" s="75">
        <f t="shared" si="3"/>
        <v>-3250</v>
      </c>
      <c r="J7" s="71">
        <f>B7*Settings!$B$7</f>
        <v>38040</v>
      </c>
      <c r="K7" s="75">
        <f t="shared" si="4"/>
        <v>16710</v>
      </c>
      <c r="L7" s="37">
        <f>Settings!$B$7</f>
        <v>0.2</v>
      </c>
    </row>
    <row r="8" spans="1:12" x14ac:dyDescent="0.25">
      <c r="A8" s="27" t="str">
        <f>Settings!$E$7</f>
        <v>Apr</v>
      </c>
      <c r="B8" s="71">
        <f>'Annual Matrix'!F18</f>
        <v>137256</v>
      </c>
      <c r="C8" s="71">
        <f>'Annual Matrix'!F62</f>
        <v>101570</v>
      </c>
      <c r="D8" s="71">
        <f>'Annual Matrix'!F63</f>
        <v>13000</v>
      </c>
      <c r="E8" s="75">
        <f t="shared" si="0"/>
        <v>88570</v>
      </c>
      <c r="F8" s="75">
        <f t="shared" si="1"/>
        <v>48686</v>
      </c>
      <c r="G8" s="36">
        <f t="shared" si="2"/>
        <v>0.35470944803870141</v>
      </c>
      <c r="H8" s="75">
        <f>SUM($F$5:F8)</f>
        <v>181162</v>
      </c>
      <c r="I8" s="75">
        <f t="shared" si="3"/>
        <v>35686</v>
      </c>
      <c r="J8" s="71">
        <f>B8*Settings!$B$7</f>
        <v>27451.200000000001</v>
      </c>
      <c r="K8" s="75">
        <f t="shared" si="4"/>
        <v>21234.799999999999</v>
      </c>
      <c r="L8" s="37">
        <f>Settings!$B$7</f>
        <v>0.2</v>
      </c>
    </row>
    <row r="9" spans="1:12" x14ac:dyDescent="0.25">
      <c r="A9" s="27" t="str">
        <f>Settings!$E$8</f>
        <v>May</v>
      </c>
      <c r="B9" s="71">
        <f>'Annual Matrix'!G18</f>
        <v>187000</v>
      </c>
      <c r="C9" s="71">
        <f>'Annual Matrix'!G62</f>
        <v>121680</v>
      </c>
      <c r="D9" s="71">
        <f>'Annual Matrix'!G63</f>
        <v>8000</v>
      </c>
      <c r="E9" s="75">
        <f t="shared" si="0"/>
        <v>113680</v>
      </c>
      <c r="F9" s="75">
        <f t="shared" si="1"/>
        <v>73320</v>
      </c>
      <c r="G9" s="36">
        <f t="shared" si="2"/>
        <v>0.39208556149732621</v>
      </c>
      <c r="H9" s="75">
        <f>SUM($F$5:F9)</f>
        <v>254482</v>
      </c>
      <c r="I9" s="75">
        <f t="shared" si="3"/>
        <v>65320</v>
      </c>
      <c r="J9" s="71">
        <f>B9*Settings!$B$7</f>
        <v>37400</v>
      </c>
      <c r="K9" s="75">
        <f t="shared" si="4"/>
        <v>35920</v>
      </c>
      <c r="L9" s="37">
        <f>Settings!$B$7</f>
        <v>0.2</v>
      </c>
    </row>
    <row r="10" spans="1:12" x14ac:dyDescent="0.25">
      <c r="A10" s="27" t="str">
        <f>Settings!$E$9</f>
        <v>Jun</v>
      </c>
      <c r="B10" s="71">
        <f>'Annual Matrix'!H18</f>
        <v>131320</v>
      </c>
      <c r="C10" s="71">
        <f>'Annual Matrix'!H62</f>
        <v>96390</v>
      </c>
      <c r="D10" s="71">
        <f>'Annual Matrix'!H63</f>
        <v>8000</v>
      </c>
      <c r="E10" s="75">
        <f t="shared" si="0"/>
        <v>88390</v>
      </c>
      <c r="F10" s="75">
        <f t="shared" si="1"/>
        <v>42930</v>
      </c>
      <c r="G10" s="36">
        <f t="shared" si="2"/>
        <v>0.3269113615595492</v>
      </c>
      <c r="H10" s="75">
        <f>SUM($F$5:F10)</f>
        <v>297412</v>
      </c>
      <c r="I10" s="75">
        <f t="shared" si="3"/>
        <v>34930</v>
      </c>
      <c r="J10" s="71">
        <f>B10*Settings!$B$7</f>
        <v>26264</v>
      </c>
      <c r="K10" s="75">
        <f t="shared" si="4"/>
        <v>16666</v>
      </c>
      <c r="L10" s="37">
        <f>Settings!$B$7</f>
        <v>0.2</v>
      </c>
    </row>
    <row r="11" spans="1:12" x14ac:dyDescent="0.25">
      <c r="A11" s="27" t="str">
        <f>Settings!$E$10</f>
        <v>Jul</v>
      </c>
      <c r="B11" s="71">
        <f>'Annual Matrix'!I18</f>
        <v>122776</v>
      </c>
      <c r="C11" s="71">
        <f>'Annual Matrix'!I62</f>
        <v>94740</v>
      </c>
      <c r="D11" s="71">
        <f>'Annual Matrix'!I63</f>
        <v>13000</v>
      </c>
      <c r="E11" s="75">
        <f t="shared" si="0"/>
        <v>81740</v>
      </c>
      <c r="F11" s="75">
        <f t="shared" si="1"/>
        <v>41036</v>
      </c>
      <c r="G11" s="36">
        <f t="shared" si="2"/>
        <v>0.33423470385091547</v>
      </c>
      <c r="H11" s="75">
        <f>SUM($F$5:F11)</f>
        <v>338448</v>
      </c>
      <c r="I11" s="75">
        <f t="shared" si="3"/>
        <v>28036</v>
      </c>
      <c r="J11" s="71">
        <f>B11*Settings!$B$7</f>
        <v>24555.200000000001</v>
      </c>
      <c r="K11" s="75">
        <f t="shared" si="4"/>
        <v>16480.8</v>
      </c>
      <c r="L11" s="37">
        <f>Settings!$B$7</f>
        <v>0.2</v>
      </c>
    </row>
    <row r="12" spans="1:12" x14ac:dyDescent="0.25">
      <c r="A12" s="27" t="str">
        <f>Settings!$E$11</f>
        <v>Aug</v>
      </c>
      <c r="B12" s="71">
        <f>'Annual Matrix'!J18</f>
        <v>127840</v>
      </c>
      <c r="C12" s="71">
        <f>'Annual Matrix'!J62</f>
        <v>93320</v>
      </c>
      <c r="D12" s="71">
        <f>'Annual Matrix'!J63</f>
        <v>8000</v>
      </c>
      <c r="E12" s="75">
        <f t="shared" si="0"/>
        <v>85320</v>
      </c>
      <c r="F12" s="75">
        <f t="shared" si="1"/>
        <v>42520</v>
      </c>
      <c r="G12" s="36">
        <f t="shared" si="2"/>
        <v>0.33260325406758445</v>
      </c>
      <c r="H12" s="75">
        <f>SUM($F$5:F12)</f>
        <v>380968</v>
      </c>
      <c r="I12" s="75">
        <f t="shared" si="3"/>
        <v>34520</v>
      </c>
      <c r="J12" s="71">
        <f>B12*Settings!$B$7</f>
        <v>25568</v>
      </c>
      <c r="K12" s="75">
        <f t="shared" si="4"/>
        <v>16952</v>
      </c>
      <c r="L12" s="37">
        <f>Settings!$B$7</f>
        <v>0.2</v>
      </c>
    </row>
    <row r="13" spans="1:12" x14ac:dyDescent="0.25">
      <c r="A13" s="27" t="str">
        <f>Settings!$E$12</f>
        <v>Sep</v>
      </c>
      <c r="B13" s="71">
        <f>'Annual Matrix'!K18</f>
        <v>118200</v>
      </c>
      <c r="C13" s="71">
        <f>'Annual Matrix'!K62</f>
        <v>100020</v>
      </c>
      <c r="D13" s="71">
        <f>'Annual Matrix'!K63</f>
        <v>8000</v>
      </c>
      <c r="E13" s="75">
        <f t="shared" si="0"/>
        <v>92020</v>
      </c>
      <c r="F13" s="75">
        <f t="shared" si="1"/>
        <v>26180</v>
      </c>
      <c r="G13" s="36">
        <f t="shared" si="2"/>
        <v>0.22148900169204738</v>
      </c>
      <c r="H13" s="75">
        <f>SUM($F$5:F13)</f>
        <v>407148</v>
      </c>
      <c r="I13" s="75">
        <f t="shared" si="3"/>
        <v>18180</v>
      </c>
      <c r="J13" s="71">
        <f>B13*Settings!$B$7</f>
        <v>23640</v>
      </c>
      <c r="K13" s="75">
        <f t="shared" si="4"/>
        <v>2540</v>
      </c>
      <c r="L13" s="37">
        <f>Settings!$B$7</f>
        <v>0.2</v>
      </c>
    </row>
    <row r="14" spans="1:12" x14ac:dyDescent="0.25">
      <c r="A14" s="27" t="str">
        <f>Settings!$E$13</f>
        <v>Oct</v>
      </c>
      <c r="B14" s="71">
        <f>'Annual Matrix'!L18</f>
        <v>136176</v>
      </c>
      <c r="C14" s="71">
        <f>'Annual Matrix'!L62</f>
        <v>79400</v>
      </c>
      <c r="D14" s="71">
        <f>'Annual Matrix'!L63</f>
        <v>5000</v>
      </c>
      <c r="E14" s="75">
        <f t="shared" si="0"/>
        <v>74400</v>
      </c>
      <c r="F14" s="75">
        <f t="shared" si="1"/>
        <v>61776</v>
      </c>
      <c r="G14" s="36">
        <f t="shared" si="2"/>
        <v>0.45364821995065208</v>
      </c>
      <c r="H14" s="75">
        <f>SUM($F$5:F14)</f>
        <v>468924</v>
      </c>
      <c r="I14" s="75">
        <f t="shared" si="3"/>
        <v>56776</v>
      </c>
      <c r="J14" s="71">
        <f>B14*Settings!$B$7</f>
        <v>27235.200000000001</v>
      </c>
      <c r="K14" s="75">
        <f t="shared" si="4"/>
        <v>34540.800000000003</v>
      </c>
      <c r="L14" s="37">
        <f>Settings!$B$7</f>
        <v>0.2</v>
      </c>
    </row>
    <row r="15" spans="1:12" x14ac:dyDescent="0.25">
      <c r="A15" s="27" t="str">
        <f>Settings!$E$14</f>
        <v>Nov</v>
      </c>
      <c r="B15" s="71">
        <f>'Annual Matrix'!M18</f>
        <v>0</v>
      </c>
      <c r="C15" s="71">
        <f>'Annual Matrix'!M62</f>
        <v>0</v>
      </c>
      <c r="D15" s="71">
        <f>'Annual Matrix'!M63</f>
        <v>0</v>
      </c>
      <c r="E15" s="75">
        <f t="shared" si="0"/>
        <v>0</v>
      </c>
      <c r="F15" s="75">
        <f t="shared" si="1"/>
        <v>0</v>
      </c>
      <c r="G15" s="36">
        <f t="shared" si="2"/>
        <v>0</v>
      </c>
      <c r="H15" s="75">
        <f>SUM($F$5:F15)</f>
        <v>468924</v>
      </c>
      <c r="I15" s="75">
        <f t="shared" si="3"/>
        <v>0</v>
      </c>
      <c r="J15" s="71">
        <f>B15*Settings!$B$7</f>
        <v>0</v>
      </c>
      <c r="K15" s="75">
        <f t="shared" si="4"/>
        <v>0</v>
      </c>
      <c r="L15" s="37">
        <f>Settings!$B$7</f>
        <v>0.2</v>
      </c>
    </row>
    <row r="16" spans="1:12" x14ac:dyDescent="0.25">
      <c r="A16" s="27" t="str">
        <f>Settings!$E$15</f>
        <v>Dec</v>
      </c>
      <c r="B16" s="71">
        <f>'Annual Matrix'!N18</f>
        <v>0</v>
      </c>
      <c r="C16" s="71">
        <f>'Annual Matrix'!N62</f>
        <v>0</v>
      </c>
      <c r="D16" s="71">
        <f>'Annual Matrix'!N63</f>
        <v>0</v>
      </c>
      <c r="E16" s="75">
        <f t="shared" si="0"/>
        <v>0</v>
      </c>
      <c r="F16" s="75">
        <f t="shared" si="1"/>
        <v>0</v>
      </c>
      <c r="G16" s="36">
        <f t="shared" si="2"/>
        <v>0</v>
      </c>
      <c r="H16" s="75">
        <f>SUM($F$5:F16)</f>
        <v>468924</v>
      </c>
      <c r="I16" s="75">
        <f t="shared" si="3"/>
        <v>0</v>
      </c>
      <c r="J16" s="71">
        <f>B16*Settings!$B$7</f>
        <v>0</v>
      </c>
      <c r="K16" s="75">
        <f t="shared" si="4"/>
        <v>0</v>
      </c>
      <c r="L16" s="37">
        <f>Settings!$B$7</f>
        <v>0.2</v>
      </c>
    </row>
    <row r="17" spans="1:12" x14ac:dyDescent="0.25">
      <c r="A17" s="19" t="s">
        <v>368</v>
      </c>
      <c r="B17" s="72">
        <f>SUM(B5:B16)</f>
        <v>1401874</v>
      </c>
      <c r="C17" s="72">
        <f>SUM(C5:C16)</f>
        <v>1074950</v>
      </c>
      <c r="D17" s="72">
        <f>SUM(D5:D16)</f>
        <v>142000</v>
      </c>
      <c r="E17" s="72">
        <f>SUM(E5:E16)</f>
        <v>932950</v>
      </c>
      <c r="F17" s="72">
        <f>SUM(F5:F16)</f>
        <v>468924</v>
      </c>
      <c r="G17" s="39">
        <f t="shared" si="2"/>
        <v>0.33449796486702799</v>
      </c>
      <c r="H17" s="72">
        <f>H16</f>
        <v>468924</v>
      </c>
      <c r="I17" s="72">
        <f>SUM(I5:I16)</f>
        <v>326924</v>
      </c>
      <c r="J17" s="72">
        <f>SUM(J5:J16)</f>
        <v>280374.8</v>
      </c>
      <c r="K17" s="72">
        <f>SUM(K5:K16)</f>
        <v>188549.2</v>
      </c>
      <c r="L17" s="40">
        <f>Settings!$B$7</f>
        <v>0.2</v>
      </c>
    </row>
    <row r="19" spans="1:12" x14ac:dyDescent="0.25">
      <c r="A19" s="19" t="s">
        <v>369</v>
      </c>
      <c r="B19" s="72">
        <f>IFERROR(B17/COUNTIF($B$5:$B$16,"&gt;0"),0)</f>
        <v>140187.4</v>
      </c>
      <c r="C19" s="72">
        <f>IFERROR(C17/COUNTIF($B$5:$B$16,"&gt;0"),0)</f>
        <v>107495</v>
      </c>
      <c r="D19" s="72">
        <f>IFERROR(D17/COUNTIF($B$5:$B$16,"&gt;0"),0)</f>
        <v>14200</v>
      </c>
      <c r="E19" s="72">
        <f>IFERROR(E17/COUNTIF($B$5:$B$16,"&gt;0"),0)</f>
        <v>93295</v>
      </c>
      <c r="F19" s="72">
        <f>IFERROR(F17/COUNTIF($B$5:$B$16,"&gt;0"),0)</f>
        <v>46892.4</v>
      </c>
      <c r="G19" s="39">
        <f>IF(B19=0,0,F19/B19)</f>
        <v>0.33449796486702804</v>
      </c>
      <c r="I19" s="72">
        <f>IFERROR(I17/COUNTIF($B$5:$B$16,"&gt;0"),0)</f>
        <v>32692.400000000001</v>
      </c>
      <c r="J19" s="72">
        <f>IFERROR(J17/COUNTIF($B$5:$B$16,"&gt;0"),0)</f>
        <v>28037.48</v>
      </c>
    </row>
    <row r="20" spans="1:12" x14ac:dyDescent="0.25">
      <c r="A20" s="21" t="s">
        <v>370</v>
      </c>
    </row>
  </sheetData>
  <mergeCells count="2">
    <mergeCell ref="A1:L1"/>
    <mergeCell ref="A2:L2"/>
  </mergeCells>
  <conditionalFormatting sqref="F5:F17">
    <cfRule type="cellIs" dxfId="19" priority="3" operator="lessThan">
      <formula>0</formula>
    </cfRule>
  </conditionalFormatting>
  <conditionalFormatting sqref="K5:K17">
    <cfRule type="cellIs" dxfId="18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8A200"/>
    <pageSetUpPr fitToPage="1"/>
  </sheetPr>
  <dimension ref="A1:N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9" sqref="G29"/>
    </sheetView>
  </sheetViews>
  <sheetFormatPr defaultColWidth="8.7109375" defaultRowHeight="15" x14ac:dyDescent="0.25"/>
  <cols>
    <col min="1" max="1" width="38" customWidth="1"/>
    <col min="2" max="2" width="10" customWidth="1"/>
    <col min="3" max="4" width="17.42578125" bestFit="1" customWidth="1"/>
    <col min="5" max="5" width="11.7109375" bestFit="1" customWidth="1"/>
    <col min="6" max="6" width="10" bestFit="1" customWidth="1"/>
    <col min="7" max="7" width="17" customWidth="1"/>
    <col min="8" max="8" width="17.42578125" bestFit="1" customWidth="1"/>
    <col min="9" max="9" width="8.85546875" bestFit="1" customWidth="1"/>
    <col min="10" max="10" width="8" bestFit="1" customWidth="1"/>
    <col min="11" max="11" width="17.85546875" bestFit="1" customWidth="1"/>
    <col min="12" max="12" width="17.42578125" bestFit="1" customWidth="1"/>
    <col min="13" max="13" width="18" bestFit="1" customWidth="1"/>
    <col min="14" max="14" width="15" bestFit="1" customWidth="1"/>
  </cols>
  <sheetData>
    <row r="1" spans="1:14" ht="33.75" customHeight="1" x14ac:dyDescent="0.25">
      <c r="A1" s="81" t="s">
        <v>371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5.5" customHeight="1" x14ac:dyDescent="0.25">
      <c r="A2" s="82" t="s">
        <v>372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5" spans="1:14" ht="43.5" customHeight="1" x14ac:dyDescent="0.25">
      <c r="A5" s="13" t="s">
        <v>373</v>
      </c>
      <c r="B5" s="13" t="s">
        <v>374</v>
      </c>
      <c r="C5" s="13" t="s">
        <v>375</v>
      </c>
      <c r="D5" s="13" t="s">
        <v>376</v>
      </c>
      <c r="E5" s="13" t="s">
        <v>377</v>
      </c>
      <c r="F5" s="13" t="s">
        <v>378</v>
      </c>
      <c r="G5" s="13" t="s">
        <v>379</v>
      </c>
      <c r="H5" s="13" t="s">
        <v>380</v>
      </c>
      <c r="I5" s="13" t="s">
        <v>381</v>
      </c>
      <c r="J5" s="13" t="s">
        <v>382</v>
      </c>
      <c r="K5" s="13" t="s">
        <v>383</v>
      </c>
      <c r="L5" s="13" t="s">
        <v>384</v>
      </c>
      <c r="M5" s="13" t="s">
        <v>385</v>
      </c>
      <c r="N5" s="13" t="s">
        <v>118</v>
      </c>
    </row>
    <row r="6" spans="1:14" x14ac:dyDescent="0.25">
      <c r="A6" s="24" t="s">
        <v>386</v>
      </c>
      <c r="B6" s="41" t="s">
        <v>387</v>
      </c>
      <c r="C6" s="70">
        <f>ROUND(Settings!$B$8*'Monthly Summary'!$E$19,-3)</f>
        <v>560000</v>
      </c>
      <c r="D6" s="70">
        <f>'Net Worth'!$C$26</f>
        <v>267000</v>
      </c>
      <c r="E6" s="23">
        <v>46752</v>
      </c>
      <c r="F6" s="42">
        <v>0.06</v>
      </c>
      <c r="G6" s="70">
        <v>10000</v>
      </c>
      <c r="H6" s="75">
        <f t="shared" ref="H6:H17" si="0">IF(C6="","",MAX(0,C6-D6))</f>
        <v>293000</v>
      </c>
      <c r="I6" s="29">
        <f t="shared" ref="I6:I17" si="1">IF(C6="","",IF(C6=0,0,MIN(1,D6/C6)))</f>
        <v>0.47678571428571431</v>
      </c>
      <c r="J6" s="43">
        <f t="shared" ref="J6:J17" ca="1" si="2">IF(E6="","",MAX(0,(YEAR(E6)-YEAR(TODAY()))*12+MONTH(E6)-MONTH(TODAY())))</f>
        <v>14</v>
      </c>
      <c r="K6" s="75">
        <f t="shared" ref="K6:K17" ca="1" si="3">IF(OR(C6="",E6=""),"",IF(H6=0,0,IF(J6=0,H6,IF(F6=0,H6/J6,MAX(0,-PMT(F6/12,J6,-D6,C6))))))</f>
        <v>18921.873211685317</v>
      </c>
      <c r="L6" s="75">
        <f t="shared" ref="L6:L17" ca="1" si="4">IF(OR(C6="",E6=""),"",FV(F6/12,J6,-G6,-D6))</f>
        <v>430952.00608177099</v>
      </c>
      <c r="M6" s="75">
        <f t="shared" ref="M6:M17" ca="1" si="5">IF(L6="","",L6-C6)</f>
        <v>-129047.99391822901</v>
      </c>
      <c r="N6" s="30" t="str">
        <f t="shared" ref="N6:N17" ca="1" si="6">IF(C6="","",IF(D6&gt;=C6,"Achieved",IF(J6=0,"Overdue",IF(L6&gt;=C6,"On Track",IF(L6&gt;=0.8*C6,"Slightly Behind","Behind")))))</f>
        <v>Behind</v>
      </c>
    </row>
    <row r="7" spans="1:14" x14ac:dyDescent="0.25">
      <c r="A7" s="24" t="s">
        <v>388</v>
      </c>
      <c r="B7" s="41" t="s">
        <v>387</v>
      </c>
      <c r="C7" s="70">
        <v>1200000</v>
      </c>
      <c r="D7" s="70">
        <v>150000</v>
      </c>
      <c r="E7" s="23">
        <v>47664</v>
      </c>
      <c r="F7" s="42">
        <v>0.09</v>
      </c>
      <c r="G7" s="70">
        <v>6000</v>
      </c>
      <c r="H7" s="75">
        <f t="shared" si="0"/>
        <v>1050000</v>
      </c>
      <c r="I7" s="29">
        <f t="shared" si="1"/>
        <v>0.125</v>
      </c>
      <c r="J7" s="43">
        <f t="shared" ca="1" si="2"/>
        <v>44</v>
      </c>
      <c r="K7" s="75">
        <f t="shared" ca="1" si="3"/>
        <v>19105.880305365245</v>
      </c>
      <c r="L7" s="75">
        <f t="shared" ca="1" si="4"/>
        <v>519793.5970693311</v>
      </c>
      <c r="M7" s="75">
        <f t="shared" ca="1" si="5"/>
        <v>-680206.4029306689</v>
      </c>
      <c r="N7" s="30" t="str">
        <f t="shared" ca="1" si="6"/>
        <v>Behind</v>
      </c>
    </row>
    <row r="8" spans="1:14" x14ac:dyDescent="0.25">
      <c r="A8" s="24" t="s">
        <v>389</v>
      </c>
      <c r="B8" s="41" t="s">
        <v>387</v>
      </c>
      <c r="C8" s="70">
        <v>2500000</v>
      </c>
      <c r="D8" s="70">
        <v>200000</v>
      </c>
      <c r="E8" s="23">
        <v>50221</v>
      </c>
      <c r="F8" s="42">
        <v>0.1</v>
      </c>
      <c r="G8" s="70">
        <v>9000</v>
      </c>
      <c r="H8" s="75">
        <f t="shared" si="0"/>
        <v>2300000</v>
      </c>
      <c r="I8" s="29">
        <f t="shared" si="1"/>
        <v>0.08</v>
      </c>
      <c r="J8" s="43">
        <f t="shared" ca="1" si="2"/>
        <v>128</v>
      </c>
      <c r="K8" s="75">
        <f t="shared" ca="1" si="3"/>
        <v>8459.0867546271656</v>
      </c>
      <c r="L8" s="75">
        <f t="shared" ca="1" si="4"/>
        <v>2622864.9773103367</v>
      </c>
      <c r="M8" s="75">
        <f t="shared" ca="1" si="5"/>
        <v>122864.97731033666</v>
      </c>
      <c r="N8" s="30" t="str">
        <f t="shared" ca="1" si="6"/>
        <v>On Track</v>
      </c>
    </row>
    <row r="9" spans="1:14" x14ac:dyDescent="0.25">
      <c r="A9" s="24" t="s">
        <v>390</v>
      </c>
      <c r="B9" s="41" t="s">
        <v>391</v>
      </c>
      <c r="C9" s="70">
        <v>3000000</v>
      </c>
      <c r="D9" s="70">
        <v>400000</v>
      </c>
      <c r="E9" s="23">
        <v>47848</v>
      </c>
      <c r="F9" s="42">
        <v>0.09</v>
      </c>
      <c r="G9" s="70">
        <v>8000</v>
      </c>
      <c r="H9" s="75">
        <f t="shared" si="0"/>
        <v>2600000</v>
      </c>
      <c r="I9" s="29">
        <f t="shared" si="1"/>
        <v>0.13333333333333333</v>
      </c>
      <c r="J9" s="43">
        <f t="shared" ca="1" si="2"/>
        <v>50</v>
      </c>
      <c r="K9" s="75">
        <f t="shared" ca="1" si="3"/>
        <v>40050.450747889459</v>
      </c>
      <c r="L9" s="75">
        <f t="shared" ca="1" si="4"/>
        <v>1064336.8304663454</v>
      </c>
      <c r="M9" s="75">
        <f t="shared" ca="1" si="5"/>
        <v>-1935663.1695336546</v>
      </c>
      <c r="N9" s="30" t="str">
        <f t="shared" ca="1" si="6"/>
        <v>Behind</v>
      </c>
    </row>
    <row r="10" spans="1:14" x14ac:dyDescent="0.25">
      <c r="A10" s="24" t="s">
        <v>392</v>
      </c>
      <c r="B10" s="41" t="s">
        <v>391</v>
      </c>
      <c r="C10" s="70">
        <v>25000</v>
      </c>
      <c r="D10" s="70">
        <v>5000</v>
      </c>
      <c r="E10" s="23">
        <v>46517</v>
      </c>
      <c r="F10" s="42">
        <v>0</v>
      </c>
      <c r="G10" s="70">
        <v>3000</v>
      </c>
      <c r="H10" s="75">
        <f t="shared" si="0"/>
        <v>20000</v>
      </c>
      <c r="I10" s="29">
        <f t="shared" si="1"/>
        <v>0.2</v>
      </c>
      <c r="J10" s="43">
        <f t="shared" ca="1" si="2"/>
        <v>7</v>
      </c>
      <c r="K10" s="75">
        <f t="shared" ca="1" si="3"/>
        <v>2857.1428571428573</v>
      </c>
      <c r="L10" s="75">
        <f t="shared" ca="1" si="4"/>
        <v>26000</v>
      </c>
      <c r="M10" s="75">
        <f t="shared" ca="1" si="5"/>
        <v>1000</v>
      </c>
      <c r="N10" s="30" t="str">
        <f t="shared" ca="1" si="6"/>
        <v>On Track</v>
      </c>
    </row>
    <row r="11" spans="1:14" x14ac:dyDescent="0.25">
      <c r="A11" s="24" t="s">
        <v>393</v>
      </c>
      <c r="B11" s="41" t="s">
        <v>394</v>
      </c>
      <c r="C11" s="70">
        <v>60000</v>
      </c>
      <c r="D11" s="70">
        <v>20000</v>
      </c>
      <c r="E11" s="23">
        <v>46477</v>
      </c>
      <c r="F11" s="42">
        <v>0</v>
      </c>
      <c r="G11" s="70">
        <v>6000</v>
      </c>
      <c r="H11" s="75">
        <f t="shared" si="0"/>
        <v>40000</v>
      </c>
      <c r="I11" s="29">
        <f t="shared" si="1"/>
        <v>0.33333333333333331</v>
      </c>
      <c r="J11" s="43">
        <f t="shared" ca="1" si="2"/>
        <v>5</v>
      </c>
      <c r="K11" s="75">
        <f t="shared" ca="1" si="3"/>
        <v>8000</v>
      </c>
      <c r="L11" s="75">
        <f t="shared" ca="1" si="4"/>
        <v>50000</v>
      </c>
      <c r="M11" s="75">
        <f t="shared" ca="1" si="5"/>
        <v>-10000</v>
      </c>
      <c r="N11" s="30" t="str">
        <f t="shared" ca="1" si="6"/>
        <v>Slightly Behind</v>
      </c>
    </row>
    <row r="12" spans="1:14" x14ac:dyDescent="0.25">
      <c r="A12" s="24" t="s">
        <v>395</v>
      </c>
      <c r="B12" s="41" t="s">
        <v>394</v>
      </c>
      <c r="C12" s="70">
        <v>150000</v>
      </c>
      <c r="D12" s="70">
        <v>40000</v>
      </c>
      <c r="E12" s="23">
        <v>46721</v>
      </c>
      <c r="F12" s="42">
        <v>0</v>
      </c>
      <c r="G12" s="70">
        <v>7000</v>
      </c>
      <c r="H12" s="75">
        <f t="shared" si="0"/>
        <v>110000</v>
      </c>
      <c r="I12" s="29">
        <f t="shared" si="1"/>
        <v>0.26666666666666666</v>
      </c>
      <c r="J12" s="43">
        <f t="shared" ca="1" si="2"/>
        <v>13</v>
      </c>
      <c r="K12" s="75">
        <f t="shared" ca="1" si="3"/>
        <v>8461.538461538461</v>
      </c>
      <c r="L12" s="75">
        <f t="shared" ca="1" si="4"/>
        <v>131000</v>
      </c>
      <c r="M12" s="75">
        <f t="shared" ca="1" si="5"/>
        <v>-19000</v>
      </c>
      <c r="N12" s="30" t="str">
        <f t="shared" ca="1" si="6"/>
        <v>Slightly Behind</v>
      </c>
    </row>
    <row r="13" spans="1:14" x14ac:dyDescent="0.25">
      <c r="A13" s="24" t="s">
        <v>396</v>
      </c>
      <c r="B13" s="41" t="s">
        <v>391</v>
      </c>
      <c r="C13" s="70">
        <v>100000</v>
      </c>
      <c r="D13" s="70">
        <v>30000</v>
      </c>
      <c r="E13" s="23">
        <v>46568</v>
      </c>
      <c r="F13" s="42">
        <v>0.06</v>
      </c>
      <c r="G13" s="70">
        <v>8500</v>
      </c>
      <c r="H13" s="75">
        <f t="shared" si="0"/>
        <v>70000</v>
      </c>
      <c r="I13" s="29">
        <f t="shared" si="1"/>
        <v>0.3</v>
      </c>
      <c r="J13" s="43">
        <f t="shared" ca="1" si="2"/>
        <v>8</v>
      </c>
      <c r="K13" s="75">
        <f t="shared" ca="1" si="3"/>
        <v>8448.0205450703925</v>
      </c>
      <c r="L13" s="75">
        <f t="shared" ca="1" si="4"/>
        <v>100423.18599100583</v>
      </c>
      <c r="M13" s="75">
        <f t="shared" ca="1" si="5"/>
        <v>423.18599100582651</v>
      </c>
      <c r="N13" s="30" t="str">
        <f t="shared" ca="1" si="6"/>
        <v>On Track</v>
      </c>
    </row>
    <row r="14" spans="1:14" x14ac:dyDescent="0.25">
      <c r="A14" s="24"/>
      <c r="B14" s="41"/>
      <c r="C14" s="70"/>
      <c r="D14" s="70"/>
      <c r="E14" s="23"/>
      <c r="F14" s="42"/>
      <c r="G14" s="70"/>
      <c r="H14" s="75" t="str">
        <f t="shared" si="0"/>
        <v/>
      </c>
      <c r="I14" s="29" t="str">
        <f t="shared" si="1"/>
        <v/>
      </c>
      <c r="J14" s="43" t="str">
        <f t="shared" ca="1" si="2"/>
        <v/>
      </c>
      <c r="K14" s="75" t="str">
        <f t="shared" si="3"/>
        <v/>
      </c>
      <c r="L14" s="75" t="str">
        <f t="shared" si="4"/>
        <v/>
      </c>
      <c r="M14" s="75" t="str">
        <f t="shared" si="5"/>
        <v/>
      </c>
      <c r="N14" s="30" t="str">
        <f t="shared" si="6"/>
        <v/>
      </c>
    </row>
    <row r="15" spans="1:14" x14ac:dyDescent="0.25">
      <c r="A15" s="24"/>
      <c r="B15" s="41"/>
      <c r="C15" s="70"/>
      <c r="D15" s="70"/>
      <c r="E15" s="23"/>
      <c r="F15" s="42"/>
      <c r="G15" s="70"/>
      <c r="H15" s="75" t="str">
        <f t="shared" si="0"/>
        <v/>
      </c>
      <c r="I15" s="29" t="str">
        <f t="shared" si="1"/>
        <v/>
      </c>
      <c r="J15" s="43" t="str">
        <f t="shared" ca="1" si="2"/>
        <v/>
      </c>
      <c r="K15" s="75" t="str">
        <f t="shared" si="3"/>
        <v/>
      </c>
      <c r="L15" s="75" t="str">
        <f t="shared" si="4"/>
        <v/>
      </c>
      <c r="M15" s="75" t="str">
        <f t="shared" si="5"/>
        <v/>
      </c>
      <c r="N15" s="30" t="str">
        <f t="shared" si="6"/>
        <v/>
      </c>
    </row>
    <row r="16" spans="1:14" x14ac:dyDescent="0.25">
      <c r="A16" s="24"/>
      <c r="B16" s="41"/>
      <c r="C16" s="70"/>
      <c r="D16" s="70"/>
      <c r="E16" s="23"/>
      <c r="F16" s="42"/>
      <c r="G16" s="70"/>
      <c r="H16" s="75" t="str">
        <f t="shared" si="0"/>
        <v/>
      </c>
      <c r="I16" s="29" t="str">
        <f t="shared" si="1"/>
        <v/>
      </c>
      <c r="J16" s="43" t="str">
        <f t="shared" ca="1" si="2"/>
        <v/>
      </c>
      <c r="K16" s="75" t="str">
        <f t="shared" si="3"/>
        <v/>
      </c>
      <c r="L16" s="75" t="str">
        <f t="shared" si="4"/>
        <v/>
      </c>
      <c r="M16" s="75" t="str">
        <f t="shared" si="5"/>
        <v/>
      </c>
      <c r="N16" s="30" t="str">
        <f t="shared" si="6"/>
        <v/>
      </c>
    </row>
    <row r="17" spans="1:14" x14ac:dyDescent="0.25">
      <c r="A17" s="24"/>
      <c r="B17" s="41"/>
      <c r="C17" s="70"/>
      <c r="D17" s="70"/>
      <c r="E17" s="23"/>
      <c r="F17" s="42"/>
      <c r="G17" s="70"/>
      <c r="H17" s="75" t="str">
        <f t="shared" si="0"/>
        <v/>
      </c>
      <c r="I17" s="29" t="str">
        <f t="shared" si="1"/>
        <v/>
      </c>
      <c r="J17" s="43" t="str">
        <f t="shared" ca="1" si="2"/>
        <v/>
      </c>
      <c r="K17" s="75" t="str">
        <f t="shared" si="3"/>
        <v/>
      </c>
      <c r="L17" s="75" t="str">
        <f t="shared" si="4"/>
        <v/>
      </c>
      <c r="M17" s="75" t="str">
        <f t="shared" si="5"/>
        <v/>
      </c>
      <c r="N17" s="30" t="str">
        <f t="shared" si="6"/>
        <v/>
      </c>
    </row>
    <row r="18" spans="1:14" x14ac:dyDescent="0.25">
      <c r="A18" s="19" t="s">
        <v>397</v>
      </c>
      <c r="B18" s="19"/>
      <c r="C18" s="72">
        <f>SUM(C6:C17)</f>
        <v>7595000</v>
      </c>
      <c r="D18" s="72">
        <f>SUM(D6:D17)</f>
        <v>1112000</v>
      </c>
      <c r="E18" s="19"/>
      <c r="F18" s="19"/>
      <c r="G18" s="72">
        <f>SUM(G6:G17)</f>
        <v>57500</v>
      </c>
      <c r="H18" s="72">
        <f>SUM(H6:H17)</f>
        <v>6483000</v>
      </c>
      <c r="I18" s="33">
        <f>IF(C18=0,0,MIN(1,D18/C18))</f>
        <v>0.14641211323238973</v>
      </c>
      <c r="J18" s="19"/>
      <c r="K18" s="72">
        <f ca="1">SUM(K6:K17)</f>
        <v>114303.99288331888</v>
      </c>
      <c r="L18" s="72">
        <f ca="1">SUM(L6:L17)</f>
        <v>4945370.5969187897</v>
      </c>
      <c r="M18" s="72">
        <f ca="1">SUM(M6:M17)</f>
        <v>-2649629.4030812099</v>
      </c>
      <c r="N18" s="19"/>
    </row>
    <row r="20" spans="1:14" x14ac:dyDescent="0.25">
      <c r="A20" s="21" t="s">
        <v>398</v>
      </c>
    </row>
  </sheetData>
  <mergeCells count="2">
    <mergeCell ref="A1:N1"/>
    <mergeCell ref="A2:N2"/>
  </mergeCells>
  <conditionalFormatting sqref="I6:I17">
    <cfRule type="dataBar" priority="7">
      <dataBar>
        <cfvo type="num" val="0"/>
        <cfvo type="num" val="1"/>
        <color rgb="FF7FC4AB"/>
      </dataBar>
      <extLst>
        <ext xmlns:x14="http://schemas.microsoft.com/office/spreadsheetml/2009/9/main" uri="{B025F937-C7B1-47D3-B67F-A62EFF666E3E}">
          <x14:id>{7EF3DB9E-D0C8-4CBE-A348-27D11EBB13E1}</x14:id>
        </ext>
      </extLst>
    </cfRule>
  </conditionalFormatting>
  <conditionalFormatting sqref="M6:M18">
    <cfRule type="cellIs" dxfId="17" priority="8" operator="lessThan">
      <formula>0</formula>
    </cfRule>
  </conditionalFormatting>
  <conditionalFormatting sqref="N6:N17">
    <cfRule type="cellIs" dxfId="16" priority="2" operator="equal">
      <formula>"On Track"</formula>
    </cfRule>
    <cfRule type="cellIs" dxfId="15" priority="3" operator="equal">
      <formula>"Achieved"</formula>
    </cfRule>
    <cfRule type="cellIs" dxfId="14" priority="4" operator="equal">
      <formula>"Slightly Behind"</formula>
    </cfRule>
    <cfRule type="cellIs" dxfId="13" priority="5" operator="equal">
      <formula>"Behind"</formula>
    </cfRule>
    <cfRule type="cellIs" dxfId="12" priority="6" operator="equal">
      <formula>"Overdue"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3DB9E-D0C8-4CBE-A348-27D11EBB13E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FC4AB"/>
            </x14:dataBar>
          </x14:cfRule>
          <xm:sqref>I6:I17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pick a value from the dropdown list." xr:uid="{00000000-0002-0000-0600-000000000000}">
          <x14:formula1>
            <xm:f>Settings!$Z$4:$Z$6</xm:f>
          </x14:formula1>
          <x14:formula2>
            <xm:f>0</xm:f>
          </x14:formula2>
          <xm:sqref>B6:B17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8A200"/>
    <pageSetUpPr fitToPage="1"/>
  </sheetPr>
  <dimension ref="A1:N2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1" sqref="G21"/>
    </sheetView>
  </sheetViews>
  <sheetFormatPr defaultColWidth="8.7109375" defaultRowHeight="15" x14ac:dyDescent="0.25"/>
  <cols>
    <col min="1" max="1" width="36" customWidth="1"/>
    <col min="2" max="2" width="22" customWidth="1"/>
    <col min="3" max="3" width="18" customWidth="1"/>
    <col min="4" max="4" width="12" customWidth="1"/>
    <col min="5" max="5" width="11" customWidth="1"/>
    <col min="6" max="6" width="13" customWidth="1"/>
    <col min="7" max="7" width="15" customWidth="1"/>
    <col min="8" max="8" width="10" customWidth="1"/>
    <col min="9" max="9" width="18" customWidth="1"/>
    <col min="10" max="11" width="17" customWidth="1"/>
    <col min="12" max="12" width="13" customWidth="1"/>
    <col min="13" max="13" width="11" customWidth="1"/>
    <col min="14" max="14" width="14" customWidth="1"/>
  </cols>
  <sheetData>
    <row r="1" spans="1:14" ht="33.75" customHeight="1" x14ac:dyDescent="0.25">
      <c r="A1" s="81" t="s">
        <v>399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5.5" customHeight="1" x14ac:dyDescent="0.25">
      <c r="A2" s="82" t="s">
        <v>400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5" spans="1:14" ht="43.5" customHeight="1" x14ac:dyDescent="0.25">
      <c r="A5" s="13" t="s">
        <v>401</v>
      </c>
      <c r="B5" s="13" t="s">
        <v>402</v>
      </c>
      <c r="C5" s="13" t="s">
        <v>403</v>
      </c>
      <c r="D5" s="13" t="s">
        <v>404</v>
      </c>
      <c r="E5" s="13" t="s">
        <v>405</v>
      </c>
      <c r="F5" s="13" t="s">
        <v>406</v>
      </c>
      <c r="G5" s="13" t="s">
        <v>407</v>
      </c>
      <c r="H5" s="13" t="s">
        <v>408</v>
      </c>
      <c r="I5" s="13" t="s">
        <v>409</v>
      </c>
      <c r="J5" s="13" t="s">
        <v>410</v>
      </c>
      <c r="K5" s="13" t="s">
        <v>411</v>
      </c>
      <c r="L5" s="13" t="s">
        <v>412</v>
      </c>
      <c r="M5" s="13" t="s">
        <v>413</v>
      </c>
      <c r="N5" s="13" t="s">
        <v>414</v>
      </c>
    </row>
    <row r="6" spans="1:14" x14ac:dyDescent="0.25">
      <c r="A6" s="24" t="s">
        <v>415</v>
      </c>
      <c r="B6" s="24" t="s">
        <v>416</v>
      </c>
      <c r="C6" s="70">
        <v>250000</v>
      </c>
      <c r="D6" s="42">
        <v>0.14000000000000001</v>
      </c>
      <c r="E6" s="45">
        <v>36</v>
      </c>
      <c r="F6" s="46">
        <v>45996</v>
      </c>
      <c r="G6" s="75">
        <f t="shared" ref="G6:G15" si="0">IF(OR(C6="",E6=""),"",IF(D6=0,C6/E6,-PMT(D6/12,E6,C6)))</f>
        <v>8544.4074395064054</v>
      </c>
      <c r="H6" s="43">
        <f t="shared" ref="H6:H15" ca="1" si="1">IF(OR(C6="",F6=""),"",MAX(0,MIN(E6,(YEAR(TODAY())-YEAR(F6))*12+MONTH(TODAY())-MONTH(F6)+1)))</f>
        <v>11</v>
      </c>
      <c r="I6" s="75">
        <f t="shared" ref="I6:I15" ca="1" si="2">IF(OR(C6="",H6=""),"",IF(H6&gt;=E6,0,IF(D6=0,C6-G6*H6,FV(D6/12,H6,G6,-C6))))</f>
        <v>184354.33033032223</v>
      </c>
      <c r="J6" s="75">
        <f t="shared" ref="J6:J15" si="3">IF(G6="","",G6*E6-C6)</f>
        <v>57598.667822230607</v>
      </c>
      <c r="K6" s="75">
        <f t="shared" ref="K6:K15" si="4">IF(G6="","",G6*E6)</f>
        <v>307598.66782223061</v>
      </c>
      <c r="L6" s="47">
        <f t="shared" ref="L6:L15" si="5">IF(OR(C6="",F6=""),"",EDATE(F6,E6-1))</f>
        <v>47062</v>
      </c>
      <c r="M6" s="43">
        <f t="shared" ref="M6:M15" ca="1" si="6">IF(H6="","",E6-H6)</f>
        <v>25</v>
      </c>
      <c r="N6" s="8">
        <f t="shared" ref="N6:N15" ca="1" si="7">IF(OR(C6="",I6=""),"",IF(I6&lt;=0,"Paid off",1+COUNTIFS($D$6:$D$15,"&gt;"&amp;D6,$I$6:$I$15,"&gt;0")))</f>
        <v>2</v>
      </c>
    </row>
    <row r="7" spans="1:14" x14ac:dyDescent="0.25">
      <c r="A7" s="24" t="s">
        <v>417</v>
      </c>
      <c r="B7" s="24" t="s">
        <v>418</v>
      </c>
      <c r="C7" s="70">
        <v>200000</v>
      </c>
      <c r="D7" s="42">
        <v>0.13</v>
      </c>
      <c r="E7" s="45">
        <v>36</v>
      </c>
      <c r="F7" s="46">
        <v>46032</v>
      </c>
      <c r="G7" s="75">
        <f t="shared" si="0"/>
        <v>6738.7904006583549</v>
      </c>
      <c r="H7" s="43">
        <f t="shared" ca="1" si="1"/>
        <v>10</v>
      </c>
      <c r="I7" s="75">
        <f t="shared" ca="1" si="2"/>
        <v>151984.22484222063</v>
      </c>
      <c r="J7" s="75">
        <f t="shared" si="3"/>
        <v>42596.454423700779</v>
      </c>
      <c r="K7" s="75">
        <f t="shared" si="4"/>
        <v>242596.45442370078</v>
      </c>
      <c r="L7" s="47">
        <f t="shared" si="5"/>
        <v>47097</v>
      </c>
      <c r="M7" s="43">
        <f t="shared" ca="1" si="6"/>
        <v>26</v>
      </c>
      <c r="N7" s="8">
        <f t="shared" ca="1" si="7"/>
        <v>3</v>
      </c>
    </row>
    <row r="8" spans="1:14" x14ac:dyDescent="0.25">
      <c r="A8" s="24" t="s">
        <v>419</v>
      </c>
      <c r="B8" s="24" t="s">
        <v>156</v>
      </c>
      <c r="C8" s="70">
        <v>30000</v>
      </c>
      <c r="D8" s="42">
        <v>0.2</v>
      </c>
      <c r="E8" s="45">
        <v>12</v>
      </c>
      <c r="F8" s="46">
        <v>46204</v>
      </c>
      <c r="G8" s="75">
        <f t="shared" si="0"/>
        <v>2779.0351769124009</v>
      </c>
      <c r="H8" s="43">
        <f t="shared" ca="1" si="1"/>
        <v>4</v>
      </c>
      <c r="I8" s="75">
        <f t="shared" ca="1" si="2"/>
        <v>20653.412962262712</v>
      </c>
      <c r="J8" s="75">
        <f t="shared" si="3"/>
        <v>3348.4221229488103</v>
      </c>
      <c r="K8" s="75">
        <f t="shared" si="4"/>
        <v>33348.42212294881</v>
      </c>
      <c r="L8" s="47">
        <f t="shared" si="5"/>
        <v>46539</v>
      </c>
      <c r="M8" s="43">
        <f t="shared" ca="1" si="6"/>
        <v>8</v>
      </c>
      <c r="N8" s="8">
        <f t="shared" ca="1" si="7"/>
        <v>1</v>
      </c>
    </row>
    <row r="9" spans="1:14" x14ac:dyDescent="0.25">
      <c r="A9" s="24"/>
      <c r="B9" s="24"/>
      <c r="C9" s="70"/>
      <c r="D9" s="42"/>
      <c r="E9" s="45"/>
      <c r="F9" s="46"/>
      <c r="G9" s="75" t="str">
        <f t="shared" si="0"/>
        <v/>
      </c>
      <c r="H9" s="43" t="str">
        <f t="shared" ca="1" si="1"/>
        <v/>
      </c>
      <c r="I9" s="75" t="str">
        <f t="shared" ca="1" si="2"/>
        <v/>
      </c>
      <c r="J9" s="75" t="str">
        <f t="shared" si="3"/>
        <v/>
      </c>
      <c r="K9" s="75" t="str">
        <f t="shared" si="4"/>
        <v/>
      </c>
      <c r="L9" s="47" t="str">
        <f t="shared" si="5"/>
        <v/>
      </c>
      <c r="M9" s="43" t="str">
        <f t="shared" ca="1" si="6"/>
        <v/>
      </c>
      <c r="N9" s="8" t="str">
        <f t="shared" ca="1" si="7"/>
        <v/>
      </c>
    </row>
    <row r="10" spans="1:14" x14ac:dyDescent="0.25">
      <c r="A10" s="24"/>
      <c r="B10" s="24"/>
      <c r="C10" s="70"/>
      <c r="D10" s="42"/>
      <c r="E10" s="45"/>
      <c r="F10" s="46"/>
      <c r="G10" s="75" t="str">
        <f t="shared" si="0"/>
        <v/>
      </c>
      <c r="H10" s="43" t="str">
        <f t="shared" ca="1" si="1"/>
        <v/>
      </c>
      <c r="I10" s="75" t="str">
        <f t="shared" ca="1" si="2"/>
        <v/>
      </c>
      <c r="J10" s="75" t="str">
        <f t="shared" si="3"/>
        <v/>
      </c>
      <c r="K10" s="75" t="str">
        <f t="shared" si="4"/>
        <v/>
      </c>
      <c r="L10" s="47" t="str">
        <f t="shared" si="5"/>
        <v/>
      </c>
      <c r="M10" s="43" t="str">
        <f t="shared" ca="1" si="6"/>
        <v/>
      </c>
      <c r="N10" s="8" t="str">
        <f t="shared" ca="1" si="7"/>
        <v/>
      </c>
    </row>
    <row r="11" spans="1:14" x14ac:dyDescent="0.25">
      <c r="A11" s="24"/>
      <c r="B11" s="24"/>
      <c r="C11" s="70"/>
      <c r="D11" s="42"/>
      <c r="E11" s="45"/>
      <c r="F11" s="46"/>
      <c r="G11" s="75" t="str">
        <f t="shared" si="0"/>
        <v/>
      </c>
      <c r="H11" s="43" t="str">
        <f t="shared" ca="1" si="1"/>
        <v/>
      </c>
      <c r="I11" s="75" t="str">
        <f t="shared" ca="1" si="2"/>
        <v/>
      </c>
      <c r="J11" s="75" t="str">
        <f t="shared" si="3"/>
        <v/>
      </c>
      <c r="K11" s="75" t="str">
        <f t="shared" si="4"/>
        <v/>
      </c>
      <c r="L11" s="47" t="str">
        <f t="shared" si="5"/>
        <v/>
      </c>
      <c r="M11" s="43" t="str">
        <f t="shared" ca="1" si="6"/>
        <v/>
      </c>
      <c r="N11" s="8" t="str">
        <f t="shared" ca="1" si="7"/>
        <v/>
      </c>
    </row>
    <row r="12" spans="1:14" x14ac:dyDescent="0.25">
      <c r="A12" s="24"/>
      <c r="B12" s="24"/>
      <c r="C12" s="70"/>
      <c r="D12" s="42"/>
      <c r="E12" s="45"/>
      <c r="F12" s="46"/>
      <c r="G12" s="75" t="str">
        <f t="shared" si="0"/>
        <v/>
      </c>
      <c r="H12" s="43" t="str">
        <f t="shared" ca="1" si="1"/>
        <v/>
      </c>
      <c r="I12" s="75" t="str">
        <f t="shared" ca="1" si="2"/>
        <v/>
      </c>
      <c r="J12" s="75" t="str">
        <f t="shared" si="3"/>
        <v/>
      </c>
      <c r="K12" s="75" t="str">
        <f t="shared" si="4"/>
        <v/>
      </c>
      <c r="L12" s="47" t="str">
        <f t="shared" si="5"/>
        <v/>
      </c>
      <c r="M12" s="43" t="str">
        <f t="shared" ca="1" si="6"/>
        <v/>
      </c>
      <c r="N12" s="8" t="str">
        <f t="shared" ca="1" si="7"/>
        <v/>
      </c>
    </row>
    <row r="13" spans="1:14" x14ac:dyDescent="0.25">
      <c r="A13" s="24"/>
      <c r="B13" s="24"/>
      <c r="C13" s="70"/>
      <c r="D13" s="42"/>
      <c r="E13" s="45"/>
      <c r="F13" s="46"/>
      <c r="G13" s="75" t="str">
        <f t="shared" si="0"/>
        <v/>
      </c>
      <c r="H13" s="43" t="str">
        <f t="shared" ca="1" si="1"/>
        <v/>
      </c>
      <c r="I13" s="75" t="str">
        <f t="shared" ca="1" si="2"/>
        <v/>
      </c>
      <c r="J13" s="75" t="str">
        <f t="shared" si="3"/>
        <v/>
      </c>
      <c r="K13" s="75" t="str">
        <f t="shared" si="4"/>
        <v/>
      </c>
      <c r="L13" s="47" t="str">
        <f t="shared" si="5"/>
        <v/>
      </c>
      <c r="M13" s="43" t="str">
        <f t="shared" ca="1" si="6"/>
        <v/>
      </c>
      <c r="N13" s="8" t="str">
        <f t="shared" ca="1" si="7"/>
        <v/>
      </c>
    </row>
    <row r="14" spans="1:14" x14ac:dyDescent="0.25">
      <c r="A14" s="24"/>
      <c r="B14" s="24"/>
      <c r="C14" s="70"/>
      <c r="D14" s="42"/>
      <c r="E14" s="45"/>
      <c r="F14" s="46"/>
      <c r="G14" s="75" t="str">
        <f t="shared" si="0"/>
        <v/>
      </c>
      <c r="H14" s="43" t="str">
        <f t="shared" ca="1" si="1"/>
        <v/>
      </c>
      <c r="I14" s="75" t="str">
        <f t="shared" ca="1" si="2"/>
        <v/>
      </c>
      <c r="J14" s="75" t="str">
        <f t="shared" si="3"/>
        <v/>
      </c>
      <c r="K14" s="75" t="str">
        <f t="shared" si="4"/>
        <v/>
      </c>
      <c r="L14" s="47" t="str">
        <f t="shared" si="5"/>
        <v/>
      </c>
      <c r="M14" s="43" t="str">
        <f t="shared" ca="1" si="6"/>
        <v/>
      </c>
      <c r="N14" s="8" t="str">
        <f t="shared" ca="1" si="7"/>
        <v/>
      </c>
    </row>
    <row r="15" spans="1:14" x14ac:dyDescent="0.25">
      <c r="A15" s="24"/>
      <c r="B15" s="24"/>
      <c r="C15" s="70"/>
      <c r="D15" s="42"/>
      <c r="E15" s="45"/>
      <c r="F15" s="46"/>
      <c r="G15" s="75" t="str">
        <f t="shared" si="0"/>
        <v/>
      </c>
      <c r="H15" s="43" t="str">
        <f t="shared" ca="1" si="1"/>
        <v/>
      </c>
      <c r="I15" s="75" t="str">
        <f t="shared" ca="1" si="2"/>
        <v/>
      </c>
      <c r="J15" s="75" t="str">
        <f t="shared" si="3"/>
        <v/>
      </c>
      <c r="K15" s="75" t="str">
        <f t="shared" si="4"/>
        <v/>
      </c>
      <c r="L15" s="47" t="str">
        <f t="shared" si="5"/>
        <v/>
      </c>
      <c r="M15" s="43" t="str">
        <f t="shared" ca="1" si="6"/>
        <v/>
      </c>
      <c r="N15" s="8" t="str">
        <f t="shared" ca="1" si="7"/>
        <v/>
      </c>
    </row>
    <row r="16" spans="1:14" x14ac:dyDescent="0.25">
      <c r="A16" s="19" t="s">
        <v>59</v>
      </c>
      <c r="B16" s="19"/>
      <c r="C16" s="72">
        <f>SUM(C6:C15)</f>
        <v>480000</v>
      </c>
      <c r="D16" s="19"/>
      <c r="E16" s="19"/>
      <c r="F16" s="19"/>
      <c r="G16" s="72">
        <f>SUM(G6:G15)</f>
        <v>18062.23301707716</v>
      </c>
      <c r="H16" s="19"/>
      <c r="I16" s="72">
        <f ca="1">SUM(I6:I15)</f>
        <v>356991.96813480556</v>
      </c>
      <c r="J16" s="72">
        <f>SUM(J6:J15)</f>
        <v>103543.54436888019</v>
      </c>
      <c r="K16" s="72">
        <f>SUM(K6:K15)</f>
        <v>583543.54436888022</v>
      </c>
      <c r="L16" s="19"/>
      <c r="M16" s="19"/>
      <c r="N16" s="19"/>
    </row>
    <row r="18" spans="1:3" x14ac:dyDescent="0.25">
      <c r="A18" s="1" t="s">
        <v>420</v>
      </c>
      <c r="B18" s="1"/>
      <c r="C18" s="1"/>
    </row>
    <row r="19" spans="1:3" x14ac:dyDescent="0.25">
      <c r="A19" s="7" t="s">
        <v>421</v>
      </c>
      <c r="B19" s="7"/>
      <c r="C19" s="75">
        <f>G16</f>
        <v>18062.23301707716</v>
      </c>
    </row>
    <row r="20" spans="1:3" x14ac:dyDescent="0.25">
      <c r="A20" s="7" t="s">
        <v>422</v>
      </c>
      <c r="B20" s="7"/>
      <c r="C20" s="71">
        <f>'Monthly Summary'!$B$19</f>
        <v>140187.4</v>
      </c>
    </row>
    <row r="21" spans="1:3" x14ac:dyDescent="0.25">
      <c r="A21" s="26" t="s">
        <v>423</v>
      </c>
      <c r="B21" s="7"/>
      <c r="C21" s="48">
        <f>IF(C20=0,0,C19/C20)</f>
        <v>0.12884348391565262</v>
      </c>
    </row>
    <row r="22" spans="1:3" x14ac:dyDescent="0.25">
      <c r="A22" s="7" t="s">
        <v>424</v>
      </c>
      <c r="B22" s="7"/>
      <c r="C22" s="37">
        <f>Settings!$B$9</f>
        <v>0.4</v>
      </c>
    </row>
    <row r="23" spans="1:3" x14ac:dyDescent="0.25">
      <c r="A23" s="7" t="s">
        <v>118</v>
      </c>
      <c r="B23" s="7"/>
      <c r="C23" s="15" t="str">
        <f>IF(C21&lt;=C22,"HEALTHY","TOO HIGH")</f>
        <v>HEALTHY</v>
      </c>
    </row>
    <row r="24" spans="1:3" x14ac:dyDescent="0.25">
      <c r="A24" s="7" t="s">
        <v>425</v>
      </c>
      <c r="B24" s="7"/>
      <c r="C24" s="47">
        <f>IF(COUNT(L6:L15)=0,"-",MAX(L6:L15))</f>
        <v>47097</v>
      </c>
    </row>
    <row r="26" spans="1:3" x14ac:dyDescent="0.25">
      <c r="A26" s="21" t="s">
        <v>426</v>
      </c>
    </row>
  </sheetData>
  <mergeCells count="2">
    <mergeCell ref="A1:N1"/>
    <mergeCell ref="A2:N2"/>
  </mergeCells>
  <conditionalFormatting sqref="C23">
    <cfRule type="cellIs" dxfId="11" priority="2" operator="equal">
      <formula>"HEALTHY"</formula>
    </cfRule>
    <cfRule type="cellIs" dxfId="10" priority="3" operator="equal">
      <formula>"TOO HIGH"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pick a value from the dropdown list." xr:uid="{00000000-0002-0000-0700-000000000000}">
          <x14:formula1>
            <xm:f>Settings!$T$4:$T$13</xm:f>
          </x14:formula1>
          <x14:formula2>
            <xm:f>0</xm:f>
          </x14:formula2>
          <xm:sqref>B6:B15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8A200"/>
    <pageSetUpPr fitToPage="1"/>
  </sheetPr>
  <dimension ref="A1:R21"/>
  <sheetViews>
    <sheetView showGridLines="0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K22" sqref="K22"/>
    </sheetView>
  </sheetViews>
  <sheetFormatPr defaultColWidth="8.7109375" defaultRowHeight="15" x14ac:dyDescent="0.25"/>
  <cols>
    <col min="1" max="1" width="32" customWidth="1"/>
    <col min="2" max="2" width="26" customWidth="1"/>
    <col min="3" max="3" width="17" customWidth="1"/>
    <col min="4" max="4" width="32" customWidth="1"/>
    <col min="5" max="5" width="20.5703125" bestFit="1" customWidth="1"/>
    <col min="6" max="6" width="8" bestFit="1" customWidth="1"/>
    <col min="7" max="7" width="8.7109375" bestFit="1" customWidth="1"/>
    <col min="8" max="8" width="11.28515625" bestFit="1" customWidth="1"/>
    <col min="9" max="9" width="12.5703125" bestFit="1" customWidth="1"/>
    <col min="10" max="10" width="9.140625" bestFit="1" customWidth="1"/>
    <col min="11" max="12" width="17.42578125" bestFit="1" customWidth="1"/>
    <col min="13" max="13" width="15.7109375" bestFit="1" customWidth="1"/>
    <col min="14" max="14" width="14.7109375" bestFit="1" customWidth="1"/>
    <col min="15" max="15" width="17.42578125" bestFit="1" customWidth="1"/>
    <col min="16" max="16" width="13.140625" bestFit="1" customWidth="1"/>
    <col min="17" max="17" width="11.42578125" bestFit="1" customWidth="1"/>
    <col min="18" max="18" width="15" bestFit="1" customWidth="1"/>
  </cols>
  <sheetData>
    <row r="1" spans="1:18" ht="33.75" customHeight="1" x14ac:dyDescent="0.25">
      <c r="A1" s="81" t="s">
        <v>427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25.5" customHeight="1" x14ac:dyDescent="0.25">
      <c r="A2" s="82" t="s">
        <v>428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5" spans="1:18" ht="57.75" customHeight="1" x14ac:dyDescent="0.25">
      <c r="A5" s="13" t="s">
        <v>429</v>
      </c>
      <c r="B5" s="13" t="s">
        <v>430</v>
      </c>
      <c r="C5" s="13" t="s">
        <v>140</v>
      </c>
      <c r="D5" s="13" t="s">
        <v>431</v>
      </c>
      <c r="E5" s="13" t="s">
        <v>432</v>
      </c>
      <c r="F5" s="13" t="s">
        <v>433</v>
      </c>
      <c r="G5" s="13" t="s">
        <v>405</v>
      </c>
      <c r="H5" s="13" t="s">
        <v>434</v>
      </c>
      <c r="I5" s="13" t="s">
        <v>435</v>
      </c>
      <c r="J5" s="13" t="s">
        <v>436</v>
      </c>
      <c r="K5" s="13" t="s">
        <v>437</v>
      </c>
      <c r="L5" s="13" t="s">
        <v>438</v>
      </c>
      <c r="M5" s="13" t="s">
        <v>439</v>
      </c>
      <c r="N5" s="13" t="s">
        <v>440</v>
      </c>
      <c r="O5" s="13" t="s">
        <v>441</v>
      </c>
      <c r="P5" s="13" t="s">
        <v>442</v>
      </c>
      <c r="Q5" s="13" t="s">
        <v>443</v>
      </c>
      <c r="R5" s="13" t="s">
        <v>444</v>
      </c>
    </row>
    <row r="6" spans="1:18" x14ac:dyDescent="0.25">
      <c r="A6" s="24" t="s">
        <v>445</v>
      </c>
      <c r="B6" s="24" t="s">
        <v>174</v>
      </c>
      <c r="C6" s="24" t="s">
        <v>446</v>
      </c>
      <c r="D6" s="24" t="s">
        <v>447</v>
      </c>
      <c r="E6" s="70">
        <v>5000</v>
      </c>
      <c r="F6" s="49">
        <v>8.5000000000000006E-2</v>
      </c>
      <c r="G6" s="45">
        <v>60</v>
      </c>
      <c r="H6" s="23">
        <v>45843</v>
      </c>
      <c r="I6" s="45"/>
      <c r="J6" s="37">
        <f>Settings!$B$39</f>
        <v>0.1</v>
      </c>
      <c r="K6" s="75">
        <f t="shared" ref="K6:K17" si="0">IF(E6="","",IF(LEFT(D6,7)="Monthly",E6*G6,E6))</f>
        <v>300000</v>
      </c>
      <c r="L6" s="75">
        <f t="shared" ref="L6:L17" si="1">IF(OR(E6="",F6="",G6=""),"",IF(LEFT(D6,7)="Monthly",FV(F6/12,G6,-E6,0,1),IF(LEFT(D6,6)="Simple",E6*(1+F6*G6/12),E6*(1+F6/MAX(1,N(I6)))^(MAX(1,N(I6))*G6/12))))</f>
        <v>374848.68971792998</v>
      </c>
      <c r="M6" s="75">
        <f t="shared" ref="M6:M17" si="2">IF(L6="","",L6-K6)</f>
        <v>74848.689717929985</v>
      </c>
      <c r="N6" s="75">
        <f t="shared" ref="N6:N17" si="3">IF(M6="","",M6*N(J6))</f>
        <v>7484.8689717929992</v>
      </c>
      <c r="O6" s="75">
        <f t="shared" ref="O6:O17" si="4">IF(L6="","",L6-N6)</f>
        <v>367363.820746137</v>
      </c>
      <c r="P6" s="50">
        <f t="shared" ref="P6:P17" si="5">IF(OR(E6="",H6="",G6=""),"",EDATE(H6,G6))</f>
        <v>47669</v>
      </c>
      <c r="Q6" s="36">
        <f t="shared" ref="Q6:Q17" si="6">IF(OR(K6="",K6=0),"",(O6-K6)/K6)</f>
        <v>0.22454606915379002</v>
      </c>
      <c r="R6" s="37">
        <f>IF(OR(E6="",F6=""),"",(1+F6*(1-N(J6)))/(1+Settings!$B$10)-1)</f>
        <v>-7.834101382488412E-3</v>
      </c>
    </row>
    <row r="7" spans="1:18" x14ac:dyDescent="0.25">
      <c r="A7" s="24" t="s">
        <v>448</v>
      </c>
      <c r="B7" s="24" t="s">
        <v>449</v>
      </c>
      <c r="C7" s="24" t="s">
        <v>450</v>
      </c>
      <c r="D7" s="24" t="s">
        <v>451</v>
      </c>
      <c r="E7" s="70">
        <v>500000</v>
      </c>
      <c r="F7" s="49">
        <v>0.09</v>
      </c>
      <c r="G7" s="45">
        <v>12</v>
      </c>
      <c r="H7" s="23">
        <v>46106</v>
      </c>
      <c r="I7" s="45">
        <v>4</v>
      </c>
      <c r="J7" s="37">
        <f>Settings!$B$39</f>
        <v>0.1</v>
      </c>
      <c r="K7" s="75">
        <f t="shared" si="0"/>
        <v>500000</v>
      </c>
      <c r="L7" s="75">
        <f t="shared" si="1"/>
        <v>546541.65939453116</v>
      </c>
      <c r="M7" s="75">
        <f t="shared" si="2"/>
        <v>46541.659394531162</v>
      </c>
      <c r="N7" s="75">
        <f t="shared" si="3"/>
        <v>4654.1659394531162</v>
      </c>
      <c r="O7" s="75">
        <f t="shared" si="4"/>
        <v>541887.49345507799</v>
      </c>
      <c r="P7" s="50">
        <f t="shared" si="5"/>
        <v>46471</v>
      </c>
      <c r="Q7" s="36">
        <f t="shared" si="6"/>
        <v>8.3774986910155974E-2</v>
      </c>
      <c r="R7" s="37">
        <f>IF(OR(E7="",F7=""),"",(1+F7*(1-N(J7)))/(1+Settings!$B$10)-1)</f>
        <v>-3.6866359447004227E-3</v>
      </c>
    </row>
    <row r="8" spans="1:18" x14ac:dyDescent="0.25">
      <c r="A8" s="24" t="s">
        <v>452</v>
      </c>
      <c r="B8" s="24" t="s">
        <v>453</v>
      </c>
      <c r="C8" s="24" t="s">
        <v>454</v>
      </c>
      <c r="D8" s="24" t="s">
        <v>455</v>
      </c>
      <c r="E8" s="70">
        <v>300000</v>
      </c>
      <c r="F8" s="49">
        <v>0.1152</v>
      </c>
      <c r="G8" s="45">
        <v>60</v>
      </c>
      <c r="H8" s="23">
        <v>45945</v>
      </c>
      <c r="I8" s="45"/>
      <c r="J8" s="37">
        <f>Settings!$B$40</f>
        <v>0.1</v>
      </c>
      <c r="K8" s="75">
        <f t="shared" si="0"/>
        <v>300000</v>
      </c>
      <c r="L8" s="75">
        <f t="shared" si="1"/>
        <v>472800</v>
      </c>
      <c r="M8" s="75">
        <f t="shared" si="2"/>
        <v>172800</v>
      </c>
      <c r="N8" s="75">
        <f t="shared" si="3"/>
        <v>17280</v>
      </c>
      <c r="O8" s="75">
        <f t="shared" si="4"/>
        <v>455520</v>
      </c>
      <c r="P8" s="50">
        <f t="shared" si="5"/>
        <v>47771</v>
      </c>
      <c r="Q8" s="36">
        <f t="shared" si="6"/>
        <v>0.51839999999999997</v>
      </c>
      <c r="R8" s="37">
        <f>IF(OR(E8="",F8=""),"",(1+F8*(1-N(J8)))/(1+Settings!$B$10)-1)</f>
        <v>1.7216589861751119E-2</v>
      </c>
    </row>
    <row r="9" spans="1:18" x14ac:dyDescent="0.25">
      <c r="A9" s="24"/>
      <c r="B9" s="24"/>
      <c r="C9" s="24"/>
      <c r="D9" s="24"/>
      <c r="E9" s="70"/>
      <c r="F9" s="49"/>
      <c r="G9" s="45"/>
      <c r="H9" s="23"/>
      <c r="I9" s="45"/>
      <c r="J9" s="42"/>
      <c r="K9" s="75" t="str">
        <f t="shared" si="0"/>
        <v/>
      </c>
      <c r="L9" s="75" t="str">
        <f t="shared" si="1"/>
        <v/>
      </c>
      <c r="M9" s="75" t="str">
        <f t="shared" si="2"/>
        <v/>
      </c>
      <c r="N9" s="75" t="str">
        <f t="shared" si="3"/>
        <v/>
      </c>
      <c r="O9" s="75" t="str">
        <f t="shared" si="4"/>
        <v/>
      </c>
      <c r="P9" s="50" t="str">
        <f t="shared" si="5"/>
        <v/>
      </c>
      <c r="Q9" s="36" t="str">
        <f t="shared" si="6"/>
        <v/>
      </c>
      <c r="R9" s="37" t="str">
        <f>IF(OR(E9="",F9=""),"",(1+F9*(1-N(J9)))/(1+Settings!$B$10)-1)</f>
        <v/>
      </c>
    </row>
    <row r="10" spans="1:18" x14ac:dyDescent="0.25">
      <c r="A10" s="24"/>
      <c r="B10" s="24"/>
      <c r="C10" s="24"/>
      <c r="D10" s="24"/>
      <c r="E10" s="70"/>
      <c r="F10" s="49"/>
      <c r="G10" s="45"/>
      <c r="H10" s="23"/>
      <c r="I10" s="45"/>
      <c r="J10" s="42"/>
      <c r="K10" s="75" t="str">
        <f t="shared" si="0"/>
        <v/>
      </c>
      <c r="L10" s="75" t="str">
        <f t="shared" si="1"/>
        <v/>
      </c>
      <c r="M10" s="75" t="str">
        <f t="shared" si="2"/>
        <v/>
      </c>
      <c r="N10" s="75" t="str">
        <f t="shared" si="3"/>
        <v/>
      </c>
      <c r="O10" s="75" t="str">
        <f t="shared" si="4"/>
        <v/>
      </c>
      <c r="P10" s="50" t="str">
        <f t="shared" si="5"/>
        <v/>
      </c>
      <c r="Q10" s="36" t="str">
        <f t="shared" si="6"/>
        <v/>
      </c>
      <c r="R10" s="37" t="str">
        <f>IF(OR(E10="",F10=""),"",(1+F10*(1-N(J10)))/(1+Settings!$B$10)-1)</f>
        <v/>
      </c>
    </row>
    <row r="11" spans="1:18" x14ac:dyDescent="0.25">
      <c r="A11" s="24"/>
      <c r="B11" s="24"/>
      <c r="C11" s="24"/>
      <c r="D11" s="24"/>
      <c r="E11" s="70"/>
      <c r="F11" s="49"/>
      <c r="G11" s="45"/>
      <c r="H11" s="23"/>
      <c r="I11" s="45"/>
      <c r="J11" s="42"/>
      <c r="K11" s="75" t="str">
        <f t="shared" si="0"/>
        <v/>
      </c>
      <c r="L11" s="75" t="str">
        <f t="shared" si="1"/>
        <v/>
      </c>
      <c r="M11" s="75" t="str">
        <f t="shared" si="2"/>
        <v/>
      </c>
      <c r="N11" s="75" t="str">
        <f t="shared" si="3"/>
        <v/>
      </c>
      <c r="O11" s="75" t="str">
        <f t="shared" si="4"/>
        <v/>
      </c>
      <c r="P11" s="50" t="str">
        <f t="shared" si="5"/>
        <v/>
      </c>
      <c r="Q11" s="36" t="str">
        <f t="shared" si="6"/>
        <v/>
      </c>
      <c r="R11" s="37" t="str">
        <f>IF(OR(E11="",F11=""),"",(1+F11*(1-N(J11)))/(1+Settings!$B$10)-1)</f>
        <v/>
      </c>
    </row>
    <row r="12" spans="1:18" x14ac:dyDescent="0.25">
      <c r="A12" s="24"/>
      <c r="B12" s="24"/>
      <c r="C12" s="24"/>
      <c r="D12" s="24"/>
      <c r="E12" s="70"/>
      <c r="F12" s="49"/>
      <c r="G12" s="45"/>
      <c r="H12" s="23"/>
      <c r="I12" s="45"/>
      <c r="J12" s="42"/>
      <c r="K12" s="75" t="str">
        <f t="shared" si="0"/>
        <v/>
      </c>
      <c r="L12" s="75" t="str">
        <f t="shared" si="1"/>
        <v/>
      </c>
      <c r="M12" s="75" t="str">
        <f t="shared" si="2"/>
        <v/>
      </c>
      <c r="N12" s="75" t="str">
        <f t="shared" si="3"/>
        <v/>
      </c>
      <c r="O12" s="75" t="str">
        <f t="shared" si="4"/>
        <v/>
      </c>
      <c r="P12" s="50" t="str">
        <f t="shared" si="5"/>
        <v/>
      </c>
      <c r="Q12" s="36" t="str">
        <f t="shared" si="6"/>
        <v/>
      </c>
      <c r="R12" s="37" t="str">
        <f>IF(OR(E12="",F12=""),"",(1+F12*(1-N(J12)))/(1+Settings!$B$10)-1)</f>
        <v/>
      </c>
    </row>
    <row r="13" spans="1:18" x14ac:dyDescent="0.25">
      <c r="A13" s="24"/>
      <c r="B13" s="24"/>
      <c r="C13" s="24"/>
      <c r="D13" s="24"/>
      <c r="E13" s="70"/>
      <c r="F13" s="49"/>
      <c r="G13" s="45"/>
      <c r="H13" s="23"/>
      <c r="I13" s="45"/>
      <c r="J13" s="42"/>
      <c r="K13" s="75" t="str">
        <f t="shared" si="0"/>
        <v/>
      </c>
      <c r="L13" s="75" t="str">
        <f t="shared" si="1"/>
        <v/>
      </c>
      <c r="M13" s="75" t="str">
        <f t="shared" si="2"/>
        <v/>
      </c>
      <c r="N13" s="75" t="str">
        <f t="shared" si="3"/>
        <v/>
      </c>
      <c r="O13" s="75" t="str">
        <f t="shared" si="4"/>
        <v/>
      </c>
      <c r="P13" s="50" t="str">
        <f t="shared" si="5"/>
        <v/>
      </c>
      <c r="Q13" s="36" t="str">
        <f t="shared" si="6"/>
        <v/>
      </c>
      <c r="R13" s="37" t="str">
        <f>IF(OR(E13="",F13=""),"",(1+F13*(1-N(J13)))/(1+Settings!$B$10)-1)</f>
        <v/>
      </c>
    </row>
    <row r="14" spans="1:18" x14ac:dyDescent="0.25">
      <c r="A14" s="24"/>
      <c r="B14" s="24"/>
      <c r="C14" s="24"/>
      <c r="D14" s="24"/>
      <c r="E14" s="70"/>
      <c r="F14" s="49"/>
      <c r="G14" s="45"/>
      <c r="H14" s="23"/>
      <c r="I14" s="45"/>
      <c r="J14" s="42"/>
      <c r="K14" s="75" t="str">
        <f t="shared" si="0"/>
        <v/>
      </c>
      <c r="L14" s="75" t="str">
        <f t="shared" si="1"/>
        <v/>
      </c>
      <c r="M14" s="75" t="str">
        <f t="shared" si="2"/>
        <v/>
      </c>
      <c r="N14" s="75" t="str">
        <f t="shared" si="3"/>
        <v/>
      </c>
      <c r="O14" s="75" t="str">
        <f t="shared" si="4"/>
        <v/>
      </c>
      <c r="P14" s="50" t="str">
        <f t="shared" si="5"/>
        <v/>
      </c>
      <c r="Q14" s="36" t="str">
        <f t="shared" si="6"/>
        <v/>
      </c>
      <c r="R14" s="37" t="str">
        <f>IF(OR(E14="",F14=""),"",(1+F14*(1-N(J14)))/(1+Settings!$B$10)-1)</f>
        <v/>
      </c>
    </row>
    <row r="15" spans="1:18" x14ac:dyDescent="0.25">
      <c r="A15" s="24"/>
      <c r="B15" s="24"/>
      <c r="C15" s="24"/>
      <c r="D15" s="24"/>
      <c r="E15" s="70"/>
      <c r="F15" s="49"/>
      <c r="G15" s="45"/>
      <c r="H15" s="23"/>
      <c r="I15" s="45"/>
      <c r="J15" s="42"/>
      <c r="K15" s="75" t="str">
        <f t="shared" si="0"/>
        <v/>
      </c>
      <c r="L15" s="75" t="str">
        <f t="shared" si="1"/>
        <v/>
      </c>
      <c r="M15" s="75" t="str">
        <f t="shared" si="2"/>
        <v/>
      </c>
      <c r="N15" s="75" t="str">
        <f t="shared" si="3"/>
        <v/>
      </c>
      <c r="O15" s="75" t="str">
        <f t="shared" si="4"/>
        <v/>
      </c>
      <c r="P15" s="50" t="str">
        <f t="shared" si="5"/>
        <v/>
      </c>
      <c r="Q15" s="36" t="str">
        <f t="shared" si="6"/>
        <v/>
      </c>
      <c r="R15" s="37" t="str">
        <f>IF(OR(E15="",F15=""),"",(1+F15*(1-N(J15)))/(1+Settings!$B$10)-1)</f>
        <v/>
      </c>
    </row>
    <row r="16" spans="1:18" x14ac:dyDescent="0.25">
      <c r="A16" s="24"/>
      <c r="B16" s="24"/>
      <c r="C16" s="24"/>
      <c r="D16" s="24"/>
      <c r="E16" s="70"/>
      <c r="F16" s="49"/>
      <c r="G16" s="45"/>
      <c r="H16" s="23"/>
      <c r="I16" s="45"/>
      <c r="J16" s="42"/>
      <c r="K16" s="75" t="str">
        <f t="shared" si="0"/>
        <v/>
      </c>
      <c r="L16" s="75" t="str">
        <f t="shared" si="1"/>
        <v/>
      </c>
      <c r="M16" s="75" t="str">
        <f t="shared" si="2"/>
        <v/>
      </c>
      <c r="N16" s="75" t="str">
        <f t="shared" si="3"/>
        <v/>
      </c>
      <c r="O16" s="75" t="str">
        <f t="shared" si="4"/>
        <v/>
      </c>
      <c r="P16" s="50" t="str">
        <f t="shared" si="5"/>
        <v/>
      </c>
      <c r="Q16" s="36" t="str">
        <f t="shared" si="6"/>
        <v/>
      </c>
      <c r="R16" s="37" t="str">
        <f>IF(OR(E16="",F16=""),"",(1+F16*(1-N(J16)))/(1+Settings!$B$10)-1)</f>
        <v/>
      </c>
    </row>
    <row r="17" spans="1:18" x14ac:dyDescent="0.25">
      <c r="A17" s="24"/>
      <c r="B17" s="24"/>
      <c r="C17" s="24"/>
      <c r="D17" s="24"/>
      <c r="E17" s="70"/>
      <c r="F17" s="49"/>
      <c r="G17" s="45"/>
      <c r="H17" s="23"/>
      <c r="I17" s="45"/>
      <c r="J17" s="42"/>
      <c r="K17" s="75" t="str">
        <f t="shared" si="0"/>
        <v/>
      </c>
      <c r="L17" s="75" t="str">
        <f t="shared" si="1"/>
        <v/>
      </c>
      <c r="M17" s="75" t="str">
        <f t="shared" si="2"/>
        <v/>
      </c>
      <c r="N17" s="75" t="str">
        <f t="shared" si="3"/>
        <v/>
      </c>
      <c r="O17" s="75" t="str">
        <f t="shared" si="4"/>
        <v/>
      </c>
      <c r="P17" s="50" t="str">
        <f t="shared" si="5"/>
        <v/>
      </c>
      <c r="Q17" s="36" t="str">
        <f t="shared" si="6"/>
        <v/>
      </c>
      <c r="R17" s="37" t="str">
        <f>IF(OR(E17="",F17=""),"",(1+F17*(1-N(J17)))/(1+Settings!$B$10)-1)</f>
        <v/>
      </c>
    </row>
    <row r="18" spans="1:18" x14ac:dyDescent="0.25">
      <c r="A18" s="19" t="s">
        <v>59</v>
      </c>
      <c r="B18" s="19"/>
      <c r="C18" s="19"/>
      <c r="D18" s="19"/>
      <c r="E18" s="72"/>
      <c r="F18" s="19"/>
      <c r="G18" s="19"/>
      <c r="H18" s="19"/>
      <c r="I18" s="19"/>
      <c r="J18" s="19"/>
      <c r="K18" s="72">
        <f>SUM(K6:K17)</f>
        <v>1100000</v>
      </c>
      <c r="L18" s="72">
        <f>SUM(L6:L17)</f>
        <v>1394190.3491124611</v>
      </c>
      <c r="M18" s="72">
        <f>SUM(M6:M17)</f>
        <v>294190.34911246115</v>
      </c>
      <c r="N18" s="72">
        <f>SUM(N6:N17)</f>
        <v>29419.034911246115</v>
      </c>
      <c r="O18" s="72">
        <f>SUM(O6:O17)</f>
        <v>1364771.314201215</v>
      </c>
      <c r="P18" s="19"/>
      <c r="Q18" s="19"/>
      <c r="R18" s="19"/>
    </row>
    <row r="20" spans="1:18" x14ac:dyDescent="0.25">
      <c r="A20" s="21" t="s">
        <v>456</v>
      </c>
    </row>
    <row r="21" spans="1:18" x14ac:dyDescent="0.25">
      <c r="A21" s="21" t="s">
        <v>457</v>
      </c>
    </row>
  </sheetData>
  <mergeCells count="2">
    <mergeCell ref="A1:R1"/>
    <mergeCell ref="A2:R2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pick a value from the dropdown list." xr:uid="{00000000-0002-0000-0800-000000000000}">
          <x14:formula1>
            <xm:f>Settings!$X$4:$X$9</xm:f>
          </x14:formula1>
          <x14:formula2>
            <xm:f>0</xm:f>
          </x14:formula2>
          <xm:sqref>C6:C17</xm:sqref>
        </x14:dataValidation>
        <x14:dataValidation type="list" allowBlank="1" showErrorMessage="1" errorTitle="Invalid entry" error="Please pick a value from the dropdown list." xr:uid="{00000000-0002-0000-0800-000001000000}">
          <x14:formula1>
            <xm:f>Settings!$V$4:$V$6</xm:f>
          </x14:formula1>
          <x14:formula2>
            <xm:f>0</xm:f>
          </x14:formula2>
          <xm:sqref>D6:D17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8A200"/>
    <pageSetUpPr fitToPage="1"/>
  </sheetPr>
  <dimension ref="A1:F44"/>
  <sheetViews>
    <sheetView showGridLines="0" topLeftCell="A30" zoomScaleNormal="100" workbookViewId="0">
      <selection activeCell="J10" sqref="J10"/>
    </sheetView>
  </sheetViews>
  <sheetFormatPr defaultColWidth="8.7109375" defaultRowHeight="15" x14ac:dyDescent="0.25"/>
  <cols>
    <col min="1" max="1" width="46" customWidth="1"/>
    <col min="2" max="2" width="40" customWidth="1"/>
    <col min="3" max="3" width="21.85546875" bestFit="1" customWidth="1"/>
    <col min="4" max="4" width="12" customWidth="1"/>
    <col min="5" max="6" width="18" customWidth="1"/>
  </cols>
  <sheetData>
    <row r="1" spans="1:6" ht="33.75" customHeight="1" x14ac:dyDescent="0.25">
      <c r="A1" s="81" t="s">
        <v>458</v>
      </c>
      <c r="B1" s="81"/>
      <c r="C1" s="81"/>
      <c r="D1" s="81"/>
      <c r="E1" s="81"/>
      <c r="F1" s="81"/>
    </row>
    <row r="2" spans="1:6" ht="25.5" customHeight="1" x14ac:dyDescent="0.25">
      <c r="A2" s="82" t="s">
        <v>459</v>
      </c>
      <c r="B2" s="82"/>
      <c r="C2" s="82"/>
      <c r="D2" s="82"/>
      <c r="E2" s="82"/>
      <c r="F2" s="82"/>
    </row>
    <row r="5" spans="1:6" ht="31.5" customHeight="1" x14ac:dyDescent="0.25">
      <c r="A5" s="13" t="s">
        <v>460</v>
      </c>
      <c r="B5" s="13" t="s">
        <v>461</v>
      </c>
      <c r="C5" s="13" t="s">
        <v>462</v>
      </c>
      <c r="D5" s="13" t="s">
        <v>463</v>
      </c>
      <c r="E5" s="13" t="s">
        <v>464</v>
      </c>
      <c r="F5" s="13" t="s">
        <v>465</v>
      </c>
    </row>
    <row r="6" spans="1:6" x14ac:dyDescent="0.25">
      <c r="A6" s="7" t="s">
        <v>466</v>
      </c>
      <c r="B6" s="7" t="s">
        <v>467</v>
      </c>
      <c r="C6" s="70">
        <v>15000</v>
      </c>
      <c r="D6" s="7"/>
      <c r="E6" s="75"/>
      <c r="F6" s="41" t="s">
        <v>468</v>
      </c>
    </row>
    <row r="7" spans="1:6" x14ac:dyDescent="0.25">
      <c r="A7" s="7" t="s">
        <v>466</v>
      </c>
      <c r="B7" s="7" t="s">
        <v>469</v>
      </c>
      <c r="C7" s="70">
        <v>240000</v>
      </c>
      <c r="D7" s="7"/>
      <c r="E7" s="75"/>
      <c r="F7" s="41" t="s">
        <v>468</v>
      </c>
    </row>
    <row r="8" spans="1:6" x14ac:dyDescent="0.25">
      <c r="A8" s="7" t="s">
        <v>466</v>
      </c>
      <c r="B8" s="7" t="s">
        <v>470</v>
      </c>
      <c r="C8" s="70">
        <v>12000</v>
      </c>
      <c r="D8" s="7"/>
      <c r="E8" s="75"/>
      <c r="F8" s="41" t="s">
        <v>468</v>
      </c>
    </row>
    <row r="9" spans="1:6" x14ac:dyDescent="0.25">
      <c r="A9" s="7" t="s">
        <v>36</v>
      </c>
      <c r="B9" s="7" t="s">
        <v>471</v>
      </c>
      <c r="C9" s="70">
        <v>80000</v>
      </c>
      <c r="D9" s="7"/>
      <c r="E9" s="75"/>
      <c r="F9" s="41" t="s">
        <v>472</v>
      </c>
    </row>
    <row r="10" spans="1:6" x14ac:dyDescent="0.25">
      <c r="A10" s="7" t="s">
        <v>36</v>
      </c>
      <c r="B10" s="7" t="s">
        <v>473</v>
      </c>
      <c r="C10" s="70">
        <v>500000</v>
      </c>
      <c r="D10" s="7"/>
      <c r="E10" s="75"/>
      <c r="F10" s="41" t="s">
        <v>472</v>
      </c>
    </row>
    <row r="11" spans="1:6" x14ac:dyDescent="0.25">
      <c r="A11" s="7" t="s">
        <v>36</v>
      </c>
      <c r="B11" s="7" t="s">
        <v>474</v>
      </c>
      <c r="C11" s="70">
        <v>300000</v>
      </c>
      <c r="D11" s="7"/>
      <c r="E11" s="75"/>
      <c r="F11" s="41" t="s">
        <v>472</v>
      </c>
    </row>
    <row r="12" spans="1:6" x14ac:dyDescent="0.25">
      <c r="A12" s="7" t="s">
        <v>36</v>
      </c>
      <c r="B12" s="7" t="s">
        <v>475</v>
      </c>
      <c r="C12" s="70">
        <v>120000</v>
      </c>
      <c r="D12" s="7"/>
      <c r="E12" s="75"/>
      <c r="F12" s="41" t="s">
        <v>472</v>
      </c>
    </row>
    <row r="13" spans="1:6" x14ac:dyDescent="0.25">
      <c r="A13" s="7" t="s">
        <v>36</v>
      </c>
      <c r="B13" s="7" t="s">
        <v>476</v>
      </c>
      <c r="C13" s="70">
        <v>450000</v>
      </c>
      <c r="D13" s="7"/>
      <c r="E13" s="75"/>
      <c r="F13" s="41" t="s">
        <v>472</v>
      </c>
    </row>
    <row r="14" spans="1:6" x14ac:dyDescent="0.25">
      <c r="A14" s="7" t="s">
        <v>477</v>
      </c>
      <c r="B14" s="7" t="s">
        <v>478</v>
      </c>
      <c r="C14" s="75">
        <f>D14*E14</f>
        <v>600000</v>
      </c>
      <c r="D14" s="51">
        <v>3</v>
      </c>
      <c r="E14" s="70">
        <v>200000</v>
      </c>
      <c r="F14" s="41" t="s">
        <v>472</v>
      </c>
    </row>
    <row r="15" spans="1:6" x14ac:dyDescent="0.25">
      <c r="A15" s="7" t="s">
        <v>479</v>
      </c>
      <c r="B15" s="7" t="s">
        <v>480</v>
      </c>
      <c r="C15" s="70">
        <v>0</v>
      </c>
      <c r="D15" s="7"/>
      <c r="E15" s="75"/>
      <c r="F15" s="41" t="s">
        <v>472</v>
      </c>
    </row>
    <row r="16" spans="1:6" x14ac:dyDescent="0.25">
      <c r="A16" s="7" t="s">
        <v>481</v>
      </c>
      <c r="B16" s="7" t="s">
        <v>482</v>
      </c>
      <c r="C16" s="70">
        <v>140000</v>
      </c>
      <c r="D16" s="7"/>
      <c r="E16" s="75"/>
      <c r="F16" s="41" t="s">
        <v>472</v>
      </c>
    </row>
    <row r="17" spans="1:6" x14ac:dyDescent="0.25">
      <c r="A17" s="7" t="s">
        <v>483</v>
      </c>
      <c r="B17" s="7" t="s">
        <v>484</v>
      </c>
      <c r="C17" s="70">
        <v>0</v>
      </c>
      <c r="D17" s="7"/>
      <c r="E17" s="75"/>
      <c r="F17" s="41" t="s">
        <v>472</v>
      </c>
    </row>
    <row r="18" spans="1:6" x14ac:dyDescent="0.25">
      <c r="A18" s="19" t="s">
        <v>485</v>
      </c>
      <c r="B18" s="19"/>
      <c r="C18" s="72">
        <f>SUM(C6:C17)</f>
        <v>2457000</v>
      </c>
    </row>
    <row r="20" spans="1:6" x14ac:dyDescent="0.25">
      <c r="A20" s="1" t="s">
        <v>486</v>
      </c>
      <c r="B20" s="1"/>
      <c r="C20" s="1"/>
    </row>
    <row r="21" spans="1:6" x14ac:dyDescent="0.25">
      <c r="A21" s="7" t="s">
        <v>487</v>
      </c>
      <c r="B21" s="7" t="s">
        <v>488</v>
      </c>
      <c r="C21" s="71">
        <f ca="1">'Debt &amp; Loans'!$I$16</f>
        <v>356991.96813480556</v>
      </c>
    </row>
    <row r="22" spans="1:6" x14ac:dyDescent="0.25">
      <c r="A22" s="7" t="s">
        <v>483</v>
      </c>
      <c r="B22" s="7" t="s">
        <v>489</v>
      </c>
      <c r="C22" s="70">
        <v>0</v>
      </c>
    </row>
    <row r="23" spans="1:6" x14ac:dyDescent="0.25">
      <c r="A23" s="19" t="s">
        <v>490</v>
      </c>
      <c r="B23" s="19"/>
      <c r="C23" s="72">
        <f ca="1">C21+C22</f>
        <v>356991.96813480556</v>
      </c>
    </row>
    <row r="25" spans="1:6" ht="15.75" x14ac:dyDescent="0.25">
      <c r="A25" s="52" t="s">
        <v>491</v>
      </c>
      <c r="B25" s="19"/>
      <c r="C25" s="77">
        <f ca="1">C18-C23</f>
        <v>2100008.0318651944</v>
      </c>
    </row>
    <row r="26" spans="1:6" x14ac:dyDescent="0.25">
      <c r="A26" s="7" t="s">
        <v>492</v>
      </c>
      <c r="B26" s="7"/>
      <c r="C26" s="75">
        <f>SUMIF(F6:F17,"Yes",C6:C17)</f>
        <v>267000</v>
      </c>
    </row>
    <row r="27" spans="1:6" x14ac:dyDescent="0.25">
      <c r="A27" s="7" t="s">
        <v>493</v>
      </c>
      <c r="B27" s="7"/>
      <c r="C27" s="53">
        <f>IF('Monthly Summary'!$E$19=0,0,C26/'Monthly Summary'!$E$19)</f>
        <v>2.8618897047001446</v>
      </c>
    </row>
    <row r="28" spans="1:6" x14ac:dyDescent="0.25">
      <c r="A28" s="7" t="s">
        <v>494</v>
      </c>
      <c r="B28" s="7"/>
      <c r="C28" s="36">
        <f ca="1">IF(C18=0,0,C23/C18)</f>
        <v>0.14529587632674218</v>
      </c>
    </row>
    <row r="30" spans="1:6" x14ac:dyDescent="0.25">
      <c r="A30" s="1" t="s">
        <v>495</v>
      </c>
      <c r="B30" s="1"/>
      <c r="C30" s="1"/>
    </row>
    <row r="31" spans="1:6" x14ac:dyDescent="0.25">
      <c r="A31" s="13" t="s">
        <v>357</v>
      </c>
      <c r="B31" s="13" t="s">
        <v>496</v>
      </c>
      <c r="C31" s="13" t="s">
        <v>497</v>
      </c>
    </row>
    <row r="32" spans="1:6" x14ac:dyDescent="0.25">
      <c r="A32" s="16" t="str">
        <f>Settings!$D$4</f>
        <v>January</v>
      </c>
      <c r="B32" s="70">
        <v>1700000</v>
      </c>
      <c r="C32" s="75" t="str">
        <f>""</f>
        <v/>
      </c>
    </row>
    <row r="33" spans="1:3" x14ac:dyDescent="0.25">
      <c r="A33" s="16" t="str">
        <f>Settings!$D$5</f>
        <v>February</v>
      </c>
      <c r="B33" s="70">
        <v>1735000</v>
      </c>
      <c r="C33" s="75">
        <f t="shared" ref="C33:C43" si="0">IF(OR(B33="",B32=""),"",B33-B32)</f>
        <v>35000</v>
      </c>
    </row>
    <row r="34" spans="1:3" x14ac:dyDescent="0.25">
      <c r="A34" s="16" t="str">
        <f>Settings!$D$6</f>
        <v>March</v>
      </c>
      <c r="B34" s="70">
        <v>1790000</v>
      </c>
      <c r="C34" s="75">
        <f t="shared" si="0"/>
        <v>55000</v>
      </c>
    </row>
    <row r="35" spans="1:3" x14ac:dyDescent="0.25">
      <c r="A35" s="16" t="str">
        <f>Settings!$D$7</f>
        <v>April</v>
      </c>
      <c r="B35" s="70">
        <v>1812000</v>
      </c>
      <c r="C35" s="75">
        <f t="shared" si="0"/>
        <v>22000</v>
      </c>
    </row>
    <row r="36" spans="1:3" x14ac:dyDescent="0.25">
      <c r="A36" s="16" t="str">
        <f>Settings!$D$8</f>
        <v>May</v>
      </c>
      <c r="B36" s="70">
        <v>1850000</v>
      </c>
      <c r="C36" s="75">
        <f t="shared" si="0"/>
        <v>38000</v>
      </c>
    </row>
    <row r="37" spans="1:3" x14ac:dyDescent="0.25">
      <c r="A37" s="16" t="str">
        <f>Settings!$D$9</f>
        <v>June</v>
      </c>
      <c r="B37" s="70">
        <v>1880000</v>
      </c>
      <c r="C37" s="75">
        <f t="shared" si="0"/>
        <v>30000</v>
      </c>
    </row>
    <row r="38" spans="1:3" x14ac:dyDescent="0.25">
      <c r="A38" s="16" t="str">
        <f>Settings!$D$10</f>
        <v>July</v>
      </c>
      <c r="B38" s="70">
        <v>1925000</v>
      </c>
      <c r="C38" s="75">
        <f t="shared" si="0"/>
        <v>45000</v>
      </c>
    </row>
    <row r="39" spans="1:3" x14ac:dyDescent="0.25">
      <c r="A39" s="16" t="str">
        <f>Settings!$D$11</f>
        <v>August</v>
      </c>
      <c r="B39" s="70">
        <v>1960000</v>
      </c>
      <c r="C39" s="75">
        <f t="shared" si="0"/>
        <v>35000</v>
      </c>
    </row>
    <row r="40" spans="1:3" x14ac:dyDescent="0.25">
      <c r="A40" s="16" t="str">
        <f>Settings!$D$12</f>
        <v>September</v>
      </c>
      <c r="B40" s="70">
        <v>2010000</v>
      </c>
      <c r="C40" s="75">
        <f t="shared" si="0"/>
        <v>50000</v>
      </c>
    </row>
    <row r="41" spans="1:3" x14ac:dyDescent="0.25">
      <c r="A41" s="16" t="str">
        <f>Settings!$D$13</f>
        <v>October</v>
      </c>
      <c r="B41" s="70"/>
      <c r="C41" s="75" t="str">
        <f t="shared" si="0"/>
        <v/>
      </c>
    </row>
    <row r="42" spans="1:3" x14ac:dyDescent="0.25">
      <c r="A42" s="16" t="str">
        <f>Settings!$D$14</f>
        <v>November</v>
      </c>
      <c r="B42" s="70"/>
      <c r="C42" s="75" t="str">
        <f t="shared" si="0"/>
        <v/>
      </c>
    </row>
    <row r="43" spans="1:3" x14ac:dyDescent="0.25">
      <c r="A43" s="16" t="str">
        <f>Settings!$D$15</f>
        <v>December</v>
      </c>
      <c r="B43" s="70"/>
      <c r="C43" s="75" t="str">
        <f t="shared" si="0"/>
        <v/>
      </c>
    </row>
    <row r="44" spans="1:3" x14ac:dyDescent="0.25">
      <c r="A44" s="21" t="s">
        <v>498</v>
      </c>
    </row>
  </sheetData>
  <mergeCells count="2">
    <mergeCell ref="A1:F1"/>
    <mergeCell ref="A2:F2"/>
  </mergeCells>
  <conditionalFormatting sqref="C32:C43">
    <cfRule type="cellIs" dxfId="9" priority="2" operator="lessThan">
      <formula>0</formula>
    </cfRule>
  </conditionalFormatting>
  <dataValidations count="1">
    <dataValidation type="list" allowBlank="1" showErrorMessage="1" errorTitle="Invalid entry" error="Please pick a value from the dropdown list." sqref="F6:F17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2A41"/>
    <pageSetUpPr fitToPage="1"/>
  </sheetPr>
  <dimension ref="A1:F58"/>
  <sheetViews>
    <sheetView showGridLines="0" topLeftCell="A7" zoomScaleNormal="100" workbookViewId="0">
      <selection activeCell="I39" sqref="I39"/>
    </sheetView>
  </sheetViews>
  <sheetFormatPr defaultColWidth="8.7109375" defaultRowHeight="15" x14ac:dyDescent="0.25"/>
  <cols>
    <col min="1" max="1" width="60" customWidth="1"/>
    <col min="2" max="2" width="17.42578125" bestFit="1" customWidth="1"/>
    <col min="3" max="3" width="20.85546875" bestFit="1" customWidth="1"/>
    <col min="4" max="4" width="6.28515625" bestFit="1" customWidth="1"/>
    <col min="5" max="5" width="17.42578125" bestFit="1" customWidth="1"/>
    <col min="6" max="6" width="15.7109375" bestFit="1" customWidth="1"/>
  </cols>
  <sheetData>
    <row r="1" spans="1:6" ht="33.75" customHeight="1" x14ac:dyDescent="0.25">
      <c r="A1" s="81" t="s">
        <v>499</v>
      </c>
      <c r="B1" s="81"/>
      <c r="C1" s="81"/>
      <c r="D1" s="81"/>
      <c r="E1" s="81"/>
      <c r="F1" s="81"/>
    </row>
    <row r="2" spans="1:6" ht="25.5" customHeight="1" x14ac:dyDescent="0.25">
      <c r="A2" s="82" t="s">
        <v>500</v>
      </c>
      <c r="B2" s="82"/>
      <c r="C2" s="82"/>
      <c r="D2" s="82"/>
      <c r="E2" s="82"/>
      <c r="F2" s="82"/>
    </row>
    <row r="4" spans="1:6" x14ac:dyDescent="0.25">
      <c r="A4" s="1" t="s">
        <v>501</v>
      </c>
      <c r="B4" s="1"/>
      <c r="C4" s="1"/>
      <c r="D4" s="1"/>
      <c r="E4" s="1"/>
      <c r="F4" s="1"/>
    </row>
    <row r="5" spans="1:6" x14ac:dyDescent="0.25">
      <c r="A5" s="7" t="s">
        <v>502</v>
      </c>
      <c r="B5" s="24" t="s">
        <v>503</v>
      </c>
    </row>
    <row r="6" spans="1:6" x14ac:dyDescent="0.25">
      <c r="A6" s="7" t="s">
        <v>504</v>
      </c>
      <c r="B6" s="45">
        <v>0</v>
      </c>
    </row>
    <row r="9" spans="1:6" x14ac:dyDescent="0.25">
      <c r="A9" s="1" t="s">
        <v>505</v>
      </c>
      <c r="B9" s="1"/>
      <c r="C9" s="1"/>
      <c r="D9" s="1"/>
      <c r="E9" s="1"/>
      <c r="F9" s="1"/>
    </row>
    <row r="10" spans="1:6" x14ac:dyDescent="0.25">
      <c r="A10" s="7" t="s">
        <v>506</v>
      </c>
      <c r="B10" s="70">
        <v>960000</v>
      </c>
    </row>
    <row r="11" spans="1:6" x14ac:dyDescent="0.25">
      <c r="A11" s="7" t="s">
        <v>507</v>
      </c>
      <c r="B11" s="70">
        <v>480000</v>
      </c>
    </row>
    <row r="12" spans="1:6" x14ac:dyDescent="0.25">
      <c r="A12" s="7" t="s">
        <v>508</v>
      </c>
      <c r="B12" s="70">
        <v>96000</v>
      </c>
    </row>
    <row r="13" spans="1:6" x14ac:dyDescent="0.25">
      <c r="A13" s="7" t="s">
        <v>509</v>
      </c>
      <c r="B13" s="70">
        <v>36000</v>
      </c>
    </row>
    <row r="14" spans="1:6" x14ac:dyDescent="0.25">
      <c r="A14" s="7" t="s">
        <v>510</v>
      </c>
      <c r="B14" s="70">
        <v>160000</v>
      </c>
    </row>
    <row r="15" spans="1:6" x14ac:dyDescent="0.25">
      <c r="A15" s="7" t="s">
        <v>511</v>
      </c>
      <c r="B15" s="70">
        <v>0</v>
      </c>
    </row>
    <row r="16" spans="1:6" x14ac:dyDescent="0.25">
      <c r="A16" s="19" t="s">
        <v>512</v>
      </c>
      <c r="B16" s="72">
        <f>SUM(B10:B15)</f>
        <v>1732000</v>
      </c>
    </row>
    <row r="17" spans="1:6" x14ac:dyDescent="0.25">
      <c r="A17" s="7" t="s">
        <v>513</v>
      </c>
      <c r="B17" s="70">
        <v>75000</v>
      </c>
    </row>
    <row r="18" spans="1:6" x14ac:dyDescent="0.25">
      <c r="A18" s="7" t="s">
        <v>514</v>
      </c>
      <c r="B18" s="70">
        <v>0</v>
      </c>
    </row>
    <row r="19" spans="1:6" x14ac:dyDescent="0.25">
      <c r="A19" s="19" t="s">
        <v>348</v>
      </c>
      <c r="B19" s="72">
        <f>B16+B17+B18</f>
        <v>1807000</v>
      </c>
    </row>
    <row r="20" spans="1:6" x14ac:dyDescent="0.25">
      <c r="A20" s="7" t="s">
        <v>515</v>
      </c>
      <c r="B20" s="71">
        <f>MIN(B16*Settings!$B$33,Settings!$B$34)</f>
        <v>450000</v>
      </c>
    </row>
    <row r="21" spans="1:6" x14ac:dyDescent="0.25">
      <c r="A21" s="19" t="s">
        <v>516</v>
      </c>
      <c r="B21" s="72">
        <f>MAX(0,B19-B20)</f>
        <v>1357000</v>
      </c>
    </row>
    <row r="23" spans="1:6" x14ac:dyDescent="0.25">
      <c r="A23" s="1" t="s">
        <v>517</v>
      </c>
      <c r="B23" s="1"/>
      <c r="C23" s="1"/>
      <c r="D23" s="1"/>
      <c r="E23" s="1"/>
      <c r="F23" s="1"/>
    </row>
    <row r="24" spans="1:6" x14ac:dyDescent="0.25">
      <c r="A24" s="26" t="s">
        <v>518</v>
      </c>
      <c r="B24" s="78">
        <f>INDEX(Settings!$B$19:$B$22,MATCH(B5,Settings!$A$19:$A$22,0))+B6*Settings!$B$23</f>
        <v>375000</v>
      </c>
    </row>
    <row r="25" spans="1:6" x14ac:dyDescent="0.25">
      <c r="A25" s="13" t="s">
        <v>519</v>
      </c>
      <c r="B25" s="13" t="s">
        <v>520</v>
      </c>
      <c r="C25" s="13" t="s">
        <v>521</v>
      </c>
      <c r="D25" s="13" t="s">
        <v>522</v>
      </c>
      <c r="E25" s="13" t="s">
        <v>523</v>
      </c>
      <c r="F25" s="13" t="s">
        <v>524</v>
      </c>
    </row>
    <row r="26" spans="1:6" x14ac:dyDescent="0.25">
      <c r="A26" s="7" t="s">
        <v>525</v>
      </c>
      <c r="B26" s="75">
        <v>0</v>
      </c>
      <c r="C26" s="75">
        <f>B24</f>
        <v>375000</v>
      </c>
      <c r="D26" s="36">
        <v>0</v>
      </c>
      <c r="E26" s="75">
        <f>MIN($B$21,C26)</f>
        <v>375000</v>
      </c>
      <c r="F26" s="75">
        <f t="shared" ref="F26:F31" si="0">E26*D26</f>
        <v>0</v>
      </c>
    </row>
    <row r="27" spans="1:6" x14ac:dyDescent="0.25">
      <c r="A27" s="16" t="str">
        <f>Settings!$A$26</f>
        <v>Slab 1 (next)</v>
      </c>
      <c r="B27" s="75">
        <f>B26+C26</f>
        <v>375000</v>
      </c>
      <c r="C27" s="71">
        <f>Settings!$B$26</f>
        <v>300000</v>
      </c>
      <c r="D27" s="37">
        <f>Settings!$C$26</f>
        <v>0.1</v>
      </c>
      <c r="E27" s="75">
        <f>MAX(0,MIN($B$21-B27,C27))</f>
        <v>300000</v>
      </c>
      <c r="F27" s="75">
        <f t="shared" si="0"/>
        <v>30000</v>
      </c>
    </row>
    <row r="28" spans="1:6" x14ac:dyDescent="0.25">
      <c r="A28" s="16" t="str">
        <f>Settings!$A$27</f>
        <v>Slab 2 (next)</v>
      </c>
      <c r="B28" s="75">
        <f>B27+C27</f>
        <v>675000</v>
      </c>
      <c r="C28" s="71">
        <f>Settings!$B$27</f>
        <v>400000</v>
      </c>
      <c r="D28" s="37">
        <f>Settings!$C$27</f>
        <v>0.15</v>
      </c>
      <c r="E28" s="75">
        <f>MAX(0,MIN($B$21-B28,C28))</f>
        <v>400000</v>
      </c>
      <c r="F28" s="75">
        <f t="shared" si="0"/>
        <v>60000</v>
      </c>
    </row>
    <row r="29" spans="1:6" x14ac:dyDescent="0.25">
      <c r="A29" s="16" t="str">
        <f>Settings!$A$28</f>
        <v>Slab 3 (next)</v>
      </c>
      <c r="B29" s="75">
        <f>B28+C28</f>
        <v>1075000</v>
      </c>
      <c r="C29" s="71">
        <f>Settings!$B$28</f>
        <v>500000</v>
      </c>
      <c r="D29" s="37">
        <f>Settings!$C$28</f>
        <v>0.2</v>
      </c>
      <c r="E29" s="75">
        <f>MAX(0,MIN($B$21-B29,C29))</f>
        <v>282000</v>
      </c>
      <c r="F29" s="75">
        <f t="shared" si="0"/>
        <v>56400</v>
      </c>
    </row>
    <row r="30" spans="1:6" x14ac:dyDescent="0.25">
      <c r="A30" s="16" t="str">
        <f>Settings!$A$29</f>
        <v>Slab 4 (next)</v>
      </c>
      <c r="B30" s="75">
        <f>B29+C29</f>
        <v>1575000</v>
      </c>
      <c r="C30" s="71">
        <f>Settings!$B$29</f>
        <v>2000000</v>
      </c>
      <c r="D30" s="37">
        <f>Settings!$C$29</f>
        <v>0.25</v>
      </c>
      <c r="E30" s="75">
        <f>MAX(0,MIN($B$21-B30,C30))</f>
        <v>0</v>
      </c>
      <c r="F30" s="75">
        <f t="shared" si="0"/>
        <v>0</v>
      </c>
    </row>
    <row r="31" spans="1:6" x14ac:dyDescent="0.25">
      <c r="A31" s="16" t="str">
        <f>Settings!$A$30</f>
        <v>Slab 5 (remainder)</v>
      </c>
      <c r="B31" s="75">
        <f>B30+C30</f>
        <v>3575000</v>
      </c>
      <c r="C31" s="71">
        <f>Settings!$B$30</f>
        <v>1000000000</v>
      </c>
      <c r="D31" s="37">
        <f>Settings!$C$30</f>
        <v>0.3</v>
      </c>
      <c r="E31" s="75">
        <f>MAX(0,MIN($B$21-B31,C31))</f>
        <v>0</v>
      </c>
      <c r="F31" s="75">
        <f t="shared" si="0"/>
        <v>0</v>
      </c>
    </row>
    <row r="32" spans="1:6" x14ac:dyDescent="0.25">
      <c r="A32" s="19" t="s">
        <v>59</v>
      </c>
      <c r="B32" s="19"/>
      <c r="C32" s="19"/>
      <c r="D32" s="19"/>
      <c r="E32" s="72">
        <f>SUM(E26:E31)</f>
        <v>1357000</v>
      </c>
      <c r="F32" s="72">
        <f>SUM(F26:F31)</f>
        <v>146400</v>
      </c>
    </row>
    <row r="34" spans="1:6" x14ac:dyDescent="0.25">
      <c r="A34" s="1" t="s">
        <v>526</v>
      </c>
      <c r="B34" s="1"/>
      <c r="C34" s="1"/>
      <c r="D34" s="1"/>
      <c r="E34" s="1"/>
      <c r="F34" s="1"/>
    </row>
    <row r="35" spans="1:6" x14ac:dyDescent="0.25">
      <c r="A35" s="7" t="s">
        <v>527</v>
      </c>
      <c r="B35" s="71">
        <f>'Annual Matrix'!$O$55</f>
        <v>50000</v>
      </c>
    </row>
    <row r="36" spans="1:6" x14ac:dyDescent="0.25">
      <c r="A36" s="7" t="s">
        <v>528</v>
      </c>
      <c r="B36" s="71">
        <f>'Annual Matrix'!$O$56</f>
        <v>50000</v>
      </c>
    </row>
    <row r="37" spans="1:6" x14ac:dyDescent="0.25">
      <c r="A37" s="7" t="s">
        <v>529</v>
      </c>
      <c r="B37" s="71">
        <f>'Annual Matrix'!$O$57</f>
        <v>15000</v>
      </c>
    </row>
    <row r="38" spans="1:6" x14ac:dyDescent="0.25">
      <c r="A38" s="7" t="s">
        <v>530</v>
      </c>
      <c r="B38" s="71">
        <f>'Annual Matrix'!$O$52</f>
        <v>25000</v>
      </c>
    </row>
    <row r="39" spans="1:6" x14ac:dyDescent="0.25">
      <c r="A39" s="7" t="s">
        <v>531</v>
      </c>
      <c r="B39" s="70">
        <v>0</v>
      </c>
    </row>
    <row r="40" spans="1:6" x14ac:dyDescent="0.25">
      <c r="A40" s="19" t="s">
        <v>532</v>
      </c>
      <c r="B40" s="72">
        <f>SUM(B35:B39)</f>
        <v>140000</v>
      </c>
    </row>
    <row r="41" spans="1:6" x14ac:dyDescent="0.25">
      <c r="A41" s="7" t="s">
        <v>533</v>
      </c>
      <c r="B41" s="71">
        <f>MIN(B40,Settings!$B$37*B21)</f>
        <v>140000</v>
      </c>
    </row>
    <row r="42" spans="1:6" x14ac:dyDescent="0.25">
      <c r="A42" s="7" t="s">
        <v>534</v>
      </c>
      <c r="B42" s="71">
        <f>Settings!$B$35*B21</f>
        <v>40710</v>
      </c>
    </row>
    <row r="43" spans="1:6" x14ac:dyDescent="0.25">
      <c r="A43" s="7" t="s">
        <v>535</v>
      </c>
      <c r="B43" s="71">
        <f>Settings!$B$36*B41</f>
        <v>21000</v>
      </c>
    </row>
    <row r="44" spans="1:6" x14ac:dyDescent="0.25">
      <c r="A44" s="7" t="s">
        <v>536</v>
      </c>
      <c r="B44" s="71">
        <f>Settings!$B$38</f>
        <v>1000000</v>
      </c>
    </row>
    <row r="45" spans="1:6" x14ac:dyDescent="0.25">
      <c r="A45" s="19" t="s">
        <v>537</v>
      </c>
      <c r="B45" s="72">
        <f>MIN(B42,B43,B44)</f>
        <v>21000</v>
      </c>
    </row>
    <row r="47" spans="1:6" x14ac:dyDescent="0.25">
      <c r="A47" s="1" t="s">
        <v>538</v>
      </c>
      <c r="B47" s="1"/>
      <c r="C47" s="1"/>
      <c r="D47" s="1"/>
      <c r="E47" s="1"/>
      <c r="F47" s="1"/>
    </row>
    <row r="48" spans="1:6" x14ac:dyDescent="0.25">
      <c r="A48" s="7" t="s">
        <v>539</v>
      </c>
      <c r="B48" s="75">
        <f>F32</f>
        <v>146400</v>
      </c>
    </row>
    <row r="49" spans="1:6" x14ac:dyDescent="0.25">
      <c r="A49" s="7" t="s">
        <v>540</v>
      </c>
      <c r="B49" s="75">
        <f>B45</f>
        <v>21000</v>
      </c>
    </row>
    <row r="50" spans="1:6" x14ac:dyDescent="0.25">
      <c r="A50" s="7" t="s">
        <v>541</v>
      </c>
      <c r="B50" s="75">
        <f>MAX(0,B48-B49)</f>
        <v>125400</v>
      </c>
    </row>
    <row r="51" spans="1:6" x14ac:dyDescent="0.25">
      <c r="A51" s="7" t="s">
        <v>542</v>
      </c>
      <c r="B51" s="71">
        <f>IF(B21&gt;B24,Settings!$B$32,0)</f>
        <v>5000</v>
      </c>
    </row>
    <row r="52" spans="1:6" x14ac:dyDescent="0.25">
      <c r="A52" s="19" t="s">
        <v>543</v>
      </c>
      <c r="B52" s="72">
        <f>IF(B21&lt;=B24,0,MAX(B50,B51))</f>
        <v>125400</v>
      </c>
    </row>
    <row r="53" spans="1:6" x14ac:dyDescent="0.25">
      <c r="A53" s="7" t="s">
        <v>544</v>
      </c>
      <c r="B53" s="70">
        <v>60000</v>
      </c>
    </row>
    <row r="54" spans="1:6" x14ac:dyDescent="0.25">
      <c r="A54" s="54" t="s">
        <v>545</v>
      </c>
      <c r="B54" s="79">
        <f>B52-B53</f>
        <v>65400</v>
      </c>
    </row>
    <row r="55" spans="1:6" x14ac:dyDescent="0.25">
      <c r="A55" s="7" t="s">
        <v>546</v>
      </c>
      <c r="B55" s="36">
        <f>IF(B19=0,0,B52/B19)</f>
        <v>6.9396790260099608E-2</v>
      </c>
    </row>
    <row r="56" spans="1:6" x14ac:dyDescent="0.25">
      <c r="A56" s="7" t="s">
        <v>547</v>
      </c>
      <c r="B56" s="75">
        <f>B52/12</f>
        <v>10450</v>
      </c>
    </row>
    <row r="58" spans="1:6" ht="51.75" customHeight="1" x14ac:dyDescent="0.25">
      <c r="A58" s="110" t="s">
        <v>548</v>
      </c>
      <c r="B58" s="110"/>
      <c r="C58" s="110"/>
      <c r="D58" s="110"/>
      <c r="E58" s="110"/>
      <c r="F58" s="110"/>
    </row>
  </sheetData>
  <mergeCells count="3">
    <mergeCell ref="A1:F1"/>
    <mergeCell ref="A2:F2"/>
    <mergeCell ref="A58:F58"/>
  </mergeCells>
  <conditionalFormatting sqref="B54">
    <cfRule type="cellIs" dxfId="8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pick a value from the dropdown list." xr:uid="{00000000-0002-0000-0A00-000000000000}">
          <x14:formula1>
            <xm:f>Settings!$A$19:$A$22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2A41"/>
    <pageSetUpPr fitToPage="1"/>
  </sheetPr>
  <dimension ref="A1:C35"/>
  <sheetViews>
    <sheetView showGridLines="0" zoomScale="90" zoomScaleNormal="100" workbookViewId="0">
      <selection activeCell="F8" sqref="F8"/>
    </sheetView>
  </sheetViews>
  <sheetFormatPr defaultColWidth="8.7109375" defaultRowHeight="15" x14ac:dyDescent="0.25"/>
  <cols>
    <col min="1" max="1" width="70" customWidth="1"/>
    <col min="2" max="2" width="24" customWidth="1"/>
    <col min="3" max="3" width="6" customWidth="1"/>
  </cols>
  <sheetData>
    <row r="1" spans="1:3" ht="33.75" customHeight="1" x14ac:dyDescent="0.25">
      <c r="A1" s="81" t="s">
        <v>549</v>
      </c>
      <c r="B1" s="81"/>
      <c r="C1" s="81"/>
    </row>
    <row r="2" spans="1:3" ht="25.5" customHeight="1" x14ac:dyDescent="0.25">
      <c r="A2" s="82" t="s">
        <v>550</v>
      </c>
      <c r="B2" s="82"/>
      <c r="C2" s="82"/>
    </row>
    <row r="5" spans="1:3" x14ac:dyDescent="0.25">
      <c r="A5" s="1" t="s">
        <v>551</v>
      </c>
      <c r="B5" s="1"/>
      <c r="C5" s="1"/>
    </row>
    <row r="6" spans="1:3" x14ac:dyDescent="0.25">
      <c r="A6" s="7" t="s">
        <v>552</v>
      </c>
      <c r="B6" s="71">
        <f>SUM('Net Worth'!C6:C8)</f>
        <v>267000</v>
      </c>
    </row>
    <row r="7" spans="1:3" x14ac:dyDescent="0.25">
      <c r="A7" s="7" t="s">
        <v>553</v>
      </c>
      <c r="B7" s="55">
        <f>'Net Worth'!D14</f>
        <v>3</v>
      </c>
    </row>
    <row r="8" spans="1:3" x14ac:dyDescent="0.25">
      <c r="A8" s="7" t="s">
        <v>554</v>
      </c>
      <c r="B8" s="71">
        <f>'Net Worth'!E14</f>
        <v>200000</v>
      </c>
    </row>
    <row r="9" spans="1:3" x14ac:dyDescent="0.25">
      <c r="A9" s="7" t="s">
        <v>555</v>
      </c>
      <c r="B9" s="75">
        <f>B7*B8</f>
        <v>600000</v>
      </c>
    </row>
    <row r="10" spans="1:3" x14ac:dyDescent="0.25">
      <c r="A10" s="7" t="s">
        <v>556</v>
      </c>
      <c r="B10" s="51">
        <v>0</v>
      </c>
    </row>
    <row r="11" spans="1:3" x14ac:dyDescent="0.25">
      <c r="A11" s="7" t="s">
        <v>557</v>
      </c>
      <c r="B11" s="70">
        <v>3500</v>
      </c>
    </row>
    <row r="12" spans="1:3" x14ac:dyDescent="0.25">
      <c r="A12" s="7" t="s">
        <v>558</v>
      </c>
      <c r="B12" s="35">
        <f>B10*B11</f>
        <v>0</v>
      </c>
    </row>
    <row r="13" spans="1:3" x14ac:dyDescent="0.25">
      <c r="A13" s="7" t="s">
        <v>559</v>
      </c>
      <c r="B13" s="25">
        <v>0</v>
      </c>
    </row>
    <row r="14" spans="1:3" x14ac:dyDescent="0.25">
      <c r="A14" s="7" t="s">
        <v>560</v>
      </c>
      <c r="B14" s="25">
        <v>0</v>
      </c>
    </row>
    <row r="15" spans="1:3" x14ac:dyDescent="0.25">
      <c r="A15" s="7" t="s">
        <v>561</v>
      </c>
      <c r="B15" s="71">
        <f>'Net Worth'!C12</f>
        <v>120000</v>
      </c>
    </row>
    <row r="16" spans="1:3" x14ac:dyDescent="0.25">
      <c r="A16" s="7" t="s">
        <v>562</v>
      </c>
      <c r="B16" s="71">
        <f>SUM('Net Worth'!C9:C11)</f>
        <v>880000</v>
      </c>
    </row>
    <row r="17" spans="1:3" x14ac:dyDescent="0.25">
      <c r="A17" s="7" t="s">
        <v>563</v>
      </c>
      <c r="B17" s="71">
        <f>'Net Worth'!C13</f>
        <v>450000</v>
      </c>
    </row>
    <row r="18" spans="1:3" x14ac:dyDescent="0.25">
      <c r="A18" s="7" t="s">
        <v>564</v>
      </c>
      <c r="B18" s="70">
        <v>0</v>
      </c>
    </row>
    <row r="19" spans="1:3" x14ac:dyDescent="0.25">
      <c r="A19" s="19" t="s">
        <v>565</v>
      </c>
      <c r="B19" s="72">
        <f>B6+B9+B12+B13+B14+B15+B16+B17+B18</f>
        <v>2317000</v>
      </c>
    </row>
    <row r="21" spans="1:3" x14ac:dyDescent="0.25">
      <c r="A21" s="7" t="s">
        <v>566</v>
      </c>
      <c r="B21" s="70">
        <v>21000</v>
      </c>
    </row>
    <row r="22" spans="1:3" x14ac:dyDescent="0.25">
      <c r="A22" s="19" t="s">
        <v>567</v>
      </c>
      <c r="B22" s="72">
        <f>MAX(0,B19-B21)</f>
        <v>2296000</v>
      </c>
    </row>
    <row r="24" spans="1:3" x14ac:dyDescent="0.25">
      <c r="A24" s="1" t="s">
        <v>568</v>
      </c>
      <c r="B24" s="1"/>
      <c r="C24" s="1"/>
    </row>
    <row r="25" spans="1:3" x14ac:dyDescent="0.25">
      <c r="A25" s="7" t="s">
        <v>569</v>
      </c>
      <c r="B25" s="24" t="s">
        <v>570</v>
      </c>
    </row>
    <row r="26" spans="1:3" x14ac:dyDescent="0.25">
      <c r="A26" s="7" t="s">
        <v>571</v>
      </c>
      <c r="B26" s="71">
        <f>Settings!$B$44*B11</f>
        <v>183750</v>
      </c>
    </row>
    <row r="27" spans="1:3" x14ac:dyDescent="0.25">
      <c r="A27" s="7" t="s">
        <v>572</v>
      </c>
      <c r="B27" s="71">
        <f>Settings!$B$45*B8</f>
        <v>1500000</v>
      </c>
    </row>
    <row r="28" spans="1:3" x14ac:dyDescent="0.25">
      <c r="A28" s="7" t="s">
        <v>573</v>
      </c>
      <c r="B28" s="75">
        <f>IF(LEFT(B25,6)="Silver",B26,B27)</f>
        <v>183750</v>
      </c>
    </row>
    <row r="29" spans="1:3" x14ac:dyDescent="0.25">
      <c r="A29" s="26" t="s">
        <v>574</v>
      </c>
      <c r="B29" s="26" t="str">
        <f>IF(B22&gt;=B28,"YES - Zakat is due","NO - below nisab")</f>
        <v>YES - Zakat is due</v>
      </c>
    </row>
    <row r="30" spans="1:3" x14ac:dyDescent="0.25">
      <c r="A30" s="54" t="s">
        <v>575</v>
      </c>
      <c r="B30" s="80">
        <f>IF(B22&gt;=B28,B22*Settings!$B$43,0)</f>
        <v>57400</v>
      </c>
    </row>
    <row r="31" spans="1:3" x14ac:dyDescent="0.25">
      <c r="A31" s="7" t="s">
        <v>576</v>
      </c>
      <c r="B31" s="75">
        <f>B30/12</f>
        <v>4783.333333333333</v>
      </c>
    </row>
    <row r="32" spans="1:3" x14ac:dyDescent="0.25">
      <c r="A32" s="7" t="s">
        <v>577</v>
      </c>
      <c r="B32" s="71">
        <f>'Annual Matrix'!$O$47</f>
        <v>36650</v>
      </c>
    </row>
    <row r="33" spans="1:3" x14ac:dyDescent="0.25">
      <c r="A33" s="19" t="s">
        <v>578</v>
      </c>
      <c r="B33" s="72">
        <f>MAX(0,B30-B32)</f>
        <v>20750</v>
      </c>
    </row>
    <row r="35" spans="1:3" ht="51.75" customHeight="1" x14ac:dyDescent="0.25">
      <c r="A35" s="110" t="s">
        <v>579</v>
      </c>
      <c r="B35" s="110"/>
      <c r="C35" s="110"/>
    </row>
  </sheetData>
  <mergeCells count="3">
    <mergeCell ref="A1:C1"/>
    <mergeCell ref="A2:C2"/>
    <mergeCell ref="A35:C35"/>
  </mergeCells>
  <conditionalFormatting sqref="B29">
    <cfRule type="expression" dxfId="7" priority="2">
      <formula>LEFT(B29,3)="YES"</formula>
    </cfRule>
    <cfRule type="expression" dxfId="6" priority="3">
      <formula>LEFT(B29,2)="NO"</formula>
    </cfRule>
  </conditionalFormatting>
  <dataValidations count="1">
    <dataValidation type="list" allowBlank="1" showErrorMessage="1" errorTitle="Invalid entry" error="Please pick a value from the dropdown list." sqref="B25" xr:uid="{00000000-0002-0000-0B00-000000000000}">
      <formula1>"Silver (52.5 tola),Gold (7.5 tola)"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2A41"/>
    <pageSetUpPr fitToPage="1"/>
  </sheetPr>
  <dimension ref="A1:I68"/>
  <sheetViews>
    <sheetView showGridLines="0" zoomScaleNormal="100" workbookViewId="0">
      <selection activeCell="I53" sqref="I53"/>
    </sheetView>
  </sheetViews>
  <sheetFormatPr defaultColWidth="8.7109375" defaultRowHeight="15" x14ac:dyDescent="0.25"/>
  <cols>
    <col min="1" max="1" width="62" customWidth="1"/>
    <col min="2" max="2" width="40" customWidth="1"/>
    <col min="3" max="4" width="17" customWidth="1"/>
    <col min="5" max="5" width="18" customWidth="1"/>
    <col min="6" max="6" width="12" customWidth="1"/>
    <col min="7" max="9" width="17" customWidth="1"/>
  </cols>
  <sheetData>
    <row r="1" spans="1:9" ht="33.75" customHeight="1" x14ac:dyDescent="0.25">
      <c r="A1" s="81" t="s">
        <v>580</v>
      </c>
      <c r="B1" s="81"/>
      <c r="C1" s="81"/>
      <c r="D1" s="81"/>
      <c r="E1" s="81"/>
      <c r="F1" s="81"/>
      <c r="G1" s="81"/>
      <c r="H1" s="81"/>
      <c r="I1" s="81"/>
    </row>
    <row r="2" spans="1:9" ht="25.5" customHeight="1" x14ac:dyDescent="0.25">
      <c r="A2" s="82" t="s">
        <v>581</v>
      </c>
      <c r="B2" s="82"/>
      <c r="C2" s="82"/>
      <c r="D2" s="82"/>
      <c r="E2" s="82"/>
      <c r="F2" s="82"/>
      <c r="G2" s="82"/>
      <c r="H2" s="82"/>
      <c r="I2" s="82"/>
    </row>
    <row r="5" spans="1:9" ht="39.75" customHeight="1" x14ac:dyDescent="0.25">
      <c r="A5" s="13" t="s">
        <v>582</v>
      </c>
      <c r="B5" s="13" t="s">
        <v>583</v>
      </c>
      <c r="C5" s="13" t="s">
        <v>584</v>
      </c>
      <c r="D5" s="13" t="s">
        <v>585</v>
      </c>
      <c r="E5" s="13" t="s">
        <v>309</v>
      </c>
      <c r="F5" s="13" t="s">
        <v>382</v>
      </c>
      <c r="G5" s="13" t="s">
        <v>586</v>
      </c>
      <c r="H5" s="13" t="s">
        <v>587</v>
      </c>
      <c r="I5" s="13" t="s">
        <v>588</v>
      </c>
    </row>
    <row r="6" spans="1:9" x14ac:dyDescent="0.25">
      <c r="A6" s="24" t="s">
        <v>589</v>
      </c>
      <c r="B6" s="23">
        <v>46456</v>
      </c>
      <c r="C6" s="75">
        <f>SUMIF($A$28:$A$67,A6,$C$28:$C$67)</f>
        <v>54480</v>
      </c>
      <c r="D6" s="35">
        <f>SUMIF($A$28:$A$67,A6,$D$28:$D$67)</f>
        <v>0</v>
      </c>
      <c r="E6" s="75">
        <f>C6-D6</f>
        <v>54480</v>
      </c>
      <c r="F6" s="43">
        <f ca="1">IF(B6="","",MAX(0,(YEAR(B6)-YEAR(TODAY()))*12+MONTH(B6)-MONTH(TODAY())))</f>
        <v>5</v>
      </c>
      <c r="G6" s="75">
        <f ca="1">IF(F6="","",IF(F6=0,I6,I6/F6))</f>
        <v>7896</v>
      </c>
      <c r="H6" s="70">
        <v>15000</v>
      </c>
      <c r="I6" s="75">
        <f>MAX(0,C6-H6)</f>
        <v>39480</v>
      </c>
    </row>
    <row r="7" spans="1:9" x14ac:dyDescent="0.25">
      <c r="A7" s="24" t="s">
        <v>590</v>
      </c>
      <c r="B7" s="23">
        <v>46524</v>
      </c>
      <c r="C7" s="75">
        <f>SUMIF($A$28:$A$67,A7,$C$28:$C$67)</f>
        <v>55000</v>
      </c>
      <c r="D7" s="35">
        <f>SUMIF($A$28:$A$67,A7,$D$28:$D$67)</f>
        <v>0</v>
      </c>
      <c r="E7" s="75">
        <f>C7-D7</f>
        <v>55000</v>
      </c>
      <c r="F7" s="43">
        <f ca="1">IF(B7="","",MAX(0,(YEAR(B7)-YEAR(TODAY()))*12+MONTH(B7)-MONTH(TODAY())))</f>
        <v>7</v>
      </c>
      <c r="G7" s="75">
        <f ca="1">IF(F7="","",IF(F7=0,I7,I7/F7))</f>
        <v>7142.8571428571431</v>
      </c>
      <c r="H7" s="70">
        <v>5000</v>
      </c>
      <c r="I7" s="75">
        <f>MAX(0,C7-H7)</f>
        <v>50000</v>
      </c>
    </row>
    <row r="8" spans="1:9" x14ac:dyDescent="0.25">
      <c r="A8" s="24" t="s">
        <v>591</v>
      </c>
      <c r="B8" s="23">
        <v>46491</v>
      </c>
      <c r="C8" s="75">
        <f>SUMIF($A$28:$A$67,A8,$C$28:$C$67)</f>
        <v>8500</v>
      </c>
      <c r="D8" s="35">
        <f>SUMIF($A$28:$A$67,A8,$D$28:$D$67)</f>
        <v>0</v>
      </c>
      <c r="E8" s="75">
        <f>C8-D8</f>
        <v>8500</v>
      </c>
      <c r="F8" s="43">
        <f ca="1">IF(B8="","",MAX(0,(YEAR(B8)-YEAR(TODAY()))*12+MONTH(B8)-MONTH(TODAY())))</f>
        <v>6</v>
      </c>
      <c r="G8" s="75">
        <f ca="1">IF(F8="","",IF(F8=0,I8,I8/F8))</f>
        <v>1416.6666666666667</v>
      </c>
      <c r="H8" s="70">
        <v>0</v>
      </c>
      <c r="I8" s="75">
        <f>MAX(0,C8-H8)</f>
        <v>8500</v>
      </c>
    </row>
    <row r="9" spans="1:9" x14ac:dyDescent="0.25">
      <c r="A9" s="24" t="s">
        <v>592</v>
      </c>
      <c r="B9" s="23">
        <v>46668</v>
      </c>
      <c r="C9" s="75">
        <f>SUMIF($A$28:$A$67,A9,$C$28:$C$67)</f>
        <v>11000</v>
      </c>
      <c r="D9" s="35">
        <f>SUMIF($A$28:$A$67,A9,$D$28:$D$67)</f>
        <v>0</v>
      </c>
      <c r="E9" s="75">
        <f>C9-D9</f>
        <v>11000</v>
      </c>
      <c r="F9" s="43">
        <f ca="1">IF(B9="","",MAX(0,(YEAR(B9)-YEAR(TODAY()))*12+MONTH(B9)-MONTH(TODAY())))</f>
        <v>12</v>
      </c>
      <c r="G9" s="75">
        <f ca="1">IF(F9="","",IF(F9=0,I9,I9/F9))</f>
        <v>916.66666666666663</v>
      </c>
      <c r="H9" s="70">
        <v>0</v>
      </c>
      <c r="I9" s="75">
        <f>MAX(0,C9-H9)</f>
        <v>11000</v>
      </c>
    </row>
    <row r="10" spans="1:9" x14ac:dyDescent="0.25">
      <c r="A10" s="24" t="s">
        <v>593</v>
      </c>
      <c r="B10" s="23">
        <v>46736</v>
      </c>
      <c r="C10" s="75">
        <f>SUMIF($A$28:$A$67,A10,$C$28:$C$67)</f>
        <v>30000</v>
      </c>
      <c r="D10" s="35">
        <f>SUMIF($A$28:$A$67,A10,$D$28:$D$67)</f>
        <v>0</v>
      </c>
      <c r="E10" s="75">
        <f>C10-D10</f>
        <v>30000</v>
      </c>
      <c r="F10" s="43">
        <f ca="1">IF(B10="","",MAX(0,(YEAR(B10)-YEAR(TODAY()))*12+MONTH(B10)-MONTH(TODAY())))</f>
        <v>14</v>
      </c>
      <c r="G10" s="75">
        <f ca="1">IF(F10="","",IF(F10=0,I10,I10/F10))</f>
        <v>2142.8571428571427</v>
      </c>
      <c r="H10" s="70">
        <v>0</v>
      </c>
      <c r="I10" s="75">
        <f>MAX(0,C10-H10)</f>
        <v>30000</v>
      </c>
    </row>
    <row r="11" spans="1:9" x14ac:dyDescent="0.25">
      <c r="A11" s="19" t="s">
        <v>59</v>
      </c>
      <c r="B11" s="19"/>
      <c r="C11" s="72">
        <f>SUM(C6:C10)</f>
        <v>158980</v>
      </c>
      <c r="D11" s="44">
        <f>SUM(D6:D10)</f>
        <v>0</v>
      </c>
      <c r="E11" s="72">
        <f>SUM(E6:E10)</f>
        <v>158980</v>
      </c>
      <c r="F11" s="19"/>
      <c r="G11" s="72">
        <f ca="1">SUM(G6:G10)</f>
        <v>19515.047619047618</v>
      </c>
      <c r="H11" s="72">
        <f>SUM(H6:H10)</f>
        <v>20000</v>
      </c>
      <c r="I11" s="72">
        <f>SUM(I6:I10)</f>
        <v>138980</v>
      </c>
    </row>
    <row r="13" spans="1:9" x14ac:dyDescent="0.25">
      <c r="A13" s="1" t="s">
        <v>594</v>
      </c>
      <c r="B13" s="1"/>
      <c r="C13" s="1"/>
    </row>
    <row r="14" spans="1:9" x14ac:dyDescent="0.25">
      <c r="A14" s="26" t="s">
        <v>263</v>
      </c>
      <c r="B14" s="7"/>
    </row>
    <row r="15" spans="1:9" x14ac:dyDescent="0.25">
      <c r="A15" s="7" t="s">
        <v>595</v>
      </c>
      <c r="B15" s="45">
        <v>4</v>
      </c>
    </row>
    <row r="16" spans="1:9" x14ac:dyDescent="0.25">
      <c r="A16" s="7" t="s">
        <v>596</v>
      </c>
      <c r="B16" s="70">
        <v>120</v>
      </c>
    </row>
    <row r="17" spans="1:6" x14ac:dyDescent="0.25">
      <c r="A17" s="19" t="s">
        <v>597</v>
      </c>
      <c r="B17" s="72">
        <f>B15*B16</f>
        <v>480</v>
      </c>
    </row>
    <row r="19" spans="1:6" x14ac:dyDescent="0.25">
      <c r="A19" s="26" t="s">
        <v>285</v>
      </c>
      <c r="B19" s="7"/>
    </row>
    <row r="20" spans="1:6" x14ac:dyDescent="0.25">
      <c r="A20" s="7" t="s">
        <v>598</v>
      </c>
      <c r="B20" s="70">
        <v>20000</v>
      </c>
    </row>
    <row r="21" spans="1:6" x14ac:dyDescent="0.25">
      <c r="A21" s="7" t="s">
        <v>599</v>
      </c>
      <c r="B21" s="45">
        <v>1</v>
      </c>
    </row>
    <row r="22" spans="1:6" x14ac:dyDescent="0.25">
      <c r="A22" s="19" t="s">
        <v>600</v>
      </c>
      <c r="B22" s="72">
        <f>B20*B21</f>
        <v>20000</v>
      </c>
    </row>
    <row r="23" spans="1:6" x14ac:dyDescent="0.25">
      <c r="A23" s="7" t="s">
        <v>601</v>
      </c>
      <c r="B23" s="25">
        <v>3000</v>
      </c>
    </row>
    <row r="25" spans="1:6" x14ac:dyDescent="0.25">
      <c r="A25" s="1" t="s">
        <v>602</v>
      </c>
      <c r="B25" s="1"/>
      <c r="C25" s="1"/>
      <c r="D25" s="1"/>
      <c r="E25" s="1"/>
      <c r="F25" s="1"/>
    </row>
    <row r="27" spans="1:6" x14ac:dyDescent="0.25">
      <c r="A27" s="13" t="s">
        <v>582</v>
      </c>
      <c r="B27" s="13" t="s">
        <v>461</v>
      </c>
      <c r="C27" s="13" t="s">
        <v>132</v>
      </c>
      <c r="D27" s="13" t="s">
        <v>133</v>
      </c>
      <c r="E27" s="13" t="s">
        <v>603</v>
      </c>
      <c r="F27" s="13" t="s">
        <v>147</v>
      </c>
    </row>
    <row r="28" spans="1:6" x14ac:dyDescent="0.25">
      <c r="A28" s="24" t="s">
        <v>589</v>
      </c>
      <c r="B28" s="24" t="s">
        <v>604</v>
      </c>
      <c r="C28" s="70">
        <v>25000</v>
      </c>
      <c r="D28" s="25"/>
      <c r="E28" s="75">
        <f t="shared" ref="E28:E67" si="0">IF(C28="","",C28-N(D28))</f>
        <v>25000</v>
      </c>
      <c r="F28" s="24"/>
    </row>
    <row r="29" spans="1:6" x14ac:dyDescent="0.25">
      <c r="A29" s="24" t="s">
        <v>589</v>
      </c>
      <c r="B29" s="24" t="s">
        <v>605</v>
      </c>
      <c r="C29" s="70">
        <v>8000</v>
      </c>
      <c r="D29" s="25"/>
      <c r="E29" s="75">
        <f t="shared" si="0"/>
        <v>8000</v>
      </c>
      <c r="F29" s="24"/>
    </row>
    <row r="30" spans="1:6" x14ac:dyDescent="0.25">
      <c r="A30" s="24" t="s">
        <v>589</v>
      </c>
      <c r="B30" s="24" t="s">
        <v>606</v>
      </c>
      <c r="C30" s="70">
        <v>5000</v>
      </c>
      <c r="D30" s="25"/>
      <c r="E30" s="75">
        <f t="shared" si="0"/>
        <v>5000</v>
      </c>
      <c r="F30" s="24"/>
    </row>
    <row r="31" spans="1:6" x14ac:dyDescent="0.25">
      <c r="A31" s="24" t="s">
        <v>589</v>
      </c>
      <c r="B31" s="24" t="s">
        <v>607</v>
      </c>
      <c r="C31" s="70">
        <v>10000</v>
      </c>
      <c r="D31" s="25"/>
      <c r="E31" s="75">
        <f t="shared" si="0"/>
        <v>10000</v>
      </c>
      <c r="F31" s="24"/>
    </row>
    <row r="32" spans="1:6" x14ac:dyDescent="0.25">
      <c r="A32" s="24" t="s">
        <v>589</v>
      </c>
      <c r="B32" s="24" t="s">
        <v>608</v>
      </c>
      <c r="C32" s="70">
        <v>6000</v>
      </c>
      <c r="D32" s="25"/>
      <c r="E32" s="75">
        <f t="shared" si="0"/>
        <v>6000</v>
      </c>
      <c r="F32" s="24"/>
    </row>
    <row r="33" spans="1:6" x14ac:dyDescent="0.25">
      <c r="A33" s="24" t="s">
        <v>589</v>
      </c>
      <c r="B33" s="24" t="s">
        <v>263</v>
      </c>
      <c r="C33" s="75">
        <f>$B$17</f>
        <v>480</v>
      </c>
      <c r="D33" s="25"/>
      <c r="E33" s="75">
        <f t="shared" si="0"/>
        <v>480</v>
      </c>
      <c r="F33" s="24"/>
    </row>
    <row r="34" spans="1:6" x14ac:dyDescent="0.25">
      <c r="A34" s="24" t="s">
        <v>590</v>
      </c>
      <c r="B34" s="24" t="s">
        <v>609</v>
      </c>
      <c r="C34" s="75">
        <f>$B$22</f>
        <v>20000</v>
      </c>
      <c r="D34" s="25"/>
      <c r="E34" s="75">
        <f t="shared" si="0"/>
        <v>20000</v>
      </c>
      <c r="F34" s="24"/>
    </row>
    <row r="35" spans="1:6" x14ac:dyDescent="0.25">
      <c r="A35" s="24" t="s">
        <v>590</v>
      </c>
      <c r="B35" s="24" t="s">
        <v>610</v>
      </c>
      <c r="C35" s="75">
        <f>$B$23</f>
        <v>3000</v>
      </c>
      <c r="D35" s="25"/>
      <c r="E35" s="75">
        <f t="shared" si="0"/>
        <v>3000</v>
      </c>
      <c r="F35" s="24"/>
    </row>
    <row r="36" spans="1:6" x14ac:dyDescent="0.25">
      <c r="A36" s="24" t="s">
        <v>590</v>
      </c>
      <c r="B36" s="24" t="s">
        <v>611</v>
      </c>
      <c r="C36" s="70">
        <v>15000</v>
      </c>
      <c r="D36" s="25"/>
      <c r="E36" s="75">
        <f t="shared" si="0"/>
        <v>15000</v>
      </c>
      <c r="F36" s="24"/>
    </row>
    <row r="37" spans="1:6" x14ac:dyDescent="0.25">
      <c r="A37" s="24" t="s">
        <v>590</v>
      </c>
      <c r="B37" s="24" t="s">
        <v>612</v>
      </c>
      <c r="C37" s="70">
        <v>8000</v>
      </c>
      <c r="D37" s="25"/>
      <c r="E37" s="75">
        <f t="shared" si="0"/>
        <v>8000</v>
      </c>
      <c r="F37" s="24"/>
    </row>
    <row r="38" spans="1:6" x14ac:dyDescent="0.25">
      <c r="A38" s="24" t="s">
        <v>590</v>
      </c>
      <c r="B38" s="24" t="s">
        <v>606</v>
      </c>
      <c r="C38" s="70">
        <v>3000</v>
      </c>
      <c r="D38" s="25"/>
      <c r="E38" s="75">
        <f t="shared" si="0"/>
        <v>3000</v>
      </c>
      <c r="F38" s="24"/>
    </row>
    <row r="39" spans="1:6" x14ac:dyDescent="0.25">
      <c r="A39" s="24" t="s">
        <v>590</v>
      </c>
      <c r="B39" s="24" t="s">
        <v>613</v>
      </c>
      <c r="C39" s="70">
        <v>6000</v>
      </c>
      <c r="D39" s="25"/>
      <c r="E39" s="75">
        <f t="shared" si="0"/>
        <v>6000</v>
      </c>
      <c r="F39" s="24"/>
    </row>
    <row r="40" spans="1:6" x14ac:dyDescent="0.25">
      <c r="A40" s="24" t="s">
        <v>591</v>
      </c>
      <c r="B40" s="24" t="s">
        <v>614</v>
      </c>
      <c r="C40" s="70">
        <v>4000</v>
      </c>
      <c r="D40" s="25"/>
      <c r="E40" s="75">
        <f t="shared" si="0"/>
        <v>4000</v>
      </c>
      <c r="F40" s="24"/>
    </row>
    <row r="41" spans="1:6" x14ac:dyDescent="0.25">
      <c r="A41" s="24" t="s">
        <v>591</v>
      </c>
      <c r="B41" s="24" t="s">
        <v>615</v>
      </c>
      <c r="C41" s="70">
        <v>3000</v>
      </c>
      <c r="D41" s="25"/>
      <c r="E41" s="75">
        <f t="shared" si="0"/>
        <v>3000</v>
      </c>
      <c r="F41" s="24"/>
    </row>
    <row r="42" spans="1:6" x14ac:dyDescent="0.25">
      <c r="A42" s="24" t="s">
        <v>591</v>
      </c>
      <c r="B42" s="24" t="s">
        <v>616</v>
      </c>
      <c r="C42" s="70">
        <v>1500</v>
      </c>
      <c r="D42" s="25"/>
      <c r="E42" s="75">
        <f t="shared" si="0"/>
        <v>1500</v>
      </c>
      <c r="F42" s="24"/>
    </row>
    <row r="43" spans="1:6" x14ac:dyDescent="0.25">
      <c r="A43" s="24" t="s">
        <v>592</v>
      </c>
      <c r="B43" s="24" t="s">
        <v>617</v>
      </c>
      <c r="C43" s="70">
        <v>6000</v>
      </c>
      <c r="D43" s="25"/>
      <c r="E43" s="75">
        <f t="shared" si="0"/>
        <v>6000</v>
      </c>
      <c r="F43" s="24"/>
    </row>
    <row r="44" spans="1:6" x14ac:dyDescent="0.25">
      <c r="A44" s="24" t="s">
        <v>592</v>
      </c>
      <c r="B44" s="24" t="s">
        <v>618</v>
      </c>
      <c r="C44" s="70">
        <v>3000</v>
      </c>
      <c r="D44" s="25"/>
      <c r="E44" s="75">
        <f t="shared" si="0"/>
        <v>3000</v>
      </c>
      <c r="F44" s="24"/>
    </row>
    <row r="45" spans="1:6" x14ac:dyDescent="0.25">
      <c r="A45" s="24" t="s">
        <v>592</v>
      </c>
      <c r="B45" s="24" t="s">
        <v>619</v>
      </c>
      <c r="C45" s="70">
        <v>2000</v>
      </c>
      <c r="D45" s="25"/>
      <c r="E45" s="75">
        <f t="shared" si="0"/>
        <v>2000</v>
      </c>
      <c r="F45" s="24"/>
    </row>
    <row r="46" spans="1:6" x14ac:dyDescent="0.25">
      <c r="A46" s="24" t="s">
        <v>593</v>
      </c>
      <c r="B46" s="24" t="s">
        <v>620</v>
      </c>
      <c r="C46" s="70">
        <v>10000</v>
      </c>
      <c r="D46" s="25"/>
      <c r="E46" s="75">
        <f t="shared" si="0"/>
        <v>10000</v>
      </c>
      <c r="F46" s="24"/>
    </row>
    <row r="47" spans="1:6" x14ac:dyDescent="0.25">
      <c r="A47" s="24" t="s">
        <v>593</v>
      </c>
      <c r="B47" s="24" t="s">
        <v>621</v>
      </c>
      <c r="C47" s="70">
        <v>8000</v>
      </c>
      <c r="D47" s="25"/>
      <c r="E47" s="75">
        <f t="shared" si="0"/>
        <v>8000</v>
      </c>
      <c r="F47" s="24"/>
    </row>
    <row r="48" spans="1:6" x14ac:dyDescent="0.25">
      <c r="A48" s="24" t="s">
        <v>593</v>
      </c>
      <c r="B48" s="24" t="s">
        <v>622</v>
      </c>
      <c r="C48" s="70">
        <v>7000</v>
      </c>
      <c r="D48" s="25"/>
      <c r="E48" s="75">
        <f t="shared" si="0"/>
        <v>7000</v>
      </c>
      <c r="F48" s="24"/>
    </row>
    <row r="49" spans="1:6" x14ac:dyDescent="0.25">
      <c r="A49" s="24" t="s">
        <v>593</v>
      </c>
      <c r="B49" s="24" t="s">
        <v>623</v>
      </c>
      <c r="C49" s="70">
        <v>5000</v>
      </c>
      <c r="D49" s="25"/>
      <c r="E49" s="75">
        <f t="shared" si="0"/>
        <v>5000</v>
      </c>
      <c r="F49" s="24"/>
    </row>
    <row r="50" spans="1:6" x14ac:dyDescent="0.25">
      <c r="A50" s="24"/>
      <c r="B50" s="24"/>
      <c r="C50" s="70"/>
      <c r="D50" s="25"/>
      <c r="E50" s="75" t="str">
        <f t="shared" si="0"/>
        <v/>
      </c>
      <c r="F50" s="24"/>
    </row>
    <row r="51" spans="1:6" x14ac:dyDescent="0.25">
      <c r="A51" s="24"/>
      <c r="B51" s="24"/>
      <c r="C51" s="70"/>
      <c r="D51" s="25"/>
      <c r="E51" s="75" t="str">
        <f t="shared" si="0"/>
        <v/>
      </c>
      <c r="F51" s="24"/>
    </row>
    <row r="52" spans="1:6" x14ac:dyDescent="0.25">
      <c r="A52" s="24"/>
      <c r="B52" s="24"/>
      <c r="C52" s="70"/>
      <c r="D52" s="25"/>
      <c r="E52" s="75" t="str">
        <f t="shared" si="0"/>
        <v/>
      </c>
      <c r="F52" s="24"/>
    </row>
    <row r="53" spans="1:6" x14ac:dyDescent="0.25">
      <c r="A53" s="24"/>
      <c r="B53" s="24"/>
      <c r="C53" s="70"/>
      <c r="D53" s="25"/>
      <c r="E53" s="75" t="str">
        <f t="shared" si="0"/>
        <v/>
      </c>
      <c r="F53" s="24"/>
    </row>
    <row r="54" spans="1:6" x14ac:dyDescent="0.25">
      <c r="A54" s="24"/>
      <c r="B54" s="24"/>
      <c r="C54" s="70"/>
      <c r="D54" s="25"/>
      <c r="E54" s="75" t="str">
        <f t="shared" si="0"/>
        <v/>
      </c>
      <c r="F54" s="24"/>
    </row>
    <row r="55" spans="1:6" x14ac:dyDescent="0.25">
      <c r="A55" s="24"/>
      <c r="B55" s="24"/>
      <c r="C55" s="70"/>
      <c r="D55" s="25"/>
      <c r="E55" s="75" t="str">
        <f t="shared" si="0"/>
        <v/>
      </c>
      <c r="F55" s="24"/>
    </row>
    <row r="56" spans="1:6" x14ac:dyDescent="0.25">
      <c r="A56" s="24"/>
      <c r="B56" s="24"/>
      <c r="C56" s="70"/>
      <c r="D56" s="25"/>
      <c r="E56" s="75" t="str">
        <f t="shared" si="0"/>
        <v/>
      </c>
      <c r="F56" s="24"/>
    </row>
    <row r="57" spans="1:6" x14ac:dyDescent="0.25">
      <c r="A57" s="24"/>
      <c r="B57" s="24"/>
      <c r="C57" s="70"/>
      <c r="D57" s="25"/>
      <c r="E57" s="75" t="str">
        <f t="shared" si="0"/>
        <v/>
      </c>
      <c r="F57" s="24"/>
    </row>
    <row r="58" spans="1:6" x14ac:dyDescent="0.25">
      <c r="A58" s="24"/>
      <c r="B58" s="24"/>
      <c r="C58" s="70"/>
      <c r="D58" s="25"/>
      <c r="E58" s="75" t="str">
        <f t="shared" si="0"/>
        <v/>
      </c>
      <c r="F58" s="24"/>
    </row>
    <row r="59" spans="1:6" x14ac:dyDescent="0.25">
      <c r="A59" s="24"/>
      <c r="B59" s="24"/>
      <c r="C59" s="70"/>
      <c r="D59" s="25"/>
      <c r="E59" s="75" t="str">
        <f t="shared" si="0"/>
        <v/>
      </c>
      <c r="F59" s="24"/>
    </row>
    <row r="60" spans="1:6" x14ac:dyDescent="0.25">
      <c r="A60" s="24"/>
      <c r="B60" s="24"/>
      <c r="C60" s="70"/>
      <c r="D60" s="25"/>
      <c r="E60" s="75" t="str">
        <f t="shared" si="0"/>
        <v/>
      </c>
      <c r="F60" s="24"/>
    </row>
    <row r="61" spans="1:6" x14ac:dyDescent="0.25">
      <c r="A61" s="24"/>
      <c r="B61" s="24"/>
      <c r="C61" s="70"/>
      <c r="D61" s="25"/>
      <c r="E61" s="75" t="str">
        <f t="shared" si="0"/>
        <v/>
      </c>
      <c r="F61" s="24"/>
    </row>
    <row r="62" spans="1:6" x14ac:dyDescent="0.25">
      <c r="A62" s="24"/>
      <c r="B62" s="24"/>
      <c r="C62" s="70"/>
      <c r="D62" s="25"/>
      <c r="E62" s="75" t="str">
        <f t="shared" si="0"/>
        <v/>
      </c>
      <c r="F62" s="24"/>
    </row>
    <row r="63" spans="1:6" x14ac:dyDescent="0.25">
      <c r="A63" s="24"/>
      <c r="B63" s="24"/>
      <c r="C63" s="70"/>
      <c r="D63" s="25"/>
      <c r="E63" s="75" t="str">
        <f t="shared" si="0"/>
        <v/>
      </c>
      <c r="F63" s="24"/>
    </row>
    <row r="64" spans="1:6" x14ac:dyDescent="0.25">
      <c r="A64" s="24"/>
      <c r="B64" s="24"/>
      <c r="C64" s="70"/>
      <c r="D64" s="25"/>
      <c r="E64" s="75" t="str">
        <f t="shared" si="0"/>
        <v/>
      </c>
      <c r="F64" s="24"/>
    </row>
    <row r="65" spans="1:6" x14ac:dyDescent="0.25">
      <c r="A65" s="24"/>
      <c r="B65" s="24"/>
      <c r="C65" s="70"/>
      <c r="D65" s="25"/>
      <c r="E65" s="75" t="str">
        <f t="shared" si="0"/>
        <v/>
      </c>
      <c r="F65" s="24"/>
    </row>
    <row r="66" spans="1:6" x14ac:dyDescent="0.25">
      <c r="A66" s="24"/>
      <c r="B66" s="24"/>
      <c r="C66" s="70"/>
      <c r="D66" s="25"/>
      <c r="E66" s="75" t="str">
        <f t="shared" si="0"/>
        <v/>
      </c>
      <c r="F66" s="24"/>
    </row>
    <row r="67" spans="1:6" x14ac:dyDescent="0.25">
      <c r="A67" s="24"/>
      <c r="B67" s="24"/>
      <c r="C67" s="70"/>
      <c r="D67" s="25"/>
      <c r="E67" s="75" t="str">
        <f t="shared" si="0"/>
        <v/>
      </c>
      <c r="F67" s="24"/>
    </row>
    <row r="68" spans="1:6" x14ac:dyDescent="0.25">
      <c r="C68" s="76"/>
    </row>
  </sheetData>
  <mergeCells count="2">
    <mergeCell ref="A1:I1"/>
    <mergeCell ref="A2:I2"/>
  </mergeCells>
  <conditionalFormatting sqref="E6:E11">
    <cfRule type="cellIs" dxfId="5" priority="3" operator="lessThan">
      <formula>0</formula>
    </cfRule>
  </conditionalFormatting>
  <conditionalFormatting sqref="E28:E67">
    <cfRule type="cellIs" dxfId="4" priority="2" operator="lessThan">
      <formula>0</formula>
    </cfRule>
  </conditionalFormatting>
  <dataValidations count="1">
    <dataValidation type="list" allowBlank="1" showErrorMessage="1" errorTitle="Invalid entry" error="Please pick a value from the dropdown list." sqref="A28:A67" xr:uid="{00000000-0002-0000-0C00-000000000000}">
      <formula1>$A$6:$A$10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2A41"/>
    <pageSetUpPr fitToPage="1"/>
  </sheetPr>
  <dimension ref="A1:L3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5" sqref="M15"/>
    </sheetView>
  </sheetViews>
  <sheetFormatPr defaultColWidth="8.7109375" defaultRowHeight="15" x14ac:dyDescent="0.25"/>
  <cols>
    <col min="1" max="1" width="32" customWidth="1"/>
    <col min="2" max="2" width="26" customWidth="1"/>
    <col min="3" max="3" width="38" customWidth="1"/>
    <col min="4" max="4" width="13" customWidth="1"/>
    <col min="5" max="5" width="14.7109375" bestFit="1" customWidth="1"/>
    <col min="6" max="6" width="11.42578125" bestFit="1" customWidth="1"/>
    <col min="7" max="7" width="24" bestFit="1" customWidth="1"/>
    <col min="8" max="8" width="14.7109375" bestFit="1" customWidth="1"/>
    <col min="9" max="9" width="15.7109375" bestFit="1" customWidth="1"/>
    <col min="10" max="10" width="11" customWidth="1"/>
    <col min="11" max="11" width="13" customWidth="1"/>
    <col min="12" max="12" width="28" customWidth="1"/>
  </cols>
  <sheetData>
    <row r="1" spans="1:12" ht="33.75" customHeight="1" x14ac:dyDescent="0.25">
      <c r="A1" s="81" t="s">
        <v>624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25.5" customHeight="1" x14ac:dyDescent="0.25">
      <c r="A2" s="82" t="s">
        <v>625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5" spans="1:12" ht="31.5" customHeight="1" x14ac:dyDescent="0.25">
      <c r="A5" s="13" t="s">
        <v>626</v>
      </c>
      <c r="B5" s="13" t="s">
        <v>430</v>
      </c>
      <c r="C5" s="13" t="s">
        <v>627</v>
      </c>
      <c r="D5" s="13" t="s">
        <v>628</v>
      </c>
      <c r="E5" s="13" t="s">
        <v>120</v>
      </c>
      <c r="F5" s="13" t="s">
        <v>629</v>
      </c>
      <c r="G5" s="13" t="s">
        <v>630</v>
      </c>
      <c r="H5" s="13" t="s">
        <v>631</v>
      </c>
      <c r="I5" s="13" t="s">
        <v>632</v>
      </c>
      <c r="J5" s="13" t="s">
        <v>633</v>
      </c>
      <c r="K5" s="13" t="s">
        <v>118</v>
      </c>
      <c r="L5" s="13" t="s">
        <v>147</v>
      </c>
    </row>
    <row r="6" spans="1:12" x14ac:dyDescent="0.25">
      <c r="A6" s="24" t="s">
        <v>634</v>
      </c>
      <c r="B6" s="24" t="s">
        <v>160</v>
      </c>
      <c r="C6" s="24" t="s">
        <v>158</v>
      </c>
      <c r="D6" s="41" t="s">
        <v>635</v>
      </c>
      <c r="E6" s="70">
        <v>22000</v>
      </c>
      <c r="F6" s="23">
        <v>46329</v>
      </c>
      <c r="G6" s="24" t="s">
        <v>151</v>
      </c>
      <c r="H6" s="71">
        <f>IF(OR(E6="",D6=""),"",E6/INDEX(Settings!$R$4:$R$7,MATCH(D6,Settings!$Q$4:$Q$7,0)))</f>
        <v>22000</v>
      </c>
      <c r="I6" s="75">
        <f t="shared" ref="I6:I30" si="0">IF(H6="","",H6*12)</f>
        <v>264000</v>
      </c>
      <c r="J6" s="8">
        <f t="shared" ref="J6:J30" ca="1" si="1">IF(F6="","",F6-TODAY())</f>
        <v>14</v>
      </c>
      <c r="K6" s="30" t="str">
        <f t="shared" ref="K6:K30" ca="1" si="2">IF(J6="","",IF(J6&lt;0,"Overdue",IF(J6&lt;=7,"Due Soon",IF(J6&lt;=30,"This Month","Upcoming"))))</f>
        <v>This Month</v>
      </c>
      <c r="L6" s="24" t="s">
        <v>636</v>
      </c>
    </row>
    <row r="7" spans="1:12" x14ac:dyDescent="0.25">
      <c r="A7" s="24" t="s">
        <v>637</v>
      </c>
      <c r="B7" s="24" t="s">
        <v>187</v>
      </c>
      <c r="C7" s="24" t="s">
        <v>185</v>
      </c>
      <c r="D7" s="41" t="s">
        <v>635</v>
      </c>
      <c r="E7" s="70">
        <v>3000</v>
      </c>
      <c r="F7" s="23">
        <v>46323</v>
      </c>
      <c r="G7" s="24" t="s">
        <v>180</v>
      </c>
      <c r="H7" s="71">
        <f>IF(OR(E7="",D7=""),"",E7/INDEX(Settings!$R$4:$R$7,MATCH(D7,Settings!$Q$4:$Q$7,0)))</f>
        <v>3000</v>
      </c>
      <c r="I7" s="75">
        <f t="shared" si="0"/>
        <v>36000</v>
      </c>
      <c r="J7" s="8">
        <f t="shared" ca="1" si="1"/>
        <v>8</v>
      </c>
      <c r="K7" s="30" t="str">
        <f t="shared" ca="1" si="2"/>
        <v>This Month</v>
      </c>
      <c r="L7" s="24" t="s">
        <v>638</v>
      </c>
    </row>
    <row r="8" spans="1:12" x14ac:dyDescent="0.25">
      <c r="A8" s="24" t="s">
        <v>194</v>
      </c>
      <c r="B8" s="24" t="s">
        <v>195</v>
      </c>
      <c r="C8" s="24" t="s">
        <v>193</v>
      </c>
      <c r="D8" s="41" t="s">
        <v>635</v>
      </c>
      <c r="E8" s="70">
        <v>1080</v>
      </c>
      <c r="F8" s="23">
        <v>46336</v>
      </c>
      <c r="G8" s="24" t="s">
        <v>180</v>
      </c>
      <c r="H8" s="71">
        <f>IF(OR(E8="",D8=""),"",E8/INDEX(Settings!$R$4:$R$7,MATCH(D8,Settings!$Q$4:$Q$7,0)))</f>
        <v>1080</v>
      </c>
      <c r="I8" s="75">
        <f t="shared" si="0"/>
        <v>12960</v>
      </c>
      <c r="J8" s="8">
        <f t="shared" ca="1" si="1"/>
        <v>21</v>
      </c>
      <c r="K8" s="30" t="str">
        <f t="shared" ca="1" si="2"/>
        <v>This Month</v>
      </c>
      <c r="L8" s="24" t="s">
        <v>639</v>
      </c>
    </row>
    <row r="9" spans="1:12" x14ac:dyDescent="0.25">
      <c r="A9" s="24" t="s">
        <v>640</v>
      </c>
      <c r="B9" s="24" t="s">
        <v>204</v>
      </c>
      <c r="C9" s="24" t="s">
        <v>202</v>
      </c>
      <c r="D9" s="41" t="s">
        <v>635</v>
      </c>
      <c r="E9" s="70">
        <v>900</v>
      </c>
      <c r="F9" s="23">
        <v>46338</v>
      </c>
      <c r="G9" s="24" t="s">
        <v>180</v>
      </c>
      <c r="H9" s="71">
        <f>IF(OR(E9="",D9=""),"",E9/INDEX(Settings!$R$4:$R$7,MATCH(D9,Settings!$Q$4:$Q$7,0)))</f>
        <v>900</v>
      </c>
      <c r="I9" s="75">
        <f t="shared" si="0"/>
        <v>10800</v>
      </c>
      <c r="J9" s="8">
        <f t="shared" ca="1" si="1"/>
        <v>23</v>
      </c>
      <c r="K9" s="30" t="str">
        <f t="shared" ca="1" si="2"/>
        <v>This Month</v>
      </c>
      <c r="L9" s="24"/>
    </row>
    <row r="10" spans="1:12" x14ac:dyDescent="0.25">
      <c r="A10" s="24" t="s">
        <v>641</v>
      </c>
      <c r="B10" s="24" t="s">
        <v>181</v>
      </c>
      <c r="C10" s="24" t="s">
        <v>178</v>
      </c>
      <c r="D10" s="41" t="s">
        <v>635</v>
      </c>
      <c r="E10" s="70">
        <v>1000</v>
      </c>
      <c r="F10" s="23">
        <v>46332</v>
      </c>
      <c r="G10" s="24" t="s">
        <v>180</v>
      </c>
      <c r="H10" s="71">
        <f>IF(OR(E10="",D10=""),"",E10/INDEX(Settings!$R$4:$R$7,MATCH(D10,Settings!$Q$4:$Q$7,0)))</f>
        <v>1000</v>
      </c>
      <c r="I10" s="75">
        <f t="shared" si="0"/>
        <v>12000</v>
      </c>
      <c r="J10" s="8">
        <f t="shared" ca="1" si="1"/>
        <v>17</v>
      </c>
      <c r="K10" s="30" t="str">
        <f t="shared" ca="1" si="2"/>
        <v>This Month</v>
      </c>
      <c r="L10" s="24"/>
    </row>
    <row r="11" spans="1:12" x14ac:dyDescent="0.25">
      <c r="A11" s="24" t="s">
        <v>642</v>
      </c>
      <c r="B11" s="24" t="s">
        <v>190</v>
      </c>
      <c r="C11" s="24" t="s">
        <v>188</v>
      </c>
      <c r="D11" s="41" t="s">
        <v>635</v>
      </c>
      <c r="E11" s="70">
        <v>700</v>
      </c>
      <c r="F11" s="23">
        <v>46335</v>
      </c>
      <c r="G11" s="24" t="s">
        <v>180</v>
      </c>
      <c r="H11" s="71">
        <f>IF(OR(E11="",D11=""),"",E11/INDEX(Settings!$R$4:$R$7,MATCH(D11,Settings!$Q$4:$Q$7,0)))</f>
        <v>700</v>
      </c>
      <c r="I11" s="75">
        <f t="shared" si="0"/>
        <v>8400</v>
      </c>
      <c r="J11" s="8">
        <f t="shared" ca="1" si="1"/>
        <v>20</v>
      </c>
      <c r="K11" s="30" t="str">
        <f t="shared" ca="1" si="2"/>
        <v>This Month</v>
      </c>
      <c r="L11" s="24"/>
    </row>
    <row r="12" spans="1:12" x14ac:dyDescent="0.25">
      <c r="A12" s="24" t="s">
        <v>643</v>
      </c>
      <c r="B12" s="24" t="s">
        <v>157</v>
      </c>
      <c r="C12" s="24" t="s">
        <v>154</v>
      </c>
      <c r="D12" s="41" t="s">
        <v>635</v>
      </c>
      <c r="E12" s="70">
        <v>1100</v>
      </c>
      <c r="F12" s="23">
        <v>46328</v>
      </c>
      <c r="G12" s="24" t="s">
        <v>156</v>
      </c>
      <c r="H12" s="71">
        <f>IF(OR(E12="",D12=""),"",E12/INDEX(Settings!$R$4:$R$7,MATCH(D12,Settings!$Q$4:$Q$7,0)))</f>
        <v>1100</v>
      </c>
      <c r="I12" s="75">
        <f t="shared" si="0"/>
        <v>13200</v>
      </c>
      <c r="J12" s="8">
        <f t="shared" ca="1" si="1"/>
        <v>13</v>
      </c>
      <c r="K12" s="30" t="str">
        <f t="shared" ca="1" si="2"/>
        <v>This Month</v>
      </c>
      <c r="L12" s="24" t="s">
        <v>644</v>
      </c>
    </row>
    <row r="13" spans="1:12" x14ac:dyDescent="0.25">
      <c r="A13" s="24" t="s">
        <v>645</v>
      </c>
      <c r="B13" s="24" t="s">
        <v>177</v>
      </c>
      <c r="C13" s="24" t="s">
        <v>175</v>
      </c>
      <c r="D13" s="41" t="s">
        <v>635</v>
      </c>
      <c r="E13" s="70">
        <v>3500</v>
      </c>
      <c r="F13" s="23">
        <v>46331</v>
      </c>
      <c r="G13" s="24" t="s">
        <v>151</v>
      </c>
      <c r="H13" s="71">
        <f>IF(OR(E13="",D13=""),"",E13/INDEX(Settings!$R$4:$R$7,MATCH(D13,Settings!$Q$4:$Q$7,0)))</f>
        <v>3500</v>
      </c>
      <c r="I13" s="75">
        <f t="shared" si="0"/>
        <v>42000</v>
      </c>
      <c r="J13" s="8">
        <f t="shared" ca="1" si="1"/>
        <v>16</v>
      </c>
      <c r="K13" s="30" t="str">
        <f t="shared" ca="1" si="2"/>
        <v>This Month</v>
      </c>
      <c r="L13" s="24"/>
    </row>
    <row r="14" spans="1:12" x14ac:dyDescent="0.25">
      <c r="A14" s="24" t="s">
        <v>166</v>
      </c>
      <c r="B14" s="24" t="s">
        <v>167</v>
      </c>
      <c r="C14" s="24" t="s">
        <v>165</v>
      </c>
      <c r="D14" s="41" t="s">
        <v>635</v>
      </c>
      <c r="E14" s="70">
        <v>3000</v>
      </c>
      <c r="F14" s="23">
        <v>46331</v>
      </c>
      <c r="G14" s="24" t="s">
        <v>163</v>
      </c>
      <c r="H14" s="71">
        <f>IF(OR(E14="",D14=""),"",E14/INDEX(Settings!$R$4:$R$7,MATCH(D14,Settings!$Q$4:$Q$7,0)))</f>
        <v>3000</v>
      </c>
      <c r="I14" s="75">
        <f t="shared" si="0"/>
        <v>36000</v>
      </c>
      <c r="J14" s="8">
        <f t="shared" ca="1" si="1"/>
        <v>16</v>
      </c>
      <c r="K14" s="30" t="str">
        <f t="shared" ca="1" si="2"/>
        <v>This Month</v>
      </c>
      <c r="L14" s="24"/>
    </row>
    <row r="15" spans="1:12" x14ac:dyDescent="0.25">
      <c r="A15" s="24" t="s">
        <v>213</v>
      </c>
      <c r="B15" s="24" t="s">
        <v>214</v>
      </c>
      <c r="C15" s="24" t="s">
        <v>212</v>
      </c>
      <c r="D15" s="41" t="s">
        <v>646</v>
      </c>
      <c r="E15" s="70">
        <v>7500</v>
      </c>
      <c r="F15" s="23">
        <v>46371</v>
      </c>
      <c r="G15" s="24" t="s">
        <v>170</v>
      </c>
      <c r="H15" s="71">
        <f>IF(OR(E15="",D15=""),"",E15/INDEX(Settings!$R$4:$R$7,MATCH(D15,Settings!$Q$4:$Q$7,0)))</f>
        <v>2500</v>
      </c>
      <c r="I15" s="75">
        <f t="shared" si="0"/>
        <v>30000</v>
      </c>
      <c r="J15" s="8">
        <f t="shared" ca="1" si="1"/>
        <v>56</v>
      </c>
      <c r="K15" s="30" t="str">
        <f t="shared" ca="1" si="2"/>
        <v>Upcoming</v>
      </c>
      <c r="L15" s="24" t="s">
        <v>647</v>
      </c>
    </row>
    <row r="16" spans="1:12" x14ac:dyDescent="0.25">
      <c r="A16" s="24" t="s">
        <v>648</v>
      </c>
      <c r="B16" s="24" t="s">
        <v>649</v>
      </c>
      <c r="C16" s="24" t="s">
        <v>650</v>
      </c>
      <c r="D16" s="41" t="s">
        <v>651</v>
      </c>
      <c r="E16" s="70">
        <v>9000</v>
      </c>
      <c r="F16" s="23">
        <v>46568</v>
      </c>
      <c r="G16" s="24" t="s">
        <v>151</v>
      </c>
      <c r="H16" s="71">
        <f>IF(OR(E16="",D16=""),"",E16/INDEX(Settings!$R$4:$R$7,MATCH(D16,Settings!$Q$4:$Q$7,0)))</f>
        <v>750</v>
      </c>
      <c r="I16" s="75">
        <f t="shared" si="0"/>
        <v>9000</v>
      </c>
      <c r="J16" s="8">
        <f t="shared" ca="1" si="1"/>
        <v>253</v>
      </c>
      <c r="K16" s="30" t="str">
        <f t="shared" ca="1" si="2"/>
        <v>Upcoming</v>
      </c>
      <c r="L16" s="24" t="s">
        <v>652</v>
      </c>
    </row>
    <row r="17" spans="1:12" x14ac:dyDescent="0.25">
      <c r="A17" s="24" t="s">
        <v>653</v>
      </c>
      <c r="B17" s="24" t="s">
        <v>654</v>
      </c>
      <c r="C17" s="24" t="s">
        <v>265</v>
      </c>
      <c r="D17" s="41" t="s">
        <v>651</v>
      </c>
      <c r="E17" s="70">
        <v>3500</v>
      </c>
      <c r="F17" s="23">
        <v>46418</v>
      </c>
      <c r="G17" s="24" t="s">
        <v>163</v>
      </c>
      <c r="H17" s="71">
        <f>IF(OR(E17="",D17=""),"",E17/INDEX(Settings!$R$4:$R$7,MATCH(D17,Settings!$Q$4:$Q$7,0)))</f>
        <v>291.66666666666669</v>
      </c>
      <c r="I17" s="75">
        <f t="shared" si="0"/>
        <v>3500</v>
      </c>
      <c r="J17" s="8">
        <f t="shared" ca="1" si="1"/>
        <v>103</v>
      </c>
      <c r="K17" s="30" t="str">
        <f t="shared" ca="1" si="2"/>
        <v>Upcoming</v>
      </c>
      <c r="L17" s="24" t="s">
        <v>655</v>
      </c>
    </row>
    <row r="18" spans="1:12" x14ac:dyDescent="0.25">
      <c r="A18" s="24" t="s">
        <v>656</v>
      </c>
      <c r="B18" s="24" t="s">
        <v>177</v>
      </c>
      <c r="C18" s="24" t="s">
        <v>175</v>
      </c>
      <c r="D18" s="41" t="s">
        <v>651</v>
      </c>
      <c r="E18" s="70">
        <v>12000</v>
      </c>
      <c r="F18" s="23">
        <v>46397</v>
      </c>
      <c r="G18" s="24" t="s">
        <v>151</v>
      </c>
      <c r="H18" s="71">
        <f>IF(OR(E18="",D18=""),"",E18/INDEX(Settings!$R$4:$R$7,MATCH(D18,Settings!$Q$4:$Q$7,0)))</f>
        <v>1000</v>
      </c>
      <c r="I18" s="75">
        <f t="shared" si="0"/>
        <v>12000</v>
      </c>
      <c r="J18" s="8">
        <f t="shared" ca="1" si="1"/>
        <v>82</v>
      </c>
      <c r="K18" s="30" t="str">
        <f t="shared" ca="1" si="2"/>
        <v>Upcoming</v>
      </c>
      <c r="L18" s="24"/>
    </row>
    <row r="19" spans="1:12" x14ac:dyDescent="0.25">
      <c r="A19" s="24" t="s">
        <v>657</v>
      </c>
      <c r="B19" s="24" t="s">
        <v>449</v>
      </c>
      <c r="C19" s="24" t="s">
        <v>231</v>
      </c>
      <c r="D19" s="41" t="s">
        <v>651</v>
      </c>
      <c r="E19" s="70">
        <v>2300</v>
      </c>
      <c r="F19" s="23">
        <v>46447</v>
      </c>
      <c r="G19" s="24" t="s">
        <v>156</v>
      </c>
      <c r="H19" s="71">
        <f>IF(OR(E19="",D19=""),"",E19/INDEX(Settings!$R$4:$R$7,MATCH(D19,Settings!$Q$4:$Q$7,0)))</f>
        <v>191.66666666666666</v>
      </c>
      <c r="I19" s="75">
        <f t="shared" si="0"/>
        <v>2300</v>
      </c>
      <c r="J19" s="8">
        <f t="shared" ca="1" si="1"/>
        <v>132</v>
      </c>
      <c r="K19" s="30" t="str">
        <f t="shared" ca="1" si="2"/>
        <v>Upcoming</v>
      </c>
      <c r="L19" s="24" t="s">
        <v>658</v>
      </c>
    </row>
    <row r="20" spans="1:12" x14ac:dyDescent="0.25">
      <c r="A20" s="24"/>
      <c r="B20" s="24"/>
      <c r="C20" s="24"/>
      <c r="D20" s="41"/>
      <c r="E20" s="70"/>
      <c r="F20" s="23"/>
      <c r="G20" s="24"/>
      <c r="H20" s="71" t="str">
        <f>IF(OR(E20="",D20=""),"",E20/INDEX(Settings!$R$4:$R$7,MATCH(D20,Settings!$Q$4:$Q$7,0)))</f>
        <v/>
      </c>
      <c r="I20" s="75" t="str">
        <f t="shared" si="0"/>
        <v/>
      </c>
      <c r="J20" s="8" t="str">
        <f t="shared" ca="1" si="1"/>
        <v/>
      </c>
      <c r="K20" s="30" t="str">
        <f t="shared" ca="1" si="2"/>
        <v/>
      </c>
      <c r="L20" s="24"/>
    </row>
    <row r="21" spans="1:12" x14ac:dyDescent="0.25">
      <c r="A21" s="24"/>
      <c r="B21" s="24"/>
      <c r="C21" s="24"/>
      <c r="D21" s="41"/>
      <c r="E21" s="70"/>
      <c r="F21" s="23"/>
      <c r="G21" s="24"/>
      <c r="H21" s="71" t="str">
        <f>IF(OR(E21="",D21=""),"",E21/INDEX(Settings!$R$4:$R$7,MATCH(D21,Settings!$Q$4:$Q$7,0)))</f>
        <v/>
      </c>
      <c r="I21" s="75" t="str">
        <f t="shared" si="0"/>
        <v/>
      </c>
      <c r="J21" s="8" t="str">
        <f t="shared" ca="1" si="1"/>
        <v/>
      </c>
      <c r="K21" s="30" t="str">
        <f t="shared" ca="1" si="2"/>
        <v/>
      </c>
      <c r="L21" s="24"/>
    </row>
    <row r="22" spans="1:12" x14ac:dyDescent="0.25">
      <c r="A22" s="24"/>
      <c r="B22" s="24"/>
      <c r="C22" s="24"/>
      <c r="D22" s="41"/>
      <c r="E22" s="70"/>
      <c r="F22" s="23"/>
      <c r="G22" s="24"/>
      <c r="H22" s="71" t="str">
        <f>IF(OR(E22="",D22=""),"",E22/INDEX(Settings!$R$4:$R$7,MATCH(D22,Settings!$Q$4:$Q$7,0)))</f>
        <v/>
      </c>
      <c r="I22" s="75" t="str">
        <f t="shared" si="0"/>
        <v/>
      </c>
      <c r="J22" s="8" t="str">
        <f t="shared" ca="1" si="1"/>
        <v/>
      </c>
      <c r="K22" s="30" t="str">
        <f t="shared" ca="1" si="2"/>
        <v/>
      </c>
      <c r="L22" s="24"/>
    </row>
    <row r="23" spans="1:12" x14ac:dyDescent="0.25">
      <c r="A23" s="24"/>
      <c r="B23" s="24"/>
      <c r="C23" s="24"/>
      <c r="D23" s="41"/>
      <c r="E23" s="70"/>
      <c r="F23" s="23"/>
      <c r="G23" s="24"/>
      <c r="H23" s="71" t="str">
        <f>IF(OR(E23="",D23=""),"",E23/INDEX(Settings!$R$4:$R$7,MATCH(D23,Settings!$Q$4:$Q$7,0)))</f>
        <v/>
      </c>
      <c r="I23" s="75" t="str">
        <f t="shared" si="0"/>
        <v/>
      </c>
      <c r="J23" s="8" t="str">
        <f t="shared" ca="1" si="1"/>
        <v/>
      </c>
      <c r="K23" s="30" t="str">
        <f t="shared" ca="1" si="2"/>
        <v/>
      </c>
      <c r="L23" s="24"/>
    </row>
    <row r="24" spans="1:12" x14ac:dyDescent="0.25">
      <c r="A24" s="24"/>
      <c r="B24" s="24"/>
      <c r="C24" s="24"/>
      <c r="D24" s="41"/>
      <c r="E24" s="70"/>
      <c r="F24" s="23"/>
      <c r="G24" s="24"/>
      <c r="H24" s="71" t="str">
        <f>IF(OR(E24="",D24=""),"",E24/INDEX(Settings!$R$4:$R$7,MATCH(D24,Settings!$Q$4:$Q$7,0)))</f>
        <v/>
      </c>
      <c r="I24" s="75" t="str">
        <f t="shared" si="0"/>
        <v/>
      </c>
      <c r="J24" s="8" t="str">
        <f t="shared" ca="1" si="1"/>
        <v/>
      </c>
      <c r="K24" s="30" t="str">
        <f t="shared" ca="1" si="2"/>
        <v/>
      </c>
      <c r="L24" s="24"/>
    </row>
    <row r="25" spans="1:12" x14ac:dyDescent="0.25">
      <c r="A25" s="24"/>
      <c r="B25" s="24"/>
      <c r="C25" s="24"/>
      <c r="D25" s="41"/>
      <c r="E25" s="70"/>
      <c r="F25" s="23"/>
      <c r="G25" s="24"/>
      <c r="H25" s="71" t="str">
        <f>IF(OR(E25="",D25=""),"",E25/INDEX(Settings!$R$4:$R$7,MATCH(D25,Settings!$Q$4:$Q$7,0)))</f>
        <v/>
      </c>
      <c r="I25" s="75" t="str">
        <f t="shared" si="0"/>
        <v/>
      </c>
      <c r="J25" s="8" t="str">
        <f t="shared" ca="1" si="1"/>
        <v/>
      </c>
      <c r="K25" s="30" t="str">
        <f t="shared" ca="1" si="2"/>
        <v/>
      </c>
      <c r="L25" s="24"/>
    </row>
    <row r="26" spans="1:12" x14ac:dyDescent="0.25">
      <c r="A26" s="24"/>
      <c r="B26" s="24"/>
      <c r="C26" s="24"/>
      <c r="D26" s="41"/>
      <c r="E26" s="70"/>
      <c r="F26" s="23"/>
      <c r="G26" s="24"/>
      <c r="H26" s="71" t="str">
        <f>IF(OR(E26="",D26=""),"",E26/INDEX(Settings!$R$4:$R$7,MATCH(D26,Settings!$Q$4:$Q$7,0)))</f>
        <v/>
      </c>
      <c r="I26" s="75" t="str">
        <f t="shared" si="0"/>
        <v/>
      </c>
      <c r="J26" s="8" t="str">
        <f t="shared" ca="1" si="1"/>
        <v/>
      </c>
      <c r="K26" s="30" t="str">
        <f t="shared" ca="1" si="2"/>
        <v/>
      </c>
      <c r="L26" s="24"/>
    </row>
    <row r="27" spans="1:12" x14ac:dyDescent="0.25">
      <c r="A27" s="24"/>
      <c r="B27" s="24"/>
      <c r="C27" s="24"/>
      <c r="D27" s="41"/>
      <c r="E27" s="70"/>
      <c r="F27" s="23"/>
      <c r="G27" s="24"/>
      <c r="H27" s="71" t="str">
        <f>IF(OR(E27="",D27=""),"",E27/INDEX(Settings!$R$4:$R$7,MATCH(D27,Settings!$Q$4:$Q$7,0)))</f>
        <v/>
      </c>
      <c r="I27" s="75" t="str">
        <f t="shared" si="0"/>
        <v/>
      </c>
      <c r="J27" s="8" t="str">
        <f t="shared" ca="1" si="1"/>
        <v/>
      </c>
      <c r="K27" s="30" t="str">
        <f t="shared" ca="1" si="2"/>
        <v/>
      </c>
      <c r="L27" s="24"/>
    </row>
    <row r="28" spans="1:12" x14ac:dyDescent="0.25">
      <c r="A28" s="24"/>
      <c r="B28" s="24"/>
      <c r="C28" s="24"/>
      <c r="D28" s="41"/>
      <c r="E28" s="70"/>
      <c r="F28" s="23"/>
      <c r="G28" s="24"/>
      <c r="H28" s="71" t="str">
        <f>IF(OR(E28="",D28=""),"",E28/INDEX(Settings!$R$4:$R$7,MATCH(D28,Settings!$Q$4:$Q$7,0)))</f>
        <v/>
      </c>
      <c r="I28" s="75" t="str">
        <f t="shared" si="0"/>
        <v/>
      </c>
      <c r="J28" s="8" t="str">
        <f t="shared" ca="1" si="1"/>
        <v/>
      </c>
      <c r="K28" s="30" t="str">
        <f t="shared" ca="1" si="2"/>
        <v/>
      </c>
      <c r="L28" s="24"/>
    </row>
    <row r="29" spans="1:12" x14ac:dyDescent="0.25">
      <c r="A29" s="24"/>
      <c r="B29" s="24"/>
      <c r="C29" s="24"/>
      <c r="D29" s="41"/>
      <c r="E29" s="70"/>
      <c r="F29" s="23"/>
      <c r="G29" s="24"/>
      <c r="H29" s="71" t="str">
        <f>IF(OR(E29="",D29=""),"",E29/INDEX(Settings!$R$4:$R$7,MATCH(D29,Settings!$Q$4:$Q$7,0)))</f>
        <v/>
      </c>
      <c r="I29" s="75" t="str">
        <f t="shared" si="0"/>
        <v/>
      </c>
      <c r="J29" s="8" t="str">
        <f t="shared" ca="1" si="1"/>
        <v/>
      </c>
      <c r="K29" s="30" t="str">
        <f t="shared" ca="1" si="2"/>
        <v/>
      </c>
      <c r="L29" s="24"/>
    </row>
    <row r="30" spans="1:12" x14ac:dyDescent="0.25">
      <c r="A30" s="24"/>
      <c r="B30" s="24"/>
      <c r="C30" s="24"/>
      <c r="D30" s="41"/>
      <c r="E30" s="70"/>
      <c r="F30" s="23"/>
      <c r="G30" s="24"/>
      <c r="H30" s="71" t="str">
        <f>IF(OR(E30="",D30=""),"",E30/INDEX(Settings!$R$4:$R$7,MATCH(D30,Settings!$Q$4:$Q$7,0)))</f>
        <v/>
      </c>
      <c r="I30" s="75" t="str">
        <f t="shared" si="0"/>
        <v/>
      </c>
      <c r="J30" s="8" t="str">
        <f t="shared" ca="1" si="1"/>
        <v/>
      </c>
      <c r="K30" s="30" t="str">
        <f t="shared" ca="1" si="2"/>
        <v/>
      </c>
      <c r="L30" s="24"/>
    </row>
    <row r="31" spans="1:12" x14ac:dyDescent="0.25">
      <c r="A31" s="19" t="s">
        <v>59</v>
      </c>
      <c r="B31" s="19"/>
      <c r="C31" s="19"/>
      <c r="D31" s="19"/>
      <c r="E31" s="72">
        <f>SUMIF(D6:D30,"Monthly",E6:E30)</f>
        <v>36280</v>
      </c>
      <c r="F31" s="19"/>
      <c r="G31" s="19"/>
      <c r="H31" s="72">
        <f>SUM(H6:H30)</f>
        <v>41013.333333333328</v>
      </c>
      <c r="I31" s="72">
        <f>SUM(I6:I30)</f>
        <v>492160</v>
      </c>
      <c r="J31" s="19"/>
      <c r="K31" s="19"/>
      <c r="L31" s="19"/>
    </row>
    <row r="32" spans="1:12" x14ac:dyDescent="0.25">
      <c r="A32" s="21" t="s">
        <v>659</v>
      </c>
    </row>
  </sheetData>
  <mergeCells count="2">
    <mergeCell ref="A1:L1"/>
    <mergeCell ref="A2:L2"/>
  </mergeCells>
  <conditionalFormatting sqref="K6:K30">
    <cfRule type="cellIs" dxfId="3" priority="2" operator="equal">
      <formula>"Overdue"</formula>
    </cfRule>
    <cfRule type="cellIs" dxfId="2" priority="3" operator="equal">
      <formula>"Due Soon"</formula>
    </cfRule>
    <cfRule type="cellIs" dxfId="1" priority="4" operator="equal">
      <formula>"This Month"</formula>
    </cfRule>
    <cfRule type="cellIs" dxfId="0" priority="5" operator="equal">
      <formula>"Upcoming"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pick a value from the dropdown list." xr:uid="{00000000-0002-0000-0D00-000000000000}">
          <x14:formula1>
            <xm:f>Settings!$K$16:$K$56</xm:f>
          </x14:formula1>
          <x14:formula2>
            <xm:f>0</xm:f>
          </x14:formula2>
          <xm:sqref>C6:C30</xm:sqref>
        </x14:dataValidation>
        <x14:dataValidation type="list" allowBlank="1" showErrorMessage="1" errorTitle="Invalid entry" error="Please pick a value from the dropdown list." xr:uid="{00000000-0002-0000-0D00-000001000000}">
          <x14:formula1>
            <xm:f>Settings!$Q$4:$Q$7</xm:f>
          </x14:formula1>
          <x14:formula2>
            <xm:f>0</xm:f>
          </x14:formula2>
          <xm:sqref>D6:D30</xm:sqref>
        </x14:dataValidation>
        <x14:dataValidation type="list" allowBlank="1" showErrorMessage="1" errorTitle="Invalid entry" error="Please pick a value from the dropdown list." xr:uid="{00000000-0002-0000-0D00-000002000000}">
          <x14:formula1>
            <xm:f>Settings!$G$4:$G$13</xm:f>
          </x14:formula1>
          <x14:formula2>
            <xm:f>0</xm:f>
          </x14:formula2>
          <xm:sqref>G6:G30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B7280"/>
    <pageSetUpPr fitToPage="1"/>
  </sheetPr>
  <dimension ref="A1:C46"/>
  <sheetViews>
    <sheetView showGridLines="0" zoomScaleNormal="100" workbookViewId="0">
      <selection activeCell="D13" sqref="D13"/>
    </sheetView>
  </sheetViews>
  <sheetFormatPr defaultColWidth="8.7109375" defaultRowHeight="15" x14ac:dyDescent="0.25"/>
  <cols>
    <col min="1" max="1" width="52" customWidth="1"/>
    <col min="2" max="2" width="24" customWidth="1"/>
    <col min="3" max="3" width="4" customWidth="1"/>
  </cols>
  <sheetData>
    <row r="1" spans="1:3" ht="33.75" customHeight="1" x14ac:dyDescent="0.25">
      <c r="A1" s="81" t="s">
        <v>660</v>
      </c>
      <c r="B1" s="81"/>
      <c r="C1" s="81"/>
    </row>
    <row r="2" spans="1:3" ht="25.5" customHeight="1" x14ac:dyDescent="0.25">
      <c r="A2" s="82" t="s">
        <v>661</v>
      </c>
      <c r="B2" s="82"/>
      <c r="C2" s="82"/>
    </row>
    <row r="4" spans="1:3" x14ac:dyDescent="0.25">
      <c r="A4" s="1" t="s">
        <v>662</v>
      </c>
      <c r="B4" s="1"/>
      <c r="C4" s="1"/>
    </row>
    <row r="5" spans="1:3" x14ac:dyDescent="0.25">
      <c r="A5" s="7" t="s">
        <v>663</v>
      </c>
      <c r="B5" s="56">
        <v>100</v>
      </c>
    </row>
    <row r="6" spans="1:3" x14ac:dyDescent="0.25">
      <c r="A6" s="7" t="s">
        <v>664</v>
      </c>
      <c r="B6" s="41" t="s">
        <v>665</v>
      </c>
    </row>
    <row r="7" spans="1:3" x14ac:dyDescent="0.25">
      <c r="A7" s="7" t="s">
        <v>666</v>
      </c>
      <c r="B7" s="41" t="s">
        <v>667</v>
      </c>
    </row>
    <row r="8" spans="1:3" x14ac:dyDescent="0.25">
      <c r="A8" s="19" t="s">
        <v>668</v>
      </c>
      <c r="B8" s="57">
        <f>B5*INDEX(Settings!$B$50:$B$58,MATCH(B6,Settings!$A$50:$A$58,0))/INDEX(Settings!$B$50:$B$58,MATCH(B7,Settings!$A$50:$A$58,0))</f>
        <v>12200</v>
      </c>
    </row>
    <row r="10" spans="1:3" x14ac:dyDescent="0.25">
      <c r="A10" s="1" t="s">
        <v>669</v>
      </c>
      <c r="B10" s="1"/>
      <c r="C10" s="1"/>
    </row>
    <row r="11" spans="1:3" x14ac:dyDescent="0.25">
      <c r="A11" s="7" t="s">
        <v>670</v>
      </c>
      <c r="B11" s="56">
        <v>1000</v>
      </c>
    </row>
    <row r="12" spans="1:3" x14ac:dyDescent="0.25">
      <c r="A12" s="7" t="s">
        <v>671</v>
      </c>
      <c r="B12" s="41" t="s">
        <v>672</v>
      </c>
    </row>
    <row r="13" spans="1:3" x14ac:dyDescent="0.25">
      <c r="A13" s="7" t="s">
        <v>673</v>
      </c>
      <c r="B13" s="58">
        <f>INDEX(Settings!$B$50:$B$58,MATCH(B12,Settings!$A$50:$A$58,0))</f>
        <v>32.5</v>
      </c>
    </row>
    <row r="14" spans="1:3" x14ac:dyDescent="0.25">
      <c r="A14" s="7" t="s">
        <v>674</v>
      </c>
      <c r="B14" s="35">
        <f>B11*B13</f>
        <v>32500</v>
      </c>
    </row>
    <row r="15" spans="1:3" x14ac:dyDescent="0.25">
      <c r="A15" s="7" t="s">
        <v>675</v>
      </c>
      <c r="B15" s="37">
        <f>Settings!$B$60</f>
        <v>2.5000000000000001E-2</v>
      </c>
    </row>
    <row r="16" spans="1:3" x14ac:dyDescent="0.25">
      <c r="A16" s="7" t="s">
        <v>676</v>
      </c>
      <c r="B16" s="35">
        <f>B14*B15</f>
        <v>812.5</v>
      </c>
    </row>
    <row r="17" spans="1:3" x14ac:dyDescent="0.25">
      <c r="A17" s="19" t="s">
        <v>677</v>
      </c>
      <c r="B17" s="44">
        <f>B14+B16</f>
        <v>33312.5</v>
      </c>
    </row>
    <row r="19" spans="1:3" x14ac:dyDescent="0.25">
      <c r="A19" s="1" t="s">
        <v>678</v>
      </c>
      <c r="B19" s="1"/>
      <c r="C19" s="1"/>
    </row>
    <row r="20" spans="1:3" x14ac:dyDescent="0.25">
      <c r="A20" s="7" t="s">
        <v>679</v>
      </c>
      <c r="B20" s="25">
        <v>10000</v>
      </c>
    </row>
    <row r="21" spans="1:3" x14ac:dyDescent="0.25">
      <c r="A21" s="7" t="s">
        <v>430</v>
      </c>
      <c r="B21" s="41" t="s">
        <v>180</v>
      </c>
    </row>
    <row r="22" spans="1:3" x14ac:dyDescent="0.25">
      <c r="A22" s="7" t="s">
        <v>680</v>
      </c>
      <c r="B22" s="59">
        <f>INDEX(Settings!$B$64:$B$67,MATCH(B21,Settings!$A$64:$A$67,0))</f>
        <v>1.8499999999999999E-2</v>
      </c>
    </row>
    <row r="23" spans="1:3" x14ac:dyDescent="0.25">
      <c r="A23" s="7" t="s">
        <v>681</v>
      </c>
      <c r="B23" s="60">
        <f>B20*B22</f>
        <v>185</v>
      </c>
    </row>
    <row r="24" spans="1:3" x14ac:dyDescent="0.25">
      <c r="A24" s="19" t="s">
        <v>682</v>
      </c>
      <c r="B24" s="61">
        <f>B20-B23</f>
        <v>9815</v>
      </c>
    </row>
    <row r="26" spans="1:3" x14ac:dyDescent="0.25">
      <c r="A26" s="1" t="s">
        <v>683</v>
      </c>
      <c r="B26" s="1"/>
      <c r="C26" s="1"/>
    </row>
    <row r="27" spans="1:3" x14ac:dyDescent="0.25">
      <c r="A27" s="7" t="s">
        <v>120</v>
      </c>
      <c r="B27" s="25">
        <v>2500000</v>
      </c>
    </row>
    <row r="28" spans="1:3" x14ac:dyDescent="0.25">
      <c r="A28" s="7" t="s">
        <v>684</v>
      </c>
      <c r="B28" s="62">
        <f>B27/100000</f>
        <v>25</v>
      </c>
    </row>
    <row r="29" spans="1:3" x14ac:dyDescent="0.25">
      <c r="A29" s="7" t="s">
        <v>685</v>
      </c>
      <c r="B29" s="63">
        <f>B27/10000000</f>
        <v>0.25</v>
      </c>
    </row>
    <row r="30" spans="1:3" x14ac:dyDescent="0.25">
      <c r="A30" s="7" t="s">
        <v>686</v>
      </c>
      <c r="B30" s="64">
        <f>B27/1000000</f>
        <v>2.5</v>
      </c>
    </row>
    <row r="32" spans="1:3" x14ac:dyDescent="0.25">
      <c r="A32" s="1" t="s">
        <v>687</v>
      </c>
      <c r="B32" s="1"/>
      <c r="C32" s="1"/>
    </row>
    <row r="33" spans="1:3" x14ac:dyDescent="0.25">
      <c r="A33" s="7" t="s">
        <v>688</v>
      </c>
      <c r="B33" s="25">
        <v>100000</v>
      </c>
    </row>
    <row r="34" spans="1:3" x14ac:dyDescent="0.25">
      <c r="A34" s="7" t="s">
        <v>689</v>
      </c>
      <c r="B34" s="45">
        <v>10</v>
      </c>
    </row>
    <row r="35" spans="1:3" x14ac:dyDescent="0.25">
      <c r="A35" s="7" t="s">
        <v>690</v>
      </c>
      <c r="B35" s="37">
        <f>Settings!$B$10</f>
        <v>8.5000000000000006E-2</v>
      </c>
    </row>
    <row r="36" spans="1:3" x14ac:dyDescent="0.25">
      <c r="A36" s="7" t="s">
        <v>691</v>
      </c>
      <c r="B36" s="35">
        <f>B33*(1+B35)^B34</f>
        <v>226098.34419174332</v>
      </c>
    </row>
    <row r="37" spans="1:3" x14ac:dyDescent="0.25">
      <c r="A37" s="19" t="s">
        <v>692</v>
      </c>
      <c r="B37" s="44">
        <f>B33/(1+B35)^B34</f>
        <v>44228.541503689528</v>
      </c>
    </row>
    <row r="39" spans="1:3" x14ac:dyDescent="0.25">
      <c r="A39" s="1" t="s">
        <v>693</v>
      </c>
      <c r="B39" s="1"/>
      <c r="C39" s="1"/>
    </row>
    <row r="40" spans="1:3" x14ac:dyDescent="0.25">
      <c r="A40" s="7" t="s">
        <v>694</v>
      </c>
      <c r="B40" s="25">
        <v>10000</v>
      </c>
    </row>
    <row r="41" spans="1:3" x14ac:dyDescent="0.25">
      <c r="A41" s="7" t="s">
        <v>695</v>
      </c>
      <c r="B41" s="42">
        <v>0.09</v>
      </c>
    </row>
    <row r="42" spans="1:3" x14ac:dyDescent="0.25">
      <c r="A42" s="7" t="s">
        <v>696</v>
      </c>
      <c r="B42" s="45">
        <v>10</v>
      </c>
    </row>
    <row r="43" spans="1:3" x14ac:dyDescent="0.25">
      <c r="A43" s="19" t="s">
        <v>697</v>
      </c>
      <c r="B43" s="44">
        <f>FV(B41/12,B42*12,-B40)</f>
        <v>1935142.7708330909</v>
      </c>
    </row>
    <row r="44" spans="1:3" x14ac:dyDescent="0.25">
      <c r="A44" s="7" t="s">
        <v>698</v>
      </c>
      <c r="B44" s="35">
        <f>B40*B42*12</f>
        <v>1200000</v>
      </c>
    </row>
    <row r="45" spans="1:3" x14ac:dyDescent="0.25">
      <c r="A45" s="7" t="s">
        <v>699</v>
      </c>
      <c r="B45" s="35">
        <f>B43-B44</f>
        <v>735142.77083309088</v>
      </c>
    </row>
    <row r="46" spans="1:3" x14ac:dyDescent="0.25">
      <c r="A46" s="7" t="s">
        <v>700</v>
      </c>
      <c r="B46" s="34">
        <f>B43/(1+Settings!$B$10)^B42</f>
        <v>855885.42355356109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pick a value from the dropdown list." xr:uid="{00000000-0002-0000-0E00-000000000000}">
          <x14:formula1>
            <xm:f>Settings!$A$50:$A$58</xm:f>
          </x14:formula1>
          <x14:formula2>
            <xm:f>0</xm:f>
          </x14:formula2>
          <xm:sqref>B6:B7 B12</xm:sqref>
        </x14:dataValidation>
        <x14:dataValidation type="list" allowBlank="1" showErrorMessage="1" errorTitle="Invalid entry" error="Please pick a value from the dropdown list." xr:uid="{00000000-0002-0000-0E00-000002000000}">
          <x14:formula1>
            <xm:f>Settings!$A$64:$A$67</xm:f>
          </x14:formula1>
          <x14:formula2>
            <xm:f>0</xm:f>
          </x14:formula2>
          <xm:sqref>B21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B7280"/>
    <pageSetUpPr fitToPage="1"/>
  </sheetPr>
  <dimension ref="A1:Z67"/>
  <sheetViews>
    <sheetView showGridLines="0" zoomScaleNormal="100" workbookViewId="0">
      <pane ySplit="2" topLeftCell="A3" activePane="bottomLeft" state="frozen"/>
      <selection pane="bottomLeft" activeCell="G23" sqref="G23"/>
    </sheetView>
  </sheetViews>
  <sheetFormatPr defaultColWidth="8.7109375" defaultRowHeight="15" x14ac:dyDescent="0.25"/>
  <cols>
    <col min="1" max="1" width="52" customWidth="1"/>
    <col min="2" max="2" width="24" customWidth="1"/>
    <col min="3" max="3" width="10" customWidth="1"/>
    <col min="4" max="4" width="13" customWidth="1"/>
    <col min="5" max="5" width="8" customWidth="1"/>
    <col min="6" max="6" width="3" customWidth="1"/>
    <col min="7" max="7" width="26" customWidth="1"/>
    <col min="8" max="8" width="3" customWidth="1"/>
    <col min="9" max="9" width="12" customWidth="1"/>
    <col min="10" max="10" width="3" customWidth="1"/>
    <col min="11" max="11" width="40" customWidth="1"/>
    <col min="12" max="12" width="24" customWidth="1"/>
    <col min="13" max="13" width="14" customWidth="1"/>
    <col min="14" max="14" width="3" customWidth="1"/>
    <col min="15" max="15" width="24" customWidth="1"/>
    <col min="16" max="16" width="3" customWidth="1"/>
    <col min="17" max="18" width="15" customWidth="1"/>
    <col min="19" max="19" width="3" customWidth="1"/>
    <col min="20" max="20" width="28" customWidth="1"/>
    <col min="21" max="21" width="3" customWidth="1"/>
    <col min="22" max="22" width="32" customWidth="1"/>
    <col min="23" max="23" width="3" customWidth="1"/>
    <col min="24" max="24" width="20" customWidth="1"/>
    <col min="25" max="25" width="3" customWidth="1"/>
    <col min="26" max="26" width="14" customWidth="1"/>
  </cols>
  <sheetData>
    <row r="1" spans="1:26" ht="33.75" customHeight="1" x14ac:dyDescent="0.25">
      <c r="A1" s="81" t="s">
        <v>701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25.5" customHeight="1" x14ac:dyDescent="0.25">
      <c r="A2" s="82" t="s">
        <v>702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5.5" x14ac:dyDescent="0.25">
      <c r="A3" s="1" t="s">
        <v>703</v>
      </c>
      <c r="B3" s="1"/>
      <c r="D3" s="13" t="s">
        <v>357</v>
      </c>
      <c r="E3" s="13" t="s">
        <v>704</v>
      </c>
      <c r="G3" s="13" t="s">
        <v>705</v>
      </c>
      <c r="I3" s="13" t="s">
        <v>706</v>
      </c>
      <c r="K3" s="13" t="s">
        <v>119</v>
      </c>
      <c r="L3" s="13" t="s">
        <v>144</v>
      </c>
      <c r="M3" s="13" t="s">
        <v>306</v>
      </c>
      <c r="O3" s="13" t="s">
        <v>707</v>
      </c>
      <c r="Q3" s="13" t="s">
        <v>708</v>
      </c>
      <c r="R3" s="13" t="s">
        <v>709</v>
      </c>
      <c r="T3" s="13" t="s">
        <v>710</v>
      </c>
      <c r="V3" s="13" t="s">
        <v>711</v>
      </c>
      <c r="X3" s="13" t="s">
        <v>712</v>
      </c>
      <c r="Z3" s="13" t="s">
        <v>713</v>
      </c>
    </row>
    <row r="4" spans="1:26" x14ac:dyDescent="0.25">
      <c r="A4" s="7" t="s">
        <v>714</v>
      </c>
      <c r="B4" s="24" t="s">
        <v>714</v>
      </c>
      <c r="D4" s="24" t="s">
        <v>715</v>
      </c>
      <c r="E4" s="7" t="s">
        <v>332</v>
      </c>
      <c r="G4" s="24" t="s">
        <v>163</v>
      </c>
      <c r="I4" s="7" t="s">
        <v>148</v>
      </c>
      <c r="K4" s="24" t="s">
        <v>149</v>
      </c>
      <c r="L4" s="7" t="s">
        <v>148</v>
      </c>
      <c r="M4" s="7" t="s">
        <v>148</v>
      </c>
      <c r="O4" s="24" t="s">
        <v>716</v>
      </c>
      <c r="Q4" s="7" t="s">
        <v>635</v>
      </c>
      <c r="R4" s="45">
        <v>1</v>
      </c>
      <c r="T4" s="24" t="s">
        <v>717</v>
      </c>
      <c r="V4" s="24" t="s">
        <v>451</v>
      </c>
      <c r="X4" s="24" t="s">
        <v>450</v>
      </c>
      <c r="Z4" s="24" t="s">
        <v>387</v>
      </c>
    </row>
    <row r="5" spans="1:26" x14ac:dyDescent="0.25">
      <c r="A5" s="7" t="s">
        <v>718</v>
      </c>
      <c r="B5" s="45">
        <v>2026</v>
      </c>
      <c r="D5" s="24" t="s">
        <v>719</v>
      </c>
      <c r="E5" s="7" t="s">
        <v>333</v>
      </c>
      <c r="G5" s="24" t="s">
        <v>180</v>
      </c>
      <c r="I5" s="7" t="s">
        <v>153</v>
      </c>
      <c r="K5" s="24" t="s">
        <v>255</v>
      </c>
      <c r="L5" s="7" t="s">
        <v>148</v>
      </c>
      <c r="M5" s="7" t="s">
        <v>148</v>
      </c>
      <c r="O5" s="24" t="s">
        <v>720</v>
      </c>
      <c r="Q5" s="7" t="s">
        <v>646</v>
      </c>
      <c r="R5" s="45">
        <v>3</v>
      </c>
      <c r="T5" s="24" t="s">
        <v>721</v>
      </c>
      <c r="V5" s="24" t="s">
        <v>447</v>
      </c>
      <c r="X5" s="24" t="s">
        <v>446</v>
      </c>
      <c r="Z5" s="24" t="s">
        <v>391</v>
      </c>
    </row>
    <row r="6" spans="1:26" x14ac:dyDescent="0.25">
      <c r="A6" s="7" t="s">
        <v>671</v>
      </c>
      <c r="B6" s="7" t="s">
        <v>722</v>
      </c>
      <c r="D6" s="24" t="s">
        <v>723</v>
      </c>
      <c r="E6" s="7" t="s">
        <v>334</v>
      </c>
      <c r="G6" s="24" t="s">
        <v>724</v>
      </c>
      <c r="K6" s="24" t="s">
        <v>725</v>
      </c>
      <c r="L6" s="7" t="s">
        <v>148</v>
      </c>
      <c r="M6" s="7" t="s">
        <v>148</v>
      </c>
      <c r="O6" s="24" t="s">
        <v>726</v>
      </c>
      <c r="Q6" s="7" t="s">
        <v>727</v>
      </c>
      <c r="R6" s="45">
        <v>6</v>
      </c>
      <c r="T6" s="24" t="s">
        <v>418</v>
      </c>
      <c r="V6" s="24" t="s">
        <v>455</v>
      </c>
      <c r="X6" s="24" t="s">
        <v>454</v>
      </c>
      <c r="Z6" s="24" t="s">
        <v>394</v>
      </c>
    </row>
    <row r="7" spans="1:26" x14ac:dyDescent="0.25">
      <c r="A7" s="7" t="s">
        <v>728</v>
      </c>
      <c r="B7" s="42">
        <v>0.2</v>
      </c>
      <c r="D7" s="24" t="s">
        <v>729</v>
      </c>
      <c r="E7" s="7" t="s">
        <v>335</v>
      </c>
      <c r="G7" s="24" t="s">
        <v>730</v>
      </c>
      <c r="K7" s="24" t="s">
        <v>241</v>
      </c>
      <c r="L7" s="7" t="s">
        <v>148</v>
      </c>
      <c r="M7" s="7" t="s">
        <v>148</v>
      </c>
      <c r="O7" s="24" t="s">
        <v>731</v>
      </c>
      <c r="Q7" s="7" t="s">
        <v>651</v>
      </c>
      <c r="R7" s="45">
        <v>12</v>
      </c>
      <c r="T7" s="24" t="s">
        <v>416</v>
      </c>
      <c r="X7" s="24" t="s">
        <v>732</v>
      </c>
    </row>
    <row r="8" spans="1:26" x14ac:dyDescent="0.25">
      <c r="A8" s="7" t="s">
        <v>733</v>
      </c>
      <c r="B8" s="45">
        <v>6</v>
      </c>
      <c r="D8" s="24" t="s">
        <v>336</v>
      </c>
      <c r="E8" s="7" t="s">
        <v>336</v>
      </c>
      <c r="G8" s="24" t="s">
        <v>734</v>
      </c>
      <c r="K8" s="24" t="s">
        <v>735</v>
      </c>
      <c r="L8" s="7" t="s">
        <v>148</v>
      </c>
      <c r="M8" s="7" t="s">
        <v>148</v>
      </c>
      <c r="O8" s="24" t="s">
        <v>736</v>
      </c>
      <c r="T8" s="24" t="s">
        <v>737</v>
      </c>
      <c r="X8" s="24" t="s">
        <v>738</v>
      </c>
    </row>
    <row r="9" spans="1:26" x14ac:dyDescent="0.25">
      <c r="A9" s="7" t="s">
        <v>739</v>
      </c>
      <c r="B9" s="42">
        <v>0.4</v>
      </c>
      <c r="D9" s="24" t="s">
        <v>740</v>
      </c>
      <c r="E9" s="7" t="s">
        <v>337</v>
      </c>
      <c r="G9" s="24" t="s">
        <v>206</v>
      </c>
      <c r="K9" s="24" t="s">
        <v>741</v>
      </c>
      <c r="L9" s="7" t="s">
        <v>148</v>
      </c>
      <c r="M9" s="7" t="s">
        <v>148</v>
      </c>
      <c r="O9" s="24" t="s">
        <v>742</v>
      </c>
      <c r="T9" s="24" t="s">
        <v>156</v>
      </c>
      <c r="X9" s="24" t="s">
        <v>483</v>
      </c>
    </row>
    <row r="10" spans="1:26" x14ac:dyDescent="0.25">
      <c r="A10" s="7" t="s">
        <v>743</v>
      </c>
      <c r="B10" s="42">
        <v>8.5000000000000006E-2</v>
      </c>
      <c r="D10" s="24" t="s">
        <v>744</v>
      </c>
      <c r="E10" s="7" t="s">
        <v>338</v>
      </c>
      <c r="G10" s="24" t="s">
        <v>156</v>
      </c>
      <c r="K10" s="24" t="s">
        <v>745</v>
      </c>
      <c r="L10" s="7" t="s">
        <v>148</v>
      </c>
      <c r="M10" s="7" t="s">
        <v>148</v>
      </c>
      <c r="O10" s="24" t="s">
        <v>746</v>
      </c>
      <c r="T10" s="24" t="s">
        <v>747</v>
      </c>
    </row>
    <row r="11" spans="1:26" x14ac:dyDescent="0.25">
      <c r="A11" s="7" t="s">
        <v>748</v>
      </c>
      <c r="B11" s="65">
        <f>MATCH(Dashboard!$D$4,$D$4:$D$15,0)</f>
        <v>2</v>
      </c>
      <c r="D11" s="24" t="s">
        <v>749</v>
      </c>
      <c r="E11" s="7" t="s">
        <v>339</v>
      </c>
      <c r="G11" s="24" t="s">
        <v>151</v>
      </c>
      <c r="K11" s="24" t="s">
        <v>270</v>
      </c>
      <c r="L11" s="7" t="s">
        <v>148</v>
      </c>
      <c r="M11" s="7" t="s">
        <v>148</v>
      </c>
      <c r="O11" s="24" t="s">
        <v>750</v>
      </c>
      <c r="T11" s="24" t="s">
        <v>751</v>
      </c>
    </row>
    <row r="12" spans="1:26" x14ac:dyDescent="0.25">
      <c r="A12" s="7" t="s">
        <v>752</v>
      </c>
      <c r="B12" s="42">
        <v>0.5</v>
      </c>
      <c r="D12" s="24" t="s">
        <v>753</v>
      </c>
      <c r="E12" s="7" t="s">
        <v>340</v>
      </c>
      <c r="G12" s="24" t="s">
        <v>754</v>
      </c>
      <c r="K12" s="24" t="s">
        <v>215</v>
      </c>
      <c r="L12" s="7" t="s">
        <v>148</v>
      </c>
      <c r="M12" s="7" t="s">
        <v>148</v>
      </c>
      <c r="O12" s="24" t="s">
        <v>359</v>
      </c>
      <c r="T12" s="24" t="s">
        <v>755</v>
      </c>
    </row>
    <row r="13" spans="1:26" x14ac:dyDescent="0.25">
      <c r="A13" s="7" t="s">
        <v>756</v>
      </c>
      <c r="B13" s="42">
        <v>0.3</v>
      </c>
      <c r="D13" s="24" t="s">
        <v>92</v>
      </c>
      <c r="E13" s="7" t="s">
        <v>341</v>
      </c>
      <c r="G13" s="24" t="s">
        <v>170</v>
      </c>
      <c r="K13" s="24" t="s">
        <v>757</v>
      </c>
      <c r="L13" s="7" t="s">
        <v>148</v>
      </c>
      <c r="M13" s="7" t="s">
        <v>148</v>
      </c>
      <c r="O13" s="24" t="s">
        <v>483</v>
      </c>
      <c r="T13" s="24" t="s">
        <v>758</v>
      </c>
    </row>
    <row r="14" spans="1:26" x14ac:dyDescent="0.25">
      <c r="A14" s="7" t="s">
        <v>759</v>
      </c>
      <c r="B14" s="42">
        <v>0.2</v>
      </c>
      <c r="D14" s="24" t="s">
        <v>760</v>
      </c>
      <c r="E14" s="7" t="s">
        <v>342</v>
      </c>
      <c r="K14" s="24" t="s">
        <v>761</v>
      </c>
      <c r="L14" s="7" t="s">
        <v>148</v>
      </c>
      <c r="M14" s="7" t="s">
        <v>148</v>
      </c>
    </row>
    <row r="15" spans="1:26" x14ac:dyDescent="0.25">
      <c r="D15" s="24" t="s">
        <v>762</v>
      </c>
      <c r="E15" s="7" t="s">
        <v>343</v>
      </c>
      <c r="K15" s="24" t="s">
        <v>763</v>
      </c>
      <c r="L15" s="7" t="s">
        <v>148</v>
      </c>
      <c r="M15" s="7" t="s">
        <v>148</v>
      </c>
    </row>
    <row r="16" spans="1:26" x14ac:dyDescent="0.25">
      <c r="K16" s="24" t="s">
        <v>158</v>
      </c>
      <c r="L16" s="24" t="s">
        <v>716</v>
      </c>
      <c r="M16" s="24" t="s">
        <v>325</v>
      </c>
    </row>
    <row r="17" spans="1:13" x14ac:dyDescent="0.25">
      <c r="A17" s="1" t="s">
        <v>764</v>
      </c>
      <c r="B17" s="1"/>
      <c r="C17" s="1"/>
      <c r="K17" s="24" t="s">
        <v>185</v>
      </c>
      <c r="L17" s="24" t="s">
        <v>716</v>
      </c>
      <c r="M17" s="24" t="s">
        <v>325</v>
      </c>
    </row>
    <row r="18" spans="1:13" ht="25.5" x14ac:dyDescent="0.25">
      <c r="A18" s="13" t="s">
        <v>765</v>
      </c>
      <c r="B18" s="13" t="s">
        <v>766</v>
      </c>
      <c r="K18" s="24" t="s">
        <v>193</v>
      </c>
      <c r="L18" s="24" t="s">
        <v>716</v>
      </c>
      <c r="M18" s="24" t="s">
        <v>325</v>
      </c>
    </row>
    <row r="19" spans="1:13" x14ac:dyDescent="0.25">
      <c r="A19" s="7" t="s">
        <v>503</v>
      </c>
      <c r="B19" s="25">
        <v>375000</v>
      </c>
      <c r="K19" s="24" t="s">
        <v>202</v>
      </c>
      <c r="L19" s="24" t="s">
        <v>716</v>
      </c>
      <c r="M19" s="24" t="s">
        <v>325</v>
      </c>
    </row>
    <row r="20" spans="1:13" x14ac:dyDescent="0.25">
      <c r="A20" s="7" t="s">
        <v>767</v>
      </c>
      <c r="B20" s="25">
        <v>425000</v>
      </c>
      <c r="K20" s="24" t="s">
        <v>178</v>
      </c>
      <c r="L20" s="24" t="s">
        <v>716</v>
      </c>
      <c r="M20" s="24" t="s">
        <v>325</v>
      </c>
    </row>
    <row r="21" spans="1:13" x14ac:dyDescent="0.25">
      <c r="A21" s="7" t="s">
        <v>768</v>
      </c>
      <c r="B21" s="25">
        <v>500000</v>
      </c>
      <c r="K21" s="24" t="s">
        <v>188</v>
      </c>
      <c r="L21" s="24" t="s">
        <v>716</v>
      </c>
      <c r="M21" s="24" t="s">
        <v>325</v>
      </c>
    </row>
    <row r="22" spans="1:13" x14ac:dyDescent="0.25">
      <c r="A22" s="7" t="s">
        <v>769</v>
      </c>
      <c r="B22" s="25">
        <v>525000</v>
      </c>
      <c r="K22" s="24" t="s">
        <v>165</v>
      </c>
      <c r="L22" s="24" t="s">
        <v>716</v>
      </c>
      <c r="M22" s="24" t="s">
        <v>325</v>
      </c>
    </row>
    <row r="23" spans="1:13" x14ac:dyDescent="0.25">
      <c r="A23" s="7" t="s">
        <v>770</v>
      </c>
      <c r="B23" s="25">
        <v>50000</v>
      </c>
      <c r="K23" s="24" t="s">
        <v>771</v>
      </c>
      <c r="L23" s="24" t="s">
        <v>716</v>
      </c>
      <c r="M23" s="24" t="s">
        <v>325</v>
      </c>
    </row>
    <row r="24" spans="1:13" x14ac:dyDescent="0.25">
      <c r="K24" s="24" t="s">
        <v>650</v>
      </c>
      <c r="L24" s="24" t="s">
        <v>716</v>
      </c>
      <c r="M24" s="24" t="s">
        <v>325</v>
      </c>
    </row>
    <row r="25" spans="1:13" x14ac:dyDescent="0.25">
      <c r="A25" s="13" t="s">
        <v>772</v>
      </c>
      <c r="B25" s="13" t="s">
        <v>521</v>
      </c>
      <c r="C25" s="13" t="s">
        <v>522</v>
      </c>
      <c r="K25" s="24" t="s">
        <v>161</v>
      </c>
      <c r="L25" s="24" t="s">
        <v>720</v>
      </c>
      <c r="M25" s="24" t="s">
        <v>325</v>
      </c>
    </row>
    <row r="26" spans="1:13" x14ac:dyDescent="0.25">
      <c r="A26" s="7" t="s">
        <v>773</v>
      </c>
      <c r="B26" s="66">
        <v>300000</v>
      </c>
      <c r="C26" s="42">
        <v>0.1</v>
      </c>
      <c r="K26" s="24" t="s">
        <v>208</v>
      </c>
      <c r="L26" s="24" t="s">
        <v>720</v>
      </c>
      <c r="M26" s="24" t="s">
        <v>326</v>
      </c>
    </row>
    <row r="27" spans="1:13" x14ac:dyDescent="0.25">
      <c r="A27" s="7" t="s">
        <v>774</v>
      </c>
      <c r="B27" s="66">
        <v>400000</v>
      </c>
      <c r="C27" s="42">
        <v>0.15</v>
      </c>
      <c r="K27" s="24" t="s">
        <v>182</v>
      </c>
      <c r="L27" s="24" t="s">
        <v>726</v>
      </c>
      <c r="M27" s="24" t="s">
        <v>325</v>
      </c>
    </row>
    <row r="28" spans="1:13" x14ac:dyDescent="0.25">
      <c r="A28" s="7" t="s">
        <v>775</v>
      </c>
      <c r="B28" s="66">
        <v>500000</v>
      </c>
      <c r="C28" s="42">
        <v>0.2</v>
      </c>
      <c r="K28" s="24" t="s">
        <v>776</v>
      </c>
      <c r="L28" s="24" t="s">
        <v>726</v>
      </c>
      <c r="M28" s="24" t="s">
        <v>325</v>
      </c>
    </row>
    <row r="29" spans="1:13" x14ac:dyDescent="0.25">
      <c r="A29" s="7" t="s">
        <v>777</v>
      </c>
      <c r="B29" s="66">
        <v>2000000</v>
      </c>
      <c r="C29" s="42">
        <v>0.25</v>
      </c>
      <c r="K29" s="24" t="s">
        <v>199</v>
      </c>
      <c r="L29" s="24" t="s">
        <v>726</v>
      </c>
      <c r="M29" s="24" t="s">
        <v>325</v>
      </c>
    </row>
    <row r="30" spans="1:13" x14ac:dyDescent="0.25">
      <c r="A30" s="7" t="s">
        <v>778</v>
      </c>
      <c r="B30" s="66">
        <v>1000000000</v>
      </c>
      <c r="C30" s="42">
        <v>0.3</v>
      </c>
      <c r="K30" s="24" t="s">
        <v>265</v>
      </c>
      <c r="L30" s="24" t="s">
        <v>726</v>
      </c>
      <c r="M30" s="24" t="s">
        <v>325</v>
      </c>
    </row>
    <row r="31" spans="1:13" x14ac:dyDescent="0.25">
      <c r="K31" s="24" t="s">
        <v>175</v>
      </c>
      <c r="L31" s="24" t="s">
        <v>731</v>
      </c>
      <c r="M31" s="24" t="s">
        <v>325</v>
      </c>
    </row>
    <row r="32" spans="1:13" x14ac:dyDescent="0.25">
      <c r="A32" s="7" t="s">
        <v>779</v>
      </c>
      <c r="B32" s="25">
        <v>5000</v>
      </c>
      <c r="K32" s="24" t="s">
        <v>780</v>
      </c>
      <c r="L32" s="24" t="s">
        <v>731</v>
      </c>
      <c r="M32" s="24" t="s">
        <v>325</v>
      </c>
    </row>
    <row r="33" spans="1:13" x14ac:dyDescent="0.25">
      <c r="A33" s="7" t="s">
        <v>781</v>
      </c>
      <c r="B33" s="67">
        <f>1/3</f>
        <v>0.33333333333333331</v>
      </c>
      <c r="K33" s="24" t="s">
        <v>782</v>
      </c>
      <c r="L33" s="24" t="s">
        <v>731</v>
      </c>
      <c r="M33" s="24" t="s">
        <v>325</v>
      </c>
    </row>
    <row r="34" spans="1:13" x14ac:dyDescent="0.25">
      <c r="A34" s="7" t="s">
        <v>783</v>
      </c>
      <c r="B34" s="25">
        <v>450000</v>
      </c>
      <c r="K34" s="24" t="s">
        <v>196</v>
      </c>
      <c r="L34" s="24" t="s">
        <v>731</v>
      </c>
      <c r="M34" s="24" t="s">
        <v>325</v>
      </c>
    </row>
    <row r="35" spans="1:13" x14ac:dyDescent="0.25">
      <c r="A35" s="7" t="s">
        <v>784</v>
      </c>
      <c r="B35" s="42">
        <v>0.03</v>
      </c>
      <c r="K35" s="24" t="s">
        <v>218</v>
      </c>
      <c r="L35" s="24" t="s">
        <v>736</v>
      </c>
      <c r="M35" s="24" t="s">
        <v>325</v>
      </c>
    </row>
    <row r="36" spans="1:13" x14ac:dyDescent="0.25">
      <c r="A36" s="7" t="s">
        <v>785</v>
      </c>
      <c r="B36" s="42">
        <v>0.15</v>
      </c>
      <c r="K36" s="24" t="s">
        <v>276</v>
      </c>
      <c r="L36" s="24" t="s">
        <v>736</v>
      </c>
      <c r="M36" s="24" t="s">
        <v>325</v>
      </c>
    </row>
    <row r="37" spans="1:13" x14ac:dyDescent="0.25">
      <c r="A37" s="7" t="s">
        <v>786</v>
      </c>
      <c r="B37" s="42">
        <v>0.2</v>
      </c>
      <c r="K37" s="24" t="s">
        <v>257</v>
      </c>
      <c r="L37" s="24" t="s">
        <v>742</v>
      </c>
      <c r="M37" s="24" t="s">
        <v>326</v>
      </c>
    </row>
    <row r="38" spans="1:13" x14ac:dyDescent="0.25">
      <c r="A38" s="7" t="s">
        <v>787</v>
      </c>
      <c r="B38" s="25">
        <v>1000000</v>
      </c>
      <c r="K38" s="24" t="s">
        <v>224</v>
      </c>
      <c r="L38" s="24" t="s">
        <v>742</v>
      </c>
      <c r="M38" s="24" t="s">
        <v>326</v>
      </c>
    </row>
    <row r="39" spans="1:13" x14ac:dyDescent="0.25">
      <c r="A39" s="7" t="s">
        <v>788</v>
      </c>
      <c r="B39" s="42">
        <v>0.1</v>
      </c>
      <c r="K39" s="24" t="s">
        <v>154</v>
      </c>
      <c r="L39" s="24" t="s">
        <v>742</v>
      </c>
      <c r="M39" s="24" t="s">
        <v>326</v>
      </c>
    </row>
    <row r="40" spans="1:13" x14ac:dyDescent="0.25">
      <c r="A40" s="7" t="s">
        <v>789</v>
      </c>
      <c r="B40" s="42">
        <v>0.1</v>
      </c>
      <c r="K40" s="24" t="s">
        <v>238</v>
      </c>
      <c r="L40" s="24" t="s">
        <v>742</v>
      </c>
      <c r="M40" s="24" t="s">
        <v>326</v>
      </c>
    </row>
    <row r="41" spans="1:13" x14ac:dyDescent="0.25">
      <c r="K41" s="24" t="s">
        <v>244</v>
      </c>
      <c r="L41" s="24" t="s">
        <v>742</v>
      </c>
      <c r="M41" s="24" t="s">
        <v>326</v>
      </c>
    </row>
    <row r="42" spans="1:13" x14ac:dyDescent="0.25">
      <c r="A42" s="1" t="s">
        <v>790</v>
      </c>
      <c r="B42" s="1"/>
      <c r="K42" s="24" t="s">
        <v>252</v>
      </c>
      <c r="L42" s="24" t="s">
        <v>746</v>
      </c>
      <c r="M42" s="24" t="s">
        <v>325</v>
      </c>
    </row>
    <row r="43" spans="1:13" x14ac:dyDescent="0.25">
      <c r="A43" s="7" t="s">
        <v>791</v>
      </c>
      <c r="B43" s="42">
        <v>2.5000000000000001E-2</v>
      </c>
      <c r="K43" s="24" t="s">
        <v>285</v>
      </c>
      <c r="L43" s="24" t="s">
        <v>746</v>
      </c>
      <c r="M43" s="24" t="s">
        <v>326</v>
      </c>
    </row>
    <row r="44" spans="1:13" x14ac:dyDescent="0.25">
      <c r="A44" s="7" t="s">
        <v>792</v>
      </c>
      <c r="B44" s="68">
        <v>52.5</v>
      </c>
      <c r="K44" s="24" t="s">
        <v>260</v>
      </c>
      <c r="L44" s="24" t="s">
        <v>746</v>
      </c>
      <c r="M44" s="24" t="s">
        <v>326</v>
      </c>
    </row>
    <row r="45" spans="1:13" x14ac:dyDescent="0.25">
      <c r="A45" s="7" t="s">
        <v>793</v>
      </c>
      <c r="B45" s="68">
        <v>7.5</v>
      </c>
      <c r="K45" s="24" t="s">
        <v>168</v>
      </c>
      <c r="L45" s="24" t="s">
        <v>750</v>
      </c>
      <c r="M45" s="24" t="s">
        <v>325</v>
      </c>
    </row>
    <row r="46" spans="1:13" x14ac:dyDescent="0.25">
      <c r="A46" s="7" t="s">
        <v>794</v>
      </c>
      <c r="B46" s="69">
        <v>11.664</v>
      </c>
      <c r="K46" s="24" t="s">
        <v>228</v>
      </c>
      <c r="L46" s="24" t="s">
        <v>750</v>
      </c>
      <c r="M46" s="24" t="s">
        <v>325</v>
      </c>
    </row>
    <row r="47" spans="1:13" x14ac:dyDescent="0.25">
      <c r="K47" s="24" t="s">
        <v>212</v>
      </c>
      <c r="L47" s="24" t="s">
        <v>750</v>
      </c>
      <c r="M47" s="24" t="s">
        <v>325</v>
      </c>
    </row>
    <row r="48" spans="1:13" x14ac:dyDescent="0.25">
      <c r="A48" s="1" t="s">
        <v>795</v>
      </c>
      <c r="B48" s="1"/>
      <c r="K48" s="24" t="s">
        <v>247</v>
      </c>
      <c r="L48" s="24" t="s">
        <v>750</v>
      </c>
      <c r="M48" s="24" t="s">
        <v>325</v>
      </c>
    </row>
    <row r="49" spans="1:13" x14ac:dyDescent="0.25">
      <c r="A49" s="13" t="s">
        <v>671</v>
      </c>
      <c r="B49" s="13" t="s">
        <v>796</v>
      </c>
      <c r="K49" s="24" t="s">
        <v>231</v>
      </c>
      <c r="L49" s="24" t="s">
        <v>750</v>
      </c>
      <c r="M49" s="24" t="s">
        <v>325</v>
      </c>
    </row>
    <row r="50" spans="1:13" x14ac:dyDescent="0.25">
      <c r="A50" s="7" t="s">
        <v>667</v>
      </c>
      <c r="B50" s="60">
        <v>1</v>
      </c>
      <c r="K50" s="24" t="s">
        <v>172</v>
      </c>
      <c r="L50" s="24" t="s">
        <v>359</v>
      </c>
      <c r="M50" s="24" t="s">
        <v>327</v>
      </c>
    </row>
    <row r="51" spans="1:13" x14ac:dyDescent="0.25">
      <c r="A51" s="7" t="s">
        <v>665</v>
      </c>
      <c r="B51" s="56">
        <v>122</v>
      </c>
      <c r="K51" s="24" t="s">
        <v>268</v>
      </c>
      <c r="L51" s="24" t="s">
        <v>359</v>
      </c>
      <c r="M51" s="24" t="s">
        <v>327</v>
      </c>
    </row>
    <row r="52" spans="1:13" x14ac:dyDescent="0.25">
      <c r="A52" s="7" t="s">
        <v>672</v>
      </c>
      <c r="B52" s="56">
        <v>32.5</v>
      </c>
      <c r="K52" s="24" t="s">
        <v>221</v>
      </c>
      <c r="L52" s="24" t="s">
        <v>359</v>
      </c>
      <c r="M52" s="24" t="s">
        <v>327</v>
      </c>
    </row>
    <row r="53" spans="1:13" x14ac:dyDescent="0.25">
      <c r="A53" s="7" t="s">
        <v>797</v>
      </c>
      <c r="B53" s="56">
        <v>33.200000000000003</v>
      </c>
      <c r="K53" s="24" t="s">
        <v>798</v>
      </c>
      <c r="L53" s="24" t="s">
        <v>359</v>
      </c>
      <c r="M53" s="24" t="s">
        <v>327</v>
      </c>
    </row>
    <row r="54" spans="1:13" x14ac:dyDescent="0.25">
      <c r="A54" s="7" t="s">
        <v>799</v>
      </c>
      <c r="B54" s="56">
        <v>160</v>
      </c>
      <c r="K54" s="24" t="s">
        <v>233</v>
      </c>
      <c r="L54" s="24" t="s">
        <v>359</v>
      </c>
      <c r="M54" s="24" t="s">
        <v>327</v>
      </c>
    </row>
    <row r="55" spans="1:13" x14ac:dyDescent="0.25">
      <c r="A55" s="7" t="s">
        <v>800</v>
      </c>
      <c r="B55" s="56">
        <v>138</v>
      </c>
      <c r="K55" s="24" t="s">
        <v>801</v>
      </c>
      <c r="L55" s="24" t="s">
        <v>359</v>
      </c>
      <c r="M55" s="24" t="s">
        <v>327</v>
      </c>
    </row>
    <row r="56" spans="1:13" x14ac:dyDescent="0.25">
      <c r="A56" s="7" t="s">
        <v>802</v>
      </c>
      <c r="B56" s="56">
        <v>28</v>
      </c>
      <c r="K56" s="24" t="s">
        <v>191</v>
      </c>
      <c r="L56" s="24" t="s">
        <v>483</v>
      </c>
      <c r="M56" s="24" t="s">
        <v>326</v>
      </c>
    </row>
    <row r="57" spans="1:13" x14ac:dyDescent="0.25">
      <c r="A57" s="7" t="s">
        <v>803</v>
      </c>
      <c r="B57" s="56">
        <v>398</v>
      </c>
    </row>
    <row r="58" spans="1:13" x14ac:dyDescent="0.25">
      <c r="A58" s="7" t="s">
        <v>804</v>
      </c>
      <c r="B58" s="56">
        <v>1.45</v>
      </c>
    </row>
    <row r="60" spans="1:13" x14ac:dyDescent="0.25">
      <c r="A60" s="7" t="s">
        <v>805</v>
      </c>
      <c r="B60" s="42">
        <v>2.5000000000000001E-2</v>
      </c>
    </row>
    <row r="62" spans="1:13" x14ac:dyDescent="0.25">
      <c r="A62" s="1" t="s">
        <v>806</v>
      </c>
      <c r="B62" s="1"/>
    </row>
    <row r="63" spans="1:13" x14ac:dyDescent="0.25">
      <c r="A63" s="13" t="s">
        <v>430</v>
      </c>
      <c r="B63" s="13" t="s">
        <v>807</v>
      </c>
    </row>
    <row r="64" spans="1:13" x14ac:dyDescent="0.25">
      <c r="A64" s="7" t="s">
        <v>180</v>
      </c>
      <c r="B64" s="49">
        <v>1.8499999999999999E-2</v>
      </c>
    </row>
    <row r="65" spans="1:2" x14ac:dyDescent="0.25">
      <c r="A65" s="7" t="s">
        <v>724</v>
      </c>
      <c r="B65" s="49">
        <v>1.4999999999999999E-2</v>
      </c>
    </row>
    <row r="66" spans="1:2" x14ac:dyDescent="0.25">
      <c r="A66" s="7" t="s">
        <v>730</v>
      </c>
      <c r="B66" s="49">
        <v>1.7999999999999999E-2</v>
      </c>
    </row>
    <row r="67" spans="1:2" x14ac:dyDescent="0.25">
      <c r="A67" s="7" t="s">
        <v>734</v>
      </c>
      <c r="B67" s="49">
        <v>1.4999999999999999E-2</v>
      </c>
    </row>
  </sheetData>
  <mergeCells count="2">
    <mergeCell ref="A1:Z1"/>
    <mergeCell ref="A2:Z2"/>
  </mergeCells>
  <dataValidations count="1">
    <dataValidation type="list" allowBlank="1" showErrorMessage="1" errorTitle="Invalid entry" error="Please pick a value from the dropdown list." sqref="M16:M56" xr:uid="{00000000-0002-0000-0F00-000000000000}">
      <formula1>"Needs,Wants,Savings"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Guide</vt:lpstr>
      <vt:lpstr>Dashboard</vt:lpstr>
      <vt:lpstr>Transactions</vt:lpstr>
      <vt:lpstr>Budget</vt:lpstr>
      <vt:lpstr>Annual Matrix</vt:lpstr>
      <vt:lpstr>Monthly Summary</vt:lpstr>
      <vt:lpstr>Savings Goals</vt:lpstr>
      <vt:lpstr>Debt &amp; Loans</vt:lpstr>
      <vt:lpstr>Investments</vt:lpstr>
      <vt:lpstr>Net Worth</vt:lpstr>
      <vt:lpstr>Income Tax</vt:lpstr>
      <vt:lpstr>Zakat</vt:lpstr>
      <vt:lpstr>Festivals</vt:lpstr>
      <vt:lpstr>Bills</vt:lpstr>
      <vt:lpstr>Quick Tools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Mustaquim Ahmad</cp:lastModifiedBy>
  <cp:revision>1</cp:revision>
  <dcterms:created xsi:type="dcterms:W3CDTF">2026-10-19T18:51:01Z</dcterms:created>
  <dcterms:modified xsi:type="dcterms:W3CDTF">2026-10-20T16:23:52Z</dcterms:modified>
  <dc:language>en-US</dc:language>
</cp:coreProperties>
</file>